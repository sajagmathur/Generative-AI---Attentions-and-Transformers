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deepanshu161135\Downloads\"/>
    </mc:Choice>
  </mc:AlternateContent>
  <xr:revisionPtr revIDLastSave="0" documentId="8_{F7BBC251-76FA-4732-9BDB-6A19778F7BA5}" xr6:coauthVersionLast="47" xr6:coauthVersionMax="47" xr10:uidLastSave="{00000000-0000-0000-0000-000000000000}"/>
  <bookViews>
    <workbookView xWindow="-110" yWindow="-110" windowWidth="19420" windowHeight="10300" tabRatio="896" xr2:uid="{6ECE1F7C-D0F2-40CF-A32A-CEB5B1D6312D}"/>
  </bookViews>
  <sheets>
    <sheet name="NSM KPIs" sheetId="2" r:id="rId1"/>
    <sheet name="KPI Summary &amp; Charts" sheetId="3" r:id="rId2"/>
    <sheet name="Confusion Matrix" sheetId="5" r:id="rId3"/>
  </sheets>
  <calcPr calcId="191028"/>
  <pivotCaches>
    <pivotCache cacheId="19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G6" i="3"/>
  <c r="H6" i="3"/>
  <c r="E6" i="3"/>
  <c r="F8" i="3"/>
  <c r="E8" i="3"/>
  <c r="F7" i="3"/>
  <c r="E7" i="3"/>
  <c r="F4" i="3"/>
  <c r="E4" i="3"/>
  <c r="D4" i="3"/>
  <c r="F3" i="3"/>
  <c r="E3" i="3"/>
  <c r="D3" i="3"/>
  <c r="F5" i="3"/>
  <c r="E5" i="3"/>
  <c r="D5" i="3"/>
  <c r="R6" i="2"/>
  <c r="O24" i="2"/>
  <c r="F18" i="2"/>
  <c r="H18" i="2"/>
  <c r="O18" i="2"/>
  <c r="Q18" i="2"/>
  <c r="Z18" i="2"/>
  <c r="Z19" i="2" s="1"/>
  <c r="F19" i="2"/>
  <c r="H19" i="2"/>
  <c r="O19" i="2"/>
  <c r="Q19" i="2"/>
  <c r="F20" i="2"/>
  <c r="H20" i="2"/>
  <c r="O20" i="2"/>
  <c r="Q20" i="2"/>
  <c r="F21" i="2"/>
  <c r="H21" i="2"/>
  <c r="O21" i="2"/>
  <c r="Q21" i="2"/>
  <c r="F22" i="2"/>
  <c r="H22" i="2"/>
  <c r="O22" i="2"/>
  <c r="Q22" i="2"/>
  <c r="F23" i="2"/>
  <c r="H23" i="2"/>
  <c r="O23" i="2"/>
  <c r="Q23" i="2"/>
  <c r="F24" i="2"/>
  <c r="H24" i="2"/>
  <c r="Q24" i="2"/>
  <c r="F25" i="2"/>
  <c r="H25" i="2"/>
  <c r="O25" i="2"/>
  <c r="Q25" i="2"/>
  <c r="D26" i="2"/>
  <c r="G26" i="2"/>
  <c r="M26" i="2"/>
  <c r="P26" i="2"/>
  <c r="R18" i="2" s="1"/>
  <c r="Q6" i="2"/>
  <c r="Q7" i="2"/>
  <c r="Q8" i="2"/>
  <c r="Q9" i="2"/>
  <c r="Q10" i="2"/>
  <c r="Q11" i="2"/>
  <c r="Q12" i="2"/>
  <c r="Q5" i="2"/>
  <c r="G13" i="2"/>
  <c r="I5" i="2" s="1"/>
  <c r="F6" i="2"/>
  <c r="F7" i="2"/>
  <c r="F8" i="2"/>
  <c r="F9" i="2"/>
  <c r="F10" i="2"/>
  <c r="F11" i="2"/>
  <c r="F12" i="2"/>
  <c r="F5" i="2"/>
  <c r="H6" i="2"/>
  <c r="H7" i="2"/>
  <c r="H8" i="2"/>
  <c r="H9" i="2"/>
  <c r="H10" i="2"/>
  <c r="H11" i="2"/>
  <c r="H12" i="2"/>
  <c r="H5" i="2"/>
  <c r="O6" i="2"/>
  <c r="O7" i="2"/>
  <c r="O9" i="2"/>
  <c r="O10" i="2"/>
  <c r="O11" i="2"/>
  <c r="O12" i="2"/>
  <c r="O5" i="2"/>
  <c r="M13" i="2"/>
  <c r="N9" i="2" s="1"/>
  <c r="D13" i="2"/>
  <c r="E10" i="2" s="1"/>
  <c r="Z5" i="2"/>
  <c r="Z6" i="2" s="1"/>
  <c r="H26" i="2" l="1"/>
  <c r="L24" i="2"/>
  <c r="I24" i="2"/>
  <c r="I19" i="2"/>
  <c r="F26" i="2"/>
  <c r="I20" i="2"/>
  <c r="I25" i="2"/>
  <c r="L25" i="2"/>
  <c r="I23" i="2"/>
  <c r="L23" i="2"/>
  <c r="I21" i="2"/>
  <c r="I18" i="2"/>
  <c r="L20" i="2"/>
  <c r="L21" i="2"/>
  <c r="L18" i="2"/>
  <c r="T19" i="2"/>
  <c r="I22" i="2"/>
  <c r="L19" i="2"/>
  <c r="L5" i="2"/>
  <c r="L22" i="2"/>
  <c r="E24" i="2"/>
  <c r="E23" i="2"/>
  <c r="E22" i="2"/>
  <c r="E21" i="2"/>
  <c r="E20" i="2"/>
  <c r="E25" i="2"/>
  <c r="E19" i="2"/>
  <c r="E18" i="2"/>
  <c r="T25" i="2"/>
  <c r="T24" i="2"/>
  <c r="T18" i="2"/>
  <c r="T23" i="2"/>
  <c r="T22" i="2"/>
  <c r="T21" i="2"/>
  <c r="T20" i="2"/>
  <c r="T5" i="2"/>
  <c r="N18" i="2"/>
  <c r="N24" i="2"/>
  <c r="N19" i="2"/>
  <c r="N25" i="2"/>
  <c r="N21" i="2"/>
  <c r="N22" i="2"/>
  <c r="N20" i="2"/>
  <c r="N23" i="2"/>
  <c r="Q26" i="2"/>
  <c r="O26" i="2"/>
  <c r="S18" i="2" s="1"/>
  <c r="U18" i="2" s="1"/>
  <c r="T7" i="2"/>
  <c r="T9" i="2"/>
  <c r="T11" i="2"/>
  <c r="T12" i="2"/>
  <c r="T6" i="2"/>
  <c r="T8" i="2"/>
  <c r="T10" i="2"/>
  <c r="I11" i="2"/>
  <c r="L12" i="2"/>
  <c r="L11" i="2"/>
  <c r="L10" i="2"/>
  <c r="L8" i="2"/>
  <c r="L9" i="2"/>
  <c r="L7" i="2"/>
  <c r="L6" i="2"/>
  <c r="I12" i="2"/>
  <c r="I10" i="2"/>
  <c r="F13" i="2"/>
  <c r="J12" i="2" s="1"/>
  <c r="I8" i="2"/>
  <c r="I7" i="2"/>
  <c r="I6" i="2"/>
  <c r="I9" i="2"/>
  <c r="H13" i="2"/>
  <c r="N11" i="2"/>
  <c r="N12" i="2"/>
  <c r="N5" i="2"/>
  <c r="N10" i="2"/>
  <c r="V10" i="2" s="1"/>
  <c r="N6" i="2"/>
  <c r="N7" i="2"/>
  <c r="N8" i="2"/>
  <c r="P13" i="2"/>
  <c r="O8" i="2"/>
  <c r="O13" i="2" s="1"/>
  <c r="S12" i="2" s="1"/>
  <c r="E12" i="2"/>
  <c r="E8" i="2"/>
  <c r="E5" i="2"/>
  <c r="E11" i="2"/>
  <c r="E9" i="2"/>
  <c r="V9" i="2" s="1"/>
  <c r="E7" i="2"/>
  <c r="E6" i="2"/>
  <c r="W23" i="2" l="1"/>
  <c r="W24" i="2"/>
  <c r="V24" i="2"/>
  <c r="V20" i="2"/>
  <c r="W20" i="2"/>
  <c r="W21" i="2"/>
  <c r="W19" i="2"/>
  <c r="W22" i="2"/>
  <c r="V18" i="2"/>
  <c r="W25" i="2"/>
  <c r="W18" i="2"/>
  <c r="J18" i="2"/>
  <c r="K18" i="2" s="1"/>
  <c r="W11" i="2"/>
  <c r="V22" i="2"/>
  <c r="V19" i="2"/>
  <c r="V23" i="2"/>
  <c r="W12" i="2"/>
  <c r="W5" i="2"/>
  <c r="V25" i="2"/>
  <c r="W9" i="2"/>
  <c r="V21" i="2"/>
  <c r="J23" i="2"/>
  <c r="K23" i="2" s="1"/>
  <c r="W7" i="2"/>
  <c r="J24" i="2"/>
  <c r="K24" i="2" s="1"/>
  <c r="J25" i="2"/>
  <c r="K25" i="2" s="1"/>
  <c r="J20" i="2"/>
  <c r="K20" i="2" s="1"/>
  <c r="W10" i="2"/>
  <c r="J21" i="2"/>
  <c r="K21" i="2" s="1"/>
  <c r="W8" i="2"/>
  <c r="E26" i="2"/>
  <c r="J22" i="2"/>
  <c r="K22" i="2" s="1"/>
  <c r="W6" i="2"/>
  <c r="J19" i="2"/>
  <c r="K19" i="2" s="1"/>
  <c r="R25" i="2"/>
  <c r="R22" i="2"/>
  <c r="R19" i="2"/>
  <c r="R21" i="2"/>
  <c r="R20" i="2"/>
  <c r="R23" i="2"/>
  <c r="R24" i="2"/>
  <c r="V11" i="2"/>
  <c r="N13" i="2"/>
  <c r="V12" i="2"/>
  <c r="S23" i="2"/>
  <c r="S22" i="2"/>
  <c r="V6" i="2"/>
  <c r="S20" i="2"/>
  <c r="V7" i="2"/>
  <c r="S21" i="2"/>
  <c r="S19" i="2"/>
  <c r="S24" i="2"/>
  <c r="V8" i="2"/>
  <c r="S25" i="2"/>
  <c r="E13" i="2"/>
  <c r="V5" i="2"/>
  <c r="J9" i="2"/>
  <c r="K9" i="2" s="1"/>
  <c r="J10" i="2"/>
  <c r="K10" i="2" s="1"/>
  <c r="K12" i="2"/>
  <c r="J5" i="2"/>
  <c r="K5" i="2" s="1"/>
  <c r="J6" i="2"/>
  <c r="K6" i="2" s="1"/>
  <c r="J7" i="2"/>
  <c r="K7" i="2" s="1"/>
  <c r="J11" i="2"/>
  <c r="K11" i="2" s="1"/>
  <c r="J8" i="2"/>
  <c r="K8" i="2" s="1"/>
  <c r="S5" i="2"/>
  <c r="S6" i="2"/>
  <c r="S7" i="2"/>
  <c r="S8" i="2"/>
  <c r="S9" i="2"/>
  <c r="S11" i="2"/>
  <c r="S10" i="2"/>
  <c r="Q13" i="2"/>
  <c r="R5" i="2"/>
  <c r="R7" i="2"/>
  <c r="R8" i="2"/>
  <c r="R11" i="2"/>
  <c r="R9" i="2"/>
  <c r="R10" i="2"/>
  <c r="R12" i="2"/>
  <c r="U12" i="2" s="1"/>
  <c r="W26" i="2" l="1"/>
  <c r="W13" i="2"/>
  <c r="V26" i="2"/>
  <c r="K26" i="2"/>
  <c r="K13" i="2"/>
  <c r="U19" i="2"/>
  <c r="U25" i="2"/>
  <c r="U22" i="2"/>
  <c r="U23" i="2"/>
  <c r="U24" i="2"/>
  <c r="U21" i="2"/>
  <c r="U20" i="2"/>
  <c r="V13" i="2"/>
  <c r="U10" i="2"/>
  <c r="U7" i="2"/>
  <c r="U8" i="2"/>
  <c r="U11" i="2"/>
  <c r="U5" i="2"/>
  <c r="U9" i="2"/>
  <c r="U6" i="2"/>
  <c r="U26" i="2" l="1"/>
  <c r="U13" i="2"/>
</calcChain>
</file>

<file path=xl/sharedStrings.xml><?xml version="1.0" encoding="utf-8"?>
<sst xmlns="http://schemas.openxmlformats.org/spreadsheetml/2006/main" count="137" uniqueCount="73">
  <si>
    <t>Use-Case 1:</t>
  </si>
  <si>
    <t>PSI, ROB breaching</t>
  </si>
  <si>
    <t>Reference Vintage (Apr'20)</t>
  </si>
  <si>
    <t>Monitoring Vintage (Jan'24)</t>
  </si>
  <si>
    <t>Nodes</t>
  </si>
  <si>
    <t>Treatment</t>
  </si>
  <si>
    <t>Account #</t>
  </si>
  <si>
    <t>Account %</t>
  </si>
  <si>
    <t>#Goods</t>
  </si>
  <si>
    <t># Bads</t>
  </si>
  <si>
    <t>Bad-Rate</t>
  </si>
  <si>
    <t>Cum.Bad Lift</t>
  </si>
  <si>
    <t>Cum.Good Lift</t>
  </si>
  <si>
    <t>KS</t>
  </si>
  <si>
    <t>Node Rank</t>
  </si>
  <si>
    <t>Cum.Bad</t>
  </si>
  <si>
    <t>Cum.Goods</t>
  </si>
  <si>
    <t>PSI</t>
  </si>
  <si>
    <t>ROB</t>
  </si>
  <si>
    <t>A</t>
  </si>
  <si>
    <t>CLD</t>
  </si>
  <si>
    <t>No. of final Nodes</t>
  </si>
  <si>
    <t>B</t>
  </si>
  <si>
    <t>ROB Norm Factor</t>
  </si>
  <si>
    <t>C</t>
  </si>
  <si>
    <t>D</t>
  </si>
  <si>
    <t>No-CLD</t>
  </si>
  <si>
    <t>E</t>
  </si>
  <si>
    <t>F</t>
  </si>
  <si>
    <t>G</t>
  </si>
  <si>
    <t>H</t>
  </si>
  <si>
    <t>Total</t>
  </si>
  <si>
    <t>Use-Case 2:</t>
  </si>
  <si>
    <t>No KPI breach</t>
  </si>
  <si>
    <t>Monitoring Vintage (Apr'24)</t>
  </si>
  <si>
    <t>Model ID</t>
  </si>
  <si>
    <t>Ref</t>
  </si>
  <si>
    <t>Jan'24</t>
  </si>
  <si>
    <t>Apr'24</t>
  </si>
  <si>
    <t>Jul'24</t>
  </si>
  <si>
    <t>Oct'24</t>
  </si>
  <si>
    <t>Volume</t>
  </si>
  <si>
    <t>Bad rate</t>
  </si>
  <si>
    <t>Change in KS</t>
  </si>
  <si>
    <t>-</t>
  </si>
  <si>
    <t>Dev_Scored</t>
  </si>
  <si>
    <t>Count of app_id</t>
  </si>
  <si>
    <t>Column Labels</t>
  </si>
  <si>
    <t>Row Labels</t>
  </si>
  <si>
    <t>Grand Total</t>
  </si>
  <si>
    <t>Predicted</t>
  </si>
  <si>
    <t>Python code for confusion matrix</t>
  </si>
  <si>
    <t>from sklearn.metrics import confusion_matrix, ConfusionMatrixDisplay</t>
  </si>
  <si>
    <t>Actual</t>
  </si>
  <si>
    <t>True Negative (TN)</t>
  </si>
  <si>
    <t>False Positive (FP)</t>
  </si>
  <si>
    <t>import matplotlib.pyplot as plt</t>
  </si>
  <si>
    <t>False Negative (FN)</t>
  </si>
  <si>
    <t>True Positive (TP)</t>
  </si>
  <si>
    <t>import seaborn as sns</t>
  </si>
  <si>
    <t>cm = confusion_matrix(y_true, y_pred)</t>
  </si>
  <si>
    <t>Accuracy</t>
  </si>
  <si>
    <t>(TP + TN) / (TP+TN+FP+FN)</t>
  </si>
  <si>
    <t>sns.heatmap(cm, annot=True, fmt="d", cmap="Blues")</t>
  </si>
  <si>
    <t>Precision</t>
  </si>
  <si>
    <t>TP / (TP + FP)</t>
  </si>
  <si>
    <t>plt.xlabel("Predicted")</t>
  </si>
  <si>
    <t>Recall</t>
  </si>
  <si>
    <t>TP / (TP + FN)</t>
  </si>
  <si>
    <t>plt.ylabel("Actual")</t>
  </si>
  <si>
    <t>F1</t>
  </si>
  <si>
    <t>2* ((Precision*Recall)/(Precision+Recall))</t>
  </si>
  <si>
    <t>plt.show()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</si>
</sst>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000_);_(* \(#,##0.000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2" fillId="2" borderId="1" xfId="0" applyFont="1" applyFill="1" applyBorder="1"/>
    <xf numFmtId="1" fontId="0" fillId="0" borderId="1" xfId="0" applyNumberFormat="1" applyBorder="1"/>
    <xf numFmtId="9" fontId="0" fillId="3" borderId="1" xfId="1" applyFont="1" applyFill="1" applyBorder="1"/>
    <xf numFmtId="9" fontId="0" fillId="2" borderId="1" xfId="1" applyFont="1" applyFill="1" applyBorder="1"/>
    <xf numFmtId="164" fontId="0" fillId="2" borderId="1" xfId="1" applyNumberFormat="1" applyFont="1" applyFill="1" applyBorder="1"/>
    <xf numFmtId="10" fontId="0" fillId="2" borderId="1" xfId="1" applyNumberFormat="1" applyFont="1" applyFill="1" applyBorder="1"/>
    <xf numFmtId="164" fontId="0" fillId="3" borderId="1" xfId="1" applyNumberFormat="1" applyFont="1" applyFill="1" applyBorder="1"/>
    <xf numFmtId="165" fontId="0" fillId="3" borderId="1" xfId="2" applyNumberFormat="1" applyFont="1" applyFill="1" applyBorder="1"/>
    <xf numFmtId="165" fontId="0" fillId="0" borderId="1" xfId="2" applyNumberFormat="1" applyFont="1" applyBorder="1"/>
    <xf numFmtId="10" fontId="0" fillId="3" borderId="1" xfId="1" applyNumberFormat="1" applyFon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5" fontId="0" fillId="2" borderId="1" xfId="2" applyNumberFormat="1" applyFont="1" applyFill="1" applyBorder="1"/>
    <xf numFmtId="166" fontId="0" fillId="2" borderId="1" xfId="2" applyNumberFormat="1" applyFont="1" applyFill="1" applyBorder="1"/>
    <xf numFmtId="165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5" fontId="2" fillId="0" borderId="1" xfId="2" applyNumberFormat="1" applyFont="1" applyBorder="1"/>
    <xf numFmtId="9" fontId="2" fillId="0" borderId="1" xfId="0" applyNumberFormat="1" applyFont="1" applyBorder="1"/>
    <xf numFmtId="0" fontId="2" fillId="0" borderId="1" xfId="0" applyFont="1" applyBorder="1"/>
    <xf numFmtId="10" fontId="2" fillId="0" borderId="1" xfId="1" applyNumberFormat="1" applyFont="1" applyBorder="1"/>
    <xf numFmtId="164" fontId="2" fillId="0" borderId="1" xfId="0" applyNumberFormat="1" applyFont="1" applyBorder="1"/>
    <xf numFmtId="10" fontId="2" fillId="2" borderId="1" xfId="1" applyNumberFormat="1" applyFont="1" applyFill="1" applyBorder="1"/>
    <xf numFmtId="166" fontId="2" fillId="0" borderId="1" xfId="0" applyNumberFormat="1" applyFont="1" applyBorder="1"/>
    <xf numFmtId="164" fontId="2" fillId="0" borderId="1" xfId="1" applyNumberFormat="1" applyFont="1" applyBorder="1"/>
    <xf numFmtId="10" fontId="2" fillId="0" borderId="1" xfId="1" applyNumberFormat="1" applyFont="1" applyFill="1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4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2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64" fontId="0" fillId="5" borderId="4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 &amp; Charts'!$B$5</c:f>
              <c:strCache>
                <c:ptCount val="1"/>
                <c:pt idx="0">
                  <c:v>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 &amp; Charts'!$D$2:$H$2</c:f>
              <c:strCache>
                <c:ptCount val="5"/>
                <c:pt idx="0">
                  <c:v>Ref</c:v>
                </c:pt>
                <c:pt idx="1">
                  <c:v>Jan'24</c:v>
                </c:pt>
                <c:pt idx="2">
                  <c:v>Apr'24</c:v>
                </c:pt>
                <c:pt idx="3">
                  <c:v>Jul'24</c:v>
                </c:pt>
                <c:pt idx="4">
                  <c:v>Oct'24</c:v>
                </c:pt>
              </c:strCache>
            </c:strRef>
          </c:cat>
          <c:val>
            <c:numRef>
              <c:f>'KPI Summary &amp; Charts'!$D$5:$H$5</c:f>
              <c:numCache>
                <c:formatCode>0.0%</c:formatCode>
                <c:ptCount val="5"/>
                <c:pt idx="0">
                  <c:v>0.27708089708673023</c:v>
                </c:pt>
                <c:pt idx="1">
                  <c:v>0.25529240056252378</c:v>
                </c:pt>
                <c:pt idx="2">
                  <c:v>0.26778634734704188</c:v>
                </c:pt>
                <c:pt idx="3">
                  <c:v>0.32700000000000001</c:v>
                </c:pt>
                <c:pt idx="4">
                  <c:v>0.34899999999999998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D23-9EC6-1A55D13A3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014559"/>
        <c:axId val="2042015999"/>
      </c:barChart>
      <c:catAx>
        <c:axId val="20420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5999"/>
        <c:crosses val="autoZero"/>
        <c:auto val="1"/>
        <c:lblAlgn val="ctr"/>
        <c:lblOffset val="100"/>
        <c:noMultiLvlLbl val="0"/>
      </c:catAx>
      <c:valAx>
        <c:axId val="20420159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Summary &amp; Charts'!$B$3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Summary &amp; Charts'!$D$2:$H$2</c:f>
              <c:strCache>
                <c:ptCount val="5"/>
                <c:pt idx="0">
                  <c:v>Ref</c:v>
                </c:pt>
                <c:pt idx="1">
                  <c:v>Jan'24</c:v>
                </c:pt>
                <c:pt idx="2">
                  <c:v>Apr'24</c:v>
                </c:pt>
                <c:pt idx="3">
                  <c:v>Jul'24</c:v>
                </c:pt>
                <c:pt idx="4">
                  <c:v>Oct'24</c:v>
                </c:pt>
              </c:strCache>
            </c:strRef>
          </c:cat>
          <c:val>
            <c:numRef>
              <c:f>'KPI Summary &amp; Charts'!$D$3:$H$3</c:f>
              <c:numCache>
                <c:formatCode>_(* #,##0_);_(* \(#,##0\);_(* "-"??_);_(@_)</c:formatCode>
                <c:ptCount val="5"/>
                <c:pt idx="0">
                  <c:v>373383</c:v>
                </c:pt>
                <c:pt idx="1">
                  <c:v>368475</c:v>
                </c:pt>
                <c:pt idx="2">
                  <c:v>313788</c:v>
                </c:pt>
                <c:pt idx="3">
                  <c:v>318495</c:v>
                </c:pt>
                <c:pt idx="4">
                  <c:v>398734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9-4694-9D71-F5D24A5E7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700863"/>
        <c:axId val="1946710943"/>
      </c:lineChart>
      <c:catAx>
        <c:axId val="194670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710943"/>
        <c:crosses val="autoZero"/>
        <c:auto val="1"/>
        <c:lblAlgn val="ctr"/>
        <c:lblOffset val="100"/>
        <c:noMultiLvlLbl val="0"/>
      </c:catAx>
      <c:valAx>
        <c:axId val="194671094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70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Summary &amp; Charts'!$B$7</c:f>
              <c:strCache>
                <c:ptCount val="1"/>
                <c:pt idx="0">
                  <c:v>PSI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'KPI Summary &amp; Charts'!$E$2:$H$2</c:f>
              <c:strCache>
                <c:ptCount val="4"/>
                <c:pt idx="0">
                  <c:v>Jan'24</c:v>
                </c:pt>
                <c:pt idx="1">
                  <c:v>Apr'24</c:v>
                </c:pt>
                <c:pt idx="2">
                  <c:v>Jul'24</c:v>
                </c:pt>
                <c:pt idx="3">
                  <c:v>Oct'24</c:v>
                </c:pt>
              </c:strCache>
            </c:strRef>
          </c:cat>
          <c:val>
            <c:numRef>
              <c:f>'KPI Summary &amp; Charts'!$E$7:$H$7</c:f>
              <c:numCache>
                <c:formatCode>0.0%</c:formatCode>
                <c:ptCount val="4"/>
                <c:pt idx="0">
                  <c:v>0.31055581026050011</c:v>
                </c:pt>
                <c:pt idx="1">
                  <c:v>9.4253099079947361E-2</c:v>
                </c:pt>
                <c:pt idx="2">
                  <c:v>0.125</c:v>
                </c:pt>
                <c:pt idx="3">
                  <c:v>0.26600000000000001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E-4C77-94C6-607E4043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014559"/>
        <c:axId val="2042015999"/>
      </c:lineChart>
      <c:catAx>
        <c:axId val="20420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5999"/>
        <c:crosses val="autoZero"/>
        <c:auto val="1"/>
        <c:lblAlgn val="ctr"/>
        <c:lblOffset val="100"/>
        <c:noMultiLvlLbl val="0"/>
      </c:catAx>
      <c:valAx>
        <c:axId val="20420159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 &amp; Charts'!$B$8</c:f>
              <c:strCache>
                <c:ptCount val="1"/>
                <c:pt idx="0">
                  <c:v>ROB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 &amp; Charts'!$E$2:$H$2</c:f>
              <c:strCache>
                <c:ptCount val="4"/>
                <c:pt idx="0">
                  <c:v>Jan'24</c:v>
                </c:pt>
                <c:pt idx="1">
                  <c:v>Apr'24</c:v>
                </c:pt>
                <c:pt idx="2">
                  <c:v>Jul'24</c:v>
                </c:pt>
                <c:pt idx="3">
                  <c:v>Oct'24</c:v>
                </c:pt>
              </c:strCache>
            </c:strRef>
          </c:cat>
          <c:val>
            <c:numRef>
              <c:f>'KPI Summary &amp; Charts'!$E$8:$H$8</c:f>
              <c:numCache>
                <c:formatCode>0.0%</c:formatCode>
                <c:ptCount val="4"/>
                <c:pt idx="0">
                  <c:v>0.3125</c:v>
                </c:pt>
                <c:pt idx="1">
                  <c:v>0</c:v>
                </c:pt>
                <c:pt idx="2">
                  <c:v>0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5-45B8-812C-D9CEE0291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014559"/>
        <c:axId val="2042015999"/>
      </c:barChart>
      <c:catAx>
        <c:axId val="20420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5999"/>
        <c:crosses val="autoZero"/>
        <c:auto val="1"/>
        <c:lblAlgn val="ctr"/>
        <c:lblOffset val="100"/>
        <c:noMultiLvlLbl val="0"/>
      </c:catAx>
      <c:valAx>
        <c:axId val="20420159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Bad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 &amp; Charts'!$B$4</c:f>
              <c:strCache>
                <c:ptCount val="1"/>
                <c:pt idx="0">
                  <c:v>Bad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Summary &amp; Charts'!$D$2:$H$2</c:f>
              <c:strCache>
                <c:ptCount val="5"/>
                <c:pt idx="0">
                  <c:v>Ref</c:v>
                </c:pt>
                <c:pt idx="1">
                  <c:v>Jan'24</c:v>
                </c:pt>
                <c:pt idx="2">
                  <c:v>Apr'24</c:v>
                </c:pt>
                <c:pt idx="3">
                  <c:v>Jul'24</c:v>
                </c:pt>
                <c:pt idx="4">
                  <c:v>Oct'24</c:v>
                </c:pt>
              </c:strCache>
            </c:strRef>
          </c:cat>
          <c:val>
            <c:numRef>
              <c:f>'KPI Summary &amp; Charts'!$D$4:$H$4</c:f>
              <c:numCache>
                <c:formatCode>0.00%</c:formatCode>
                <c:ptCount val="5"/>
                <c:pt idx="0">
                  <c:v>3.1608294967901594E-2</c:v>
                </c:pt>
                <c:pt idx="1">
                  <c:v>3.8629486396634778E-2</c:v>
                </c:pt>
                <c:pt idx="2">
                  <c:v>3.5874539498005023E-2</c:v>
                </c:pt>
                <c:pt idx="3">
                  <c:v>3.6700000000000003E-2</c:v>
                </c:pt>
                <c:pt idx="4">
                  <c:v>3.2300000000000002E-2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2-496F-A39E-E10134C26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014559"/>
        <c:axId val="2042015999"/>
      </c:barChart>
      <c:catAx>
        <c:axId val="20420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5999"/>
        <c:crosses val="autoZero"/>
        <c:auto val="1"/>
        <c:lblAlgn val="ctr"/>
        <c:lblOffset val="100"/>
        <c:noMultiLvlLbl val="0"/>
      </c:catAx>
      <c:valAx>
        <c:axId val="204201599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0</xdr:row>
      <xdr:rowOff>120650</xdr:rowOff>
    </xdr:from>
    <xdr:to>
      <xdr:col>13</xdr:col>
      <xdr:colOff>431800</xdr:colOff>
      <xdr:row>11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EE5F4D-E259-C4B2-CE83-75A835867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593725</xdr:colOff>
      <xdr:row>9</xdr:row>
      <xdr:rowOff>0</xdr:rowOff>
    </xdr:from>
    <xdr:to>
      <xdr:col>5</xdr:col>
      <xdr:colOff>736600</xdr:colOff>
      <xdr:row>19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B554D0-F246-348F-109F-681BDCEEF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</xdr:colOff>
      <xdr:row>0</xdr:row>
      <xdr:rowOff>76200</xdr:rowOff>
    </xdr:from>
    <xdr:to>
      <xdr:col>18</xdr:col>
      <xdr:colOff>479425</xdr:colOff>
      <xdr:row>11</xdr:row>
      <xdr:rowOff>133350</xdr:rowOff>
    </xdr:to>
    <xdr:graphicFrame macro="">
      <xdr:nvGraphicFramePr>
        <xdr:cNvPr id="73" name="Chart 7">
          <a:extLst>
            <a:ext uri="{FF2B5EF4-FFF2-40B4-BE49-F238E27FC236}">
              <a16:creationId xmlns:a16="http://schemas.microsoft.com/office/drawing/2014/main" id="{EDD83ABF-0CBA-4F0C-BFA9-E7EDA2ECF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63500</xdr:colOff>
      <xdr:row>12</xdr:row>
      <xdr:rowOff>120650</xdr:rowOff>
    </xdr:from>
    <xdr:to>
      <xdr:col>18</xdr:col>
      <xdr:colOff>485775</xdr:colOff>
      <xdr:row>22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7D876-0D04-4753-880C-6C7AA0DD6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57150</xdr:colOff>
      <xdr:row>12</xdr:row>
      <xdr:rowOff>133350</xdr:rowOff>
    </xdr:from>
    <xdr:to>
      <xdr:col>13</xdr:col>
      <xdr:colOff>479425</xdr:colOff>
      <xdr:row>23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1EF571-4D1E-4C9D-87D2-31FCBFE7B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mit132062/OneDrive%20-%20EXLService.com%20(I)%20Pvt.%20Ltd/Documents/The%20HUB/MIDAS/dev_scor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t Mittal" refreshedDate="46084.499104166665" createdVersion="8" refreshedVersion="8" minRefreshableVersion="3" recordCount="7088" xr:uid="{2D7B9DDB-1EFF-43E1-B179-B7C0044CF5BE}">
  <cacheSource type="worksheet">
    <worksheetSource ref="A1:AC7089" sheet="dev_scored" r:id="rId2"/>
  </cacheSource>
  <cacheFields count="29">
    <cacheField name="F_0" numFmtId="0">
      <sharedItems containsSemiMixedTypes="0" containsString="0" containsNumber="1" containsInteger="1" minValue="26" maxValue="73"/>
    </cacheField>
    <cacheField name="F_1" numFmtId="0">
      <sharedItems containsSemiMixedTypes="0" containsString="0" containsNumber="1" containsInteger="1" minValue="0" maxValue="1"/>
    </cacheField>
    <cacheField name="F_2" numFmtId="0">
      <sharedItems containsSemiMixedTypes="0" containsString="0" containsNumber="1" containsInteger="1" minValue="0" maxValue="5"/>
    </cacheField>
    <cacheField name="F_3" numFmtId="0">
      <sharedItems containsSemiMixedTypes="0" containsString="0" containsNumber="1" containsInteger="1" minValue="0" maxValue="6"/>
    </cacheField>
    <cacheField name="F_4" numFmtId="0">
      <sharedItems containsSemiMixedTypes="0" containsString="0" containsNumber="1" containsInteger="1" minValue="0" maxValue="3"/>
    </cacheField>
    <cacheField name="F_5" numFmtId="0">
      <sharedItems containsSemiMixedTypes="0" containsString="0" containsNumber="1" containsInteger="1" minValue="0" maxValue="5"/>
    </cacheField>
    <cacheField name="F_6" numFmtId="0">
      <sharedItems containsSemiMixedTypes="0" containsString="0" containsNumber="1" containsInteger="1" minValue="0" maxValue="3"/>
    </cacheField>
    <cacheField name="F_7" numFmtId="0">
      <sharedItems containsSemiMixedTypes="0" containsString="0" containsNumber="1" containsInteger="1" minValue="13" maxValue="56"/>
    </cacheField>
    <cacheField name="F_8" numFmtId="0">
      <sharedItems containsSemiMixedTypes="0" containsString="0" containsNumber="1" containsInteger="1" minValue="1" maxValue="6"/>
    </cacheField>
    <cacheField name="F_9" numFmtId="0">
      <sharedItems containsSemiMixedTypes="0" containsString="0" containsNumber="1" containsInteger="1" minValue="0" maxValue="6"/>
    </cacheField>
    <cacheField name="F_10" numFmtId="0">
      <sharedItems containsSemiMixedTypes="0" containsString="0" containsNumber="1" containsInteger="1" minValue="0" maxValue="6"/>
    </cacheField>
    <cacheField name="F_11" numFmtId="0">
      <sharedItems containsSemiMixedTypes="0" containsString="0" containsNumber="1" minValue="1438.3" maxValue="34516"/>
    </cacheField>
    <cacheField name="F_12" numFmtId="0">
      <sharedItems containsSemiMixedTypes="0" containsString="0" containsNumber="1" containsInteger="1" minValue="0" maxValue="2517"/>
    </cacheField>
    <cacheField name="F_13" numFmtId="0">
      <sharedItems containsSemiMixedTypes="0" containsString="0" containsNumber="1" minValue="10" maxValue="34516"/>
    </cacheField>
    <cacheField name="F_14" numFmtId="0">
      <sharedItems containsSemiMixedTypes="0" containsString="0" containsNumber="1" minValue="0" maxValue="3.3969999999999998"/>
    </cacheField>
    <cacheField name="F_15" numFmtId="0">
      <sharedItems containsSemiMixedTypes="0" containsString="0" containsNumber="1" containsInteger="1" minValue="510" maxValue="17995"/>
    </cacheField>
    <cacheField name="F_16" numFmtId="0">
      <sharedItems containsSemiMixedTypes="0" containsString="0" containsNumber="1" containsInteger="1" minValue="10" maxValue="134"/>
    </cacheField>
    <cacheField name="F_17" numFmtId="0">
      <sharedItems containsSemiMixedTypes="0" containsString="0" containsNumber="1" minValue="0" maxValue="3.714"/>
    </cacheField>
    <cacheField name="F_18" numFmtId="0">
      <sharedItems containsSemiMixedTypes="0" containsString="0" containsNumber="1" minValue="0" maxValue="0.995"/>
    </cacheField>
    <cacheField name="F_19" numFmtId="0">
      <sharedItems containsMixedTypes="1" containsNumber="1" minValue="1.0043E-4" maxValue="0.99958000000000002"/>
    </cacheField>
    <cacheField name="F_20" numFmtId="0">
      <sharedItems containsSemiMixedTypes="0" containsString="0" containsNumber="1" minValue="4.1997999999999997E-4" maxValue="0.99999000000000005"/>
    </cacheField>
    <cacheField name="F_21" numFmtId="0">
      <sharedItems containsMixedTypes="1" containsNumber="1" minValue="8.527799996543E-4" maxValue="110.304876505058"/>
    </cacheField>
    <cacheField name="F_22" numFmtId="0">
      <sharedItems containsMixedTypes="1" containsNumber="1" minValue="4.4495190344661E-3" maxValue="114.302062442118"/>
    </cacheField>
    <cacheField name="F_23" numFmtId="0">
      <sharedItems containsMixedTypes="1" containsNumber="1" minValue="4.3265295924235898E-2" maxValue="192.738078174729"/>
    </cacheField>
    <cacheField name="F_24" numFmtId="0">
      <sharedItems containsMixedTypes="1" containsNumber="1" minValue="1.2232893393980001E-4" maxValue="40.700428565344502"/>
    </cacheField>
    <cacheField name="app_id" numFmtId="0">
      <sharedItems containsSemiMixedTypes="0" containsString="0" containsNumber="1" containsInteger="1" minValue="708083283" maxValue="828343083"/>
    </cacheField>
    <cacheField name="actual_target" numFmtId="0">
      <sharedItems containsSemiMixedTypes="0" containsString="0" containsNumber="1" containsInteger="1" minValue="0" maxValue="1" count="2">
        <n v="0"/>
        <n v="1"/>
      </sharedItems>
    </cacheField>
    <cacheField name="predicted_target" numFmtId="0">
      <sharedItems containsSemiMixedTypes="0" containsString="0" containsNumber="1" minValue="3.2101269999999999E-4" maxValue="0.99877890000000003"/>
    </cacheField>
    <cacheField name="predicted_target_new" numFmtId="0">
      <sharedItems containsSemiMixedTypes="0" containsString="0" containsNumber="1" minValue="0" maxValue="1" count="5">
        <n v="0"/>
        <n v="1"/>
        <n v="0.1" u="1"/>
        <n v="0.4" u="1"/>
        <n v="0.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8">
  <r>
    <n v="43"/>
    <n v="1"/>
    <n v="3"/>
    <n v="3"/>
    <n v="2"/>
    <n v="3"/>
    <n v="0"/>
    <n v="34"/>
    <n v="4"/>
    <n v="2"/>
    <n v="0"/>
    <n v="28262"/>
    <n v="1483"/>
    <n v="26779"/>
    <n v="0.66800000000000004"/>
    <n v="3855"/>
    <n v="66"/>
    <n v="0.61"/>
    <n v="5.1999999999999998E-2"/>
    <s v="4.2354e-05"/>
    <n v="0.99995999999999996"/>
    <s v="28.718739103966577"/>
    <s v="34.32178702391144"/>
    <s v="27.898241279309698"/>
    <s v="3.429053265534043"/>
    <n v="716393958"/>
    <x v="0"/>
    <n v="3.6634394000000002E-4"/>
    <x v="0"/>
  </r>
  <r>
    <n v="47"/>
    <n v="1"/>
    <n v="5"/>
    <n v="2"/>
    <n v="2"/>
    <n v="2"/>
    <n v="0"/>
    <n v="36"/>
    <n v="6"/>
    <n v="3"/>
    <n v="2"/>
    <n v="2721"/>
    <n v="1264"/>
    <n v="1457"/>
    <n v="0.79600000000000004"/>
    <n v="4557"/>
    <n v="71"/>
    <n v="0.97199999999999998"/>
    <n v="0.46500000000000002"/>
    <n v="1.8569999999999999E-4"/>
    <n v="0.99980999999999998"/>
    <n v="4.8537419085723696"/>
    <s v="17.10349003134988"/>
    <s v="63.84698782331088"/>
    <s v="23.112016286497965"/>
    <n v="715672458"/>
    <x v="0"/>
    <n v="3.2101269999999999E-4"/>
    <x v="0"/>
  </r>
  <r>
    <n v="46"/>
    <n v="0"/>
    <n v="4"/>
    <n v="5"/>
    <n v="1"/>
    <n v="4"/>
    <n v="0"/>
    <n v="36"/>
    <n v="3"/>
    <n v="3"/>
    <n v="3"/>
    <n v="1438.3"/>
    <n v="0"/>
    <n v="1438.3"/>
    <n v="0.34599999999999997"/>
    <n v="1517"/>
    <n v="38"/>
    <n v="0.40699999999999997"/>
    <n v="0"/>
    <n v="0.99694000000000005"/>
    <n v="3.0552299999999999E-3"/>
    <s v="43.26220500612327"/>
    <s v="12.56224936956989"/>
    <s v="66.22522417157805"/>
    <s v="15.32158116695619"/>
    <n v="714492783"/>
    <x v="1"/>
    <n v="0.99860470000000001"/>
    <x v="1"/>
  </r>
  <r>
    <n v="45"/>
    <n v="0"/>
    <n v="3"/>
    <n v="6"/>
    <n v="2"/>
    <n v="5"/>
    <n v="0"/>
    <n v="32"/>
    <n v="6"/>
    <n v="3"/>
    <n v="4"/>
    <n v="9294"/>
    <n v="2000"/>
    <n v="7294"/>
    <n v="0.63700000000000001"/>
    <n v="4431"/>
    <n v="82"/>
    <n v="0.67300000000000004"/>
    <n v="0.215"/>
    <n v="5.8850999999999999E-4"/>
    <n v="0.99941000000000002"/>
    <s v="18.00022232457185"/>
    <s v="33.14041712893984"/>
    <s v="21.96523949684134"/>
    <s v="0.4194396193700311"/>
    <n v="710186958"/>
    <x v="0"/>
    <n v="3.2101269999999999E-4"/>
    <x v="0"/>
  </r>
  <r>
    <n v="44"/>
    <n v="0"/>
    <n v="4"/>
    <n v="1"/>
    <n v="3"/>
    <n v="5"/>
    <n v="0"/>
    <n v="33"/>
    <n v="5"/>
    <n v="3"/>
    <n v="6"/>
    <n v="1438.3"/>
    <n v="0"/>
    <n v="1438.3"/>
    <n v="0.67600000000000005"/>
    <n v="2316"/>
    <n v="48"/>
    <n v="0.5"/>
    <n v="0"/>
    <n v="0.99958000000000002"/>
    <n v="4.1997999999999997E-4"/>
    <s v="19.789399450824877"/>
    <s v="51.20895398015988"/>
    <s v="162.13229200651935"/>
    <s v="7.093490927872347"/>
    <n v="711540108"/>
    <x v="1"/>
    <n v="0.9979905"/>
    <x v="1"/>
  </r>
  <r>
    <n v="60"/>
    <n v="0"/>
    <n v="1"/>
    <n v="5"/>
    <n v="1"/>
    <n v="1"/>
    <n v="0"/>
    <n v="50"/>
    <n v="4"/>
    <n v="4"/>
    <n v="3"/>
    <n v="1438.3"/>
    <n v="1025"/>
    <n v="413.3"/>
    <n v="0.83799999999999997"/>
    <n v="702"/>
    <n v="12"/>
    <n v="0.71399999999999997"/>
    <n v="0.71299999999999997"/>
    <n v="0.99717"/>
    <n v="2.82527E-3"/>
    <s v="22.545793963652823"/>
    <s v="6.093540444525462"/>
    <n v="50.676266599187201"/>
    <s v="12.678411421259424"/>
    <n v="772336458"/>
    <x v="1"/>
    <n v="0.99427549999999998"/>
    <x v="1"/>
  </r>
  <r>
    <n v="47"/>
    <n v="0"/>
    <n v="2"/>
    <n v="6"/>
    <n v="2"/>
    <n v="4"/>
    <n v="0"/>
    <n v="41"/>
    <n v="5"/>
    <n v="3"/>
    <n v="1"/>
    <n v="2289"/>
    <n v="1611"/>
    <n v="678"/>
    <n v="0.64800000000000002"/>
    <n v="4817"/>
    <n v="77"/>
    <n v="0.75"/>
    <n v="0.70399999999999996"/>
    <n v="1.1924E-4"/>
    <n v="0.99987999999999999"/>
    <s v="14.715507704256186"/>
    <s v="25.79134700816048"/>
    <s v="76.37231873493683"/>
    <s v="14.96696635091902"/>
    <n v="715178733"/>
    <x v="0"/>
    <n v="3.2101269999999999E-4"/>
    <x v="0"/>
  </r>
  <r>
    <n v="59"/>
    <n v="1"/>
    <n v="2"/>
    <n v="2"/>
    <n v="2"/>
    <n v="2"/>
    <n v="0"/>
    <n v="36"/>
    <n v="6"/>
    <n v="3"/>
    <n v="2"/>
    <n v="1438.3"/>
    <n v="788"/>
    <n v="650.29999999999995"/>
    <n v="0.74099999999999999"/>
    <n v="4297"/>
    <n v="65"/>
    <n v="0.58499999999999996"/>
    <n v="0.54800000000000004"/>
    <n v="1.7987E-4"/>
    <n v="0.99982000000000004"/>
    <s v="8.235109260850239"/>
    <s v="24.53350048295578"/>
    <s v="6.0077740095123575"/>
    <s v="0.6017433278704575"/>
    <n v="714572208"/>
    <x v="0"/>
    <n v="5.5221860000000003E-4"/>
    <x v="0"/>
  </r>
  <r>
    <n v="41"/>
    <n v="0"/>
    <n v="3"/>
    <n v="2"/>
    <n v="1"/>
    <n v="4"/>
    <n v="0"/>
    <n v="36"/>
    <n v="2"/>
    <n v="2"/>
    <n v="3"/>
    <n v="1593"/>
    <n v="0"/>
    <n v="1593"/>
    <n v="0.61"/>
    <n v="4853"/>
    <n v="78"/>
    <n v="0.59199999999999997"/>
    <n v="0"/>
    <n v="1.9864000000000001E-4"/>
    <n v="0.99980000000000002"/>
    <s v="28.21962987849886"/>
    <s v="14.896526653214744"/>
    <s v="37.64986379314358"/>
    <s v="13.900993907875964"/>
    <n v="716273133"/>
    <x v="0"/>
    <n v="7.387203E-4"/>
    <x v="0"/>
  </r>
  <r>
    <n v="51"/>
    <n v="0"/>
    <n v="3"/>
    <n v="2"/>
    <n v="0"/>
    <n v="4"/>
    <n v="0"/>
    <n v="41"/>
    <n v="5"/>
    <n v="3"/>
    <n v="3"/>
    <n v="1495"/>
    <n v="691"/>
    <n v="804"/>
    <n v="0.70499999999999996"/>
    <n v="2552"/>
    <n v="42"/>
    <n v="0.55600000000000005"/>
    <n v="0.46200000000000002"/>
    <n v="0.99682999999999999"/>
    <n v="3.1745800000000002E-3"/>
    <s v="43.331046709145255"/>
    <s v="27.153304753847248"/>
    <s v="77.41580816960607"/>
    <s v="4.617058656256353"/>
    <n v="712395408"/>
    <x v="1"/>
    <n v="0.9972434"/>
    <x v="1"/>
  </r>
  <r>
    <n v="44"/>
    <n v="0"/>
    <n v="4"/>
    <n v="2"/>
    <n v="1"/>
    <n v="1"/>
    <n v="0"/>
    <n v="29"/>
    <n v="3"/>
    <n v="1"/>
    <n v="2"/>
    <n v="1438.3"/>
    <n v="0"/>
    <n v="1438.3"/>
    <n v="0.74199999999999999"/>
    <n v="3971"/>
    <n v="60"/>
    <n v="0.66700000000000004"/>
    <n v="0"/>
    <s v="5.7762e-05"/>
    <n v="0.99994000000000005"/>
    <s v="52.33572542171668"/>
    <s v="40.35586120617008"/>
    <s v="13.850223820542466"/>
    <s v="8.083865928319183"/>
    <n v="721282908"/>
    <x v="0"/>
    <n v="8.6722160000000004E-4"/>
    <x v="0"/>
  </r>
  <r>
    <n v="54"/>
    <n v="0"/>
    <n v="5"/>
    <n v="6"/>
    <n v="1"/>
    <n v="4"/>
    <n v="0"/>
    <n v="36"/>
    <n v="5"/>
    <n v="6"/>
    <n v="1"/>
    <n v="2708"/>
    <n v="1616"/>
    <n v="1092"/>
    <n v="0.66900000000000004"/>
    <n v="4237"/>
    <n v="87"/>
    <n v="0.70599999999999996"/>
    <n v="0.59699999999999998"/>
    <s v="9.7174e-05"/>
    <n v="0.99990000000000001"/>
    <s v="13.171760715737571"/>
    <s v="30.92264791624113"/>
    <s v="37.936445303493976"/>
    <s v="19.22104053990883"/>
    <n v="711497283"/>
    <x v="0"/>
    <n v="3.2101269999999999E-4"/>
    <x v="0"/>
  </r>
  <r>
    <n v="50"/>
    <n v="0"/>
    <n v="2"/>
    <n v="3"/>
    <n v="1"/>
    <n v="4"/>
    <n v="3"/>
    <n v="37"/>
    <n v="1"/>
    <n v="3"/>
    <n v="2"/>
    <n v="13384"/>
    <n v="0"/>
    <n v="13384"/>
    <n v="0.69599999999999995"/>
    <n v="4773"/>
    <n v="77"/>
    <n v="0.67400000000000004"/>
    <n v="0"/>
    <n v="1.5799999999999999E-4"/>
    <n v="0.99983999999999995"/>
    <n v="30.715306417442999"/>
    <s v="52.77542593010088"/>
    <s v="73.25929290307022"/>
    <n v="9.9611629249990994"/>
    <n v="789678483"/>
    <x v="0"/>
    <n v="6.9517245999999998E-4"/>
    <x v="0"/>
  </r>
  <r>
    <n v="44"/>
    <n v="1"/>
    <n v="3"/>
    <n v="2"/>
    <n v="2"/>
    <n v="2"/>
    <n v="0"/>
    <n v="39"/>
    <n v="6"/>
    <n v="2"/>
    <n v="2"/>
    <n v="7532"/>
    <n v="0"/>
    <n v="7532"/>
    <n v="0.47599999999999998"/>
    <n v="3550"/>
    <n v="68"/>
    <n v="0.61899999999999999"/>
    <n v="0"/>
    <n v="1.1811000000000001E-4"/>
    <n v="0.99987999999999999"/>
    <s v="25.544493008746382"/>
    <s v="14.609465035259529"/>
    <s v="40.53039955879634"/>
    <n v="9.2659862113659699"/>
    <n v="711502908"/>
    <x v="0"/>
    <n v="7.686247E-4"/>
    <x v="0"/>
  </r>
  <r>
    <n v="56"/>
    <n v="0"/>
    <n v="1"/>
    <n v="0"/>
    <n v="2"/>
    <n v="4"/>
    <n v="0"/>
    <n v="43"/>
    <n v="3"/>
    <n v="2"/>
    <n v="2"/>
    <n v="2846"/>
    <n v="0"/>
    <n v="2846"/>
    <n v="0.747"/>
    <n v="2122"/>
    <n v="44"/>
    <n v="0.41899999999999998"/>
    <n v="0"/>
    <n v="0.99046999999999996"/>
    <n v="9.5300000000000003E-3"/>
    <s v="22.917419935890987"/>
    <s v="10.70507036643204"/>
    <s v="50.07136193954064"/>
    <s v="11.996214788147014"/>
    <n v="780496833"/>
    <x v="1"/>
    <n v="0.99876772999999996"/>
    <x v="1"/>
  </r>
  <r>
    <n v="48"/>
    <n v="0"/>
    <n v="2"/>
    <n v="6"/>
    <n v="1"/>
    <n v="4"/>
    <n v="0"/>
    <n v="36"/>
    <n v="2"/>
    <n v="1"/>
    <n v="2"/>
    <n v="3329"/>
    <n v="0"/>
    <n v="3329"/>
    <n v="0.81399999999999995"/>
    <n v="14893"/>
    <n v="98"/>
    <n v="0.81499999999999995"/>
    <n v="0"/>
    <s v="6.054e-05"/>
    <n v="0.99994000000000005"/>
    <s v="9.928475749343942"/>
    <s v="22.847036602841406"/>
    <s v="24.50305460695979"/>
    <s v="0.4975427265806301"/>
    <n v="716482533"/>
    <x v="0"/>
    <n v="7.5047980000000002E-4"/>
    <x v="0"/>
  </r>
  <r>
    <n v="61"/>
    <n v="0"/>
    <n v="0"/>
    <n v="5"/>
    <n v="2"/>
    <n v="1"/>
    <n v="0"/>
    <n v="55"/>
    <n v="6"/>
    <n v="1"/>
    <n v="2"/>
    <n v="2214"/>
    <n v="2123"/>
    <n v="91"/>
    <n v="0.64"/>
    <n v="4478"/>
    <n v="77"/>
    <n v="0.79100000000000004"/>
    <n v="0.95899999999999996"/>
    <s v="4.8595e-05"/>
    <n v="0.99995000000000001"/>
    <s v="10.756001490517512"/>
    <s v="43.599119139435615"/>
    <s v="135.75682224591063"/>
    <s v="5.535732534789706"/>
    <n v="794784633"/>
    <x v="0"/>
    <n v="3.2101269999999999E-4"/>
    <x v="0"/>
  </r>
  <r>
    <n v="42"/>
    <n v="1"/>
    <n v="3"/>
    <n v="2"/>
    <n v="1"/>
    <n v="1"/>
    <n v="0"/>
    <n v="37"/>
    <n v="2"/>
    <n v="2"/>
    <n v="3"/>
    <n v="3161"/>
    <n v="1788"/>
    <n v="1373"/>
    <n v="0.86499999999999999"/>
    <n v="13692"/>
    <n v="117"/>
    <n v="0.82799999999999996"/>
    <n v="0.56599999999999995"/>
    <n v="1.9864000000000001E-4"/>
    <n v="0.99980000000000002"/>
    <s v="23.35000227611132"/>
    <s v="12.58200117401118"/>
    <s v="45.08716687087002"/>
    <s v="7.780378452780531"/>
    <n v="812453283"/>
    <x v="0"/>
    <n v="3.4656386999999997E-4"/>
    <x v="0"/>
  </r>
  <r>
    <n v="33"/>
    <n v="1"/>
    <n v="1"/>
    <n v="6"/>
    <n v="1"/>
    <n v="2"/>
    <n v="0"/>
    <n v="22"/>
    <n v="3"/>
    <n v="3"/>
    <n v="0"/>
    <n v="3637"/>
    <n v="1998"/>
    <n v="1639"/>
    <n v="1.4119999999999999"/>
    <n v="2161"/>
    <n v="56"/>
    <n v="0.93100000000000005"/>
    <n v="0.54900000000000004"/>
    <s v="6.846e-05"/>
    <n v="0.99992999999999999"/>
    <s v="28.928057162618654"/>
    <s v="2.589759575785263"/>
    <s v="20.28945166982619"/>
    <s v="2.0921104269564013"/>
    <n v="717374358"/>
    <x v="0"/>
    <n v="4.9978960000000004E-4"/>
    <x v="0"/>
  </r>
  <r>
    <n v="34"/>
    <n v="0"/>
    <n v="2"/>
    <n v="3"/>
    <n v="1"/>
    <n v="4"/>
    <n v="0"/>
    <n v="13"/>
    <n v="6"/>
    <n v="2"/>
    <n v="2"/>
    <n v="1798"/>
    <n v="833"/>
    <n v="965"/>
    <n v="0.88200000000000001"/>
    <n v="4551"/>
    <n v="84"/>
    <n v="0.78700000000000003"/>
    <n v="0.46300000000000002"/>
    <n v="1.1065000000000001E-4"/>
    <n v="0.99988999999999995"/>
    <s v="23.848568830439323"/>
    <s v="61.964192383115865"/>
    <s v="78.96072336927433"/>
    <s v="6.790714476495946"/>
    <n v="788737083"/>
    <x v="0"/>
    <n v="4.8967317000000001E-4"/>
    <x v="0"/>
  </r>
  <r>
    <n v="52"/>
    <n v="1"/>
    <n v="2"/>
    <n v="2"/>
    <n v="0"/>
    <n v="2"/>
    <n v="0"/>
    <n v="34"/>
    <n v="2"/>
    <n v="1"/>
    <n v="1"/>
    <n v="4813"/>
    <n v="0"/>
    <n v="4813"/>
    <n v="0.69299999999999995"/>
    <n v="7477"/>
    <n v="91"/>
    <n v="0.65500000000000003"/>
    <n v="0"/>
    <s v="3.3214e-05"/>
    <n v="0.99997000000000003"/>
    <s v="24.102279369407253"/>
    <s v="47.62599761025125"/>
    <s v="38.09442965570963"/>
    <s v="15.619884364033028"/>
    <n v="779456508"/>
    <x v="0"/>
    <n v="7.9810305E-4"/>
    <x v="0"/>
  </r>
  <r>
    <n v="26"/>
    <n v="0"/>
    <n v="0"/>
    <n v="3"/>
    <n v="2"/>
    <n v="5"/>
    <n v="0"/>
    <n v="13"/>
    <n v="1"/>
    <n v="2"/>
    <n v="4"/>
    <n v="6152"/>
    <n v="0"/>
    <n v="6152"/>
    <n v="0.39100000000000001"/>
    <n v="968"/>
    <n v="23"/>
    <n v="0.53300000000000003"/>
    <n v="0"/>
    <n v="0.99634"/>
    <n v="3.65621E-3"/>
    <s v="38.81510650184381"/>
    <s v="47.48238742167773"/>
    <s v="79.01718553849807"/>
    <s v="4.577977711400605"/>
    <n v="710586483"/>
    <x v="1"/>
    <n v="0.99843305000000004"/>
    <x v="1"/>
  </r>
  <r>
    <n v="55"/>
    <n v="0"/>
    <n v="2"/>
    <n v="5"/>
    <n v="1"/>
    <n v="4"/>
    <n v="0"/>
    <n v="44"/>
    <n v="5"/>
    <n v="2"/>
    <n v="3"/>
    <n v="1669"/>
    <n v="1000"/>
    <n v="669"/>
    <n v="0.71699999999999997"/>
    <n v="4085"/>
    <n v="69"/>
    <n v="0.97099999999999997"/>
    <n v="0.59899999999999998"/>
    <n v="1.9683E-4"/>
    <n v="0.99980000000000002"/>
    <s v="39.446622641480566"/>
    <s v="52.091950728700326"/>
    <s v="75.04949438636315"/>
    <s v="7.599679688359222"/>
    <n v="719130558"/>
    <x v="0"/>
    <n v="3.2101269999999999E-4"/>
    <x v="0"/>
  </r>
  <r>
    <n v="54"/>
    <n v="0"/>
    <n v="2"/>
    <n v="2"/>
    <n v="1"/>
    <n v="1"/>
    <n v="0"/>
    <n v="41"/>
    <n v="3"/>
    <n v="1"/>
    <n v="3"/>
    <n v="7362"/>
    <n v="1176"/>
    <n v="6186"/>
    <n v="0.73499999999999999"/>
    <n v="17390"/>
    <n v="130"/>
    <n v="0.68799999999999994"/>
    <n v="0.16"/>
    <s v="9.2637e-05"/>
    <n v="0.99990999999999997"/>
    <s v="10.861539535920416"/>
    <s v="74.19134532024854"/>
    <s v="52.938163713823485"/>
    <s v="21.460296055249707"/>
    <n v="721220583"/>
    <x v="0"/>
    <n v="3.4656386999999997E-4"/>
    <x v="0"/>
  </r>
  <r>
    <n v="31"/>
    <n v="1"/>
    <n v="0"/>
    <n v="2"/>
    <n v="1"/>
    <n v="3"/>
    <n v="0"/>
    <n v="36"/>
    <n v="2"/>
    <n v="3"/>
    <n v="3"/>
    <n v="32791"/>
    <n v="1607"/>
    <n v="31184"/>
    <n v="0.752"/>
    <n v="13177"/>
    <n v="106"/>
    <n v="0.73799999999999999"/>
    <n v="4.9000000000000002E-2"/>
    <n v="2.5960000000000002E-4"/>
    <n v="0.99973999999999996"/>
    <s v="11.502941598899156"/>
    <s v="9.949546566297869"/>
    <s v="38.53254400426325"/>
    <s v="3.667900646898168"/>
    <n v="716323683"/>
    <x v="0"/>
    <n v="3.8573547000000003E-4"/>
    <x v="0"/>
  </r>
  <r>
    <n v="35"/>
    <n v="1"/>
    <n v="1"/>
    <n v="4"/>
    <n v="1"/>
    <n v="3"/>
    <n v="0"/>
    <n v="20"/>
    <n v="6"/>
    <n v="3"/>
    <n v="4"/>
    <n v="13046"/>
    <n v="1177"/>
    <n v="11869"/>
    <n v="1.214"/>
    <n v="2601"/>
    <n v="52"/>
    <n v="0.73299999999999998"/>
    <n v="0.09"/>
    <n v="5.6988000000000004E-4"/>
    <n v="0.99943000000000004"/>
    <s v="45.52823720419924"/>
    <s v="36.20111831947122"/>
    <s v="82.94157022542535"/>
    <s v="1.7646425291624042"/>
    <n v="712491108"/>
    <x v="0"/>
    <n v="8.2045770000000004E-4"/>
    <x v="0"/>
  </r>
  <r>
    <n v="31"/>
    <n v="1"/>
    <n v="0"/>
    <n v="2"/>
    <n v="2"/>
    <n v="2"/>
    <n v="3"/>
    <n v="24"/>
    <n v="2"/>
    <n v="2"/>
    <n v="2"/>
    <n v="34516"/>
    <n v="984"/>
    <n v="33532"/>
    <n v="0.91300000000000003"/>
    <n v="15347"/>
    <n v="109"/>
    <n v="0.78700000000000003"/>
    <n v="2.9000000000000001E-2"/>
    <s v="8.8254e-05"/>
    <n v="0.99990999999999997"/>
    <s v="53.66605096502817"/>
    <s v="5.719593930066478"/>
    <n v="6.6324928026249603"/>
    <s v="1.2730094600878192"/>
    <n v="758331483"/>
    <x v="0"/>
    <n v="4.5919998000000002E-4"/>
    <x v="0"/>
  </r>
  <r>
    <n v="55"/>
    <n v="1"/>
    <n v="2"/>
    <n v="5"/>
    <n v="1"/>
    <n v="0"/>
    <n v="0"/>
    <n v="48"/>
    <n v="2"/>
    <n v="1"/>
    <n v="2"/>
    <n v="6577"/>
    <n v="1800"/>
    <n v="4777"/>
    <n v="0.78600000000000003"/>
    <n v="14229"/>
    <n v="120"/>
    <n v="0.69"/>
    <n v="0.27400000000000002"/>
    <s v="5.663e-05"/>
    <n v="0.99994000000000005"/>
    <s v="62.509729728624166"/>
    <s v="27.42295084218572"/>
    <s v="80.50920492066969"/>
    <n v="6.3838740817121202"/>
    <n v="709476033"/>
    <x v="0"/>
    <n v="3.4656386999999997E-4"/>
    <x v="0"/>
  </r>
  <r>
    <n v="37"/>
    <n v="1"/>
    <n v="2"/>
    <n v="3"/>
    <n v="2"/>
    <n v="3"/>
    <n v="0"/>
    <n v="36"/>
    <n v="1"/>
    <n v="2"/>
    <n v="3"/>
    <n v="6713"/>
    <n v="1590"/>
    <n v="5123"/>
    <n v="0.84699999999999998"/>
    <n v="7946"/>
    <n v="85"/>
    <n v="0.66700000000000004"/>
    <n v="0.23699999999999999"/>
    <n v="1.861E-4"/>
    <n v="0.99980999999999998"/>
    <n v="62.559428994563604"/>
    <s v="4.924830210522974"/>
    <s v="13.166434003194055"/>
    <s v="9.570151127479177"/>
    <n v="716335983"/>
    <x v="0"/>
    <n v="3.6856539999999998E-4"/>
    <x v="0"/>
  </r>
  <r>
    <n v="56"/>
    <n v="0"/>
    <n v="1"/>
    <n v="5"/>
    <n v="1"/>
    <n v="1"/>
    <n v="0"/>
    <n v="40"/>
    <n v="4"/>
    <n v="2"/>
    <n v="5"/>
    <n v="5366"/>
    <n v="1271"/>
    <n v="4095"/>
    <n v="0.55800000000000005"/>
    <n v="1748"/>
    <n v="38"/>
    <n v="0.9"/>
    <n v="0.23699999999999999"/>
    <n v="5.4527999999999998E-4"/>
    <n v="0.99944999999999995"/>
    <s v="7.025603640149678"/>
    <s v="33.85618102656461"/>
    <s v="50.925483505053066"/>
    <s v="7.250821103487636"/>
    <n v="710787708"/>
    <x v="0"/>
    <n v="9.8706899999999992E-4"/>
    <x v="0"/>
  </r>
  <r>
    <n v="42"/>
    <n v="0"/>
    <n v="1"/>
    <n v="5"/>
    <n v="2"/>
    <n v="4"/>
    <n v="0"/>
    <n v="35"/>
    <n v="4"/>
    <n v="3"/>
    <n v="3"/>
    <n v="3241"/>
    <n v="0"/>
    <n v="3241"/>
    <n v="0.442"/>
    <n v="2152"/>
    <n v="43"/>
    <n v="0.30299999999999999"/>
    <n v="0"/>
    <n v="0.99658999999999998"/>
    <n v="3.4124899999999998E-3"/>
    <s v="15.254305750566816"/>
    <s v="22.620044554571443"/>
    <n v="58.5313205410161"/>
    <s v="9.283317675237075"/>
    <n v="710438358"/>
    <x v="1"/>
    <n v="0.99873226999999998"/>
    <x v="1"/>
  </r>
  <r>
    <n v="55"/>
    <n v="1"/>
    <n v="2"/>
    <n v="5"/>
    <n v="1"/>
    <n v="0"/>
    <n v="0"/>
    <n v="48"/>
    <n v="5"/>
    <n v="2"/>
    <n v="3"/>
    <n v="30967"/>
    <n v="817"/>
    <n v="30150"/>
    <n v="0.378"/>
    <n v="1473"/>
    <n v="35"/>
    <n v="0.52200000000000002"/>
    <n v="2.5999999999999999E-2"/>
    <n v="1.9683E-4"/>
    <n v="0.99980000000000002"/>
    <s v="20.897581976191837"/>
    <s v="21.48686797528398"/>
    <s v="10.207344540589755"/>
    <s v="14.651220346070629"/>
    <n v="744764433"/>
    <x v="0"/>
    <n v="2.2874929999999998E-3"/>
    <x v="0"/>
  </r>
  <r>
    <n v="49"/>
    <n v="0"/>
    <n v="4"/>
    <n v="2"/>
    <n v="0"/>
    <n v="4"/>
    <n v="0"/>
    <n v="43"/>
    <n v="3"/>
    <n v="1"/>
    <n v="4"/>
    <n v="2228"/>
    <n v="1003"/>
    <n v="1225"/>
    <n v="1.119"/>
    <n v="2104"/>
    <n v="44"/>
    <n v="0.46700000000000003"/>
    <n v="0.45"/>
    <n v="1.6574E-4"/>
    <n v="0.99983"/>
    <s v="21.21589674920813"/>
    <s v="37.72127140555034"/>
    <s v="35.018689305637885"/>
    <s v="12.169207138307346"/>
    <n v="770241333"/>
    <x v="0"/>
    <n v="1.308921E-3"/>
    <x v="0"/>
  </r>
  <r>
    <n v="38"/>
    <n v="1"/>
    <n v="1"/>
    <n v="1"/>
    <n v="2"/>
    <n v="3"/>
    <n v="3"/>
    <n v="29"/>
    <n v="6"/>
    <n v="3"/>
    <n v="3"/>
    <n v="34516"/>
    <n v="1435"/>
    <n v="33081"/>
    <n v="1.1299999999999999"/>
    <n v="4238"/>
    <n v="85"/>
    <n v="0.80900000000000005"/>
    <n v="4.2000000000000003E-2"/>
    <n v="3.7125999999999999E-4"/>
    <n v="0.99963000000000002"/>
    <s v="45.41272681934274"/>
    <s v="115.71901350231042"/>
    <s v="49.46921190511098"/>
    <s v="12.882465954696288"/>
    <n v="718785483"/>
    <x v="0"/>
    <n v="3.756586E-4"/>
    <x v="0"/>
  </r>
  <r>
    <n v="51"/>
    <n v="1"/>
    <n v="2"/>
    <n v="6"/>
    <n v="1"/>
    <n v="0"/>
    <n v="0"/>
    <n v="36"/>
    <n v="5"/>
    <n v="3"/>
    <n v="2"/>
    <n v="28600"/>
    <n v="0"/>
    <n v="28600"/>
    <n v="0.50600000000000001"/>
    <n v="4336"/>
    <n v="66"/>
    <n v="0.61"/>
    <n v="0"/>
    <n v="1.9771E-4"/>
    <n v="0.99980000000000002"/>
    <s v="20.205098557659124"/>
    <s v="13.534341495128968"/>
    <s v="64.70723190962133"/>
    <s v="32.39724700959005"/>
    <n v="708483708"/>
    <x v="0"/>
    <n v="7.686247E-4"/>
    <x v="0"/>
  </r>
  <r>
    <n v="38"/>
    <n v="0"/>
    <n v="3"/>
    <n v="3"/>
    <n v="1"/>
    <n v="5"/>
    <n v="0"/>
    <n v="29"/>
    <n v="4"/>
    <n v="2"/>
    <n v="2"/>
    <n v="11327"/>
    <n v="1528"/>
    <n v="9799"/>
    <n v="1.1419999999999999"/>
    <n v="2033"/>
    <n v="38"/>
    <n v="0.72699999999999998"/>
    <n v="0.13500000000000001"/>
    <n v="1.1482E-4"/>
    <n v="0.99988999999999995"/>
    <s v="2.036235262441765"/>
    <s v="16.480803513296724"/>
    <s v="0.4702634925214424"/>
    <s v="4.642555888617411"/>
    <n v="710317758"/>
    <x v="0"/>
    <n v="1.0226059000000001E-3"/>
    <x v="0"/>
  </r>
  <r>
    <n v="43"/>
    <n v="0"/>
    <n v="1"/>
    <n v="0"/>
    <n v="2"/>
    <n v="4"/>
    <n v="0"/>
    <n v="36"/>
    <n v="3"/>
    <n v="2"/>
    <n v="2"/>
    <n v="3342"/>
    <n v="2517"/>
    <n v="825"/>
    <n v="0.97699999999999998"/>
    <n v="5848"/>
    <n v="81"/>
    <n v="0.8"/>
    <n v="0.753"/>
    <n v="1.0387000000000001E-4"/>
    <n v="0.99990000000000001"/>
    <s v="30.59021100049736"/>
    <s v="2.356139404457927"/>
    <s v="146.09068152131687"/>
    <s v="5.055856750243444"/>
    <n v="715123983"/>
    <x v="0"/>
    <n v="5.4758834000000005E-4"/>
    <x v="0"/>
  </r>
  <r>
    <n v="36"/>
    <n v="1"/>
    <n v="4"/>
    <n v="6"/>
    <n v="2"/>
    <n v="1"/>
    <n v="0"/>
    <n v="36"/>
    <n v="6"/>
    <n v="1"/>
    <n v="2"/>
    <n v="9887"/>
    <n v="994"/>
    <n v="8893"/>
    <n v="0.48799999999999999"/>
    <n v="2552"/>
    <n v="64"/>
    <n v="0.45500000000000002"/>
    <n v="0.10100000000000001"/>
    <s v="6.3492e-05"/>
    <n v="0.99994000000000005"/>
    <n v="94.159655588102396"/>
    <s v="1.2801723401466358"/>
    <s v="136.26513363021184"/>
    <s v="10.54399626038997"/>
    <n v="714062958"/>
    <x v="0"/>
    <n v="4.4142877000000002E-4"/>
    <x v="0"/>
  </r>
  <r>
    <n v="51"/>
    <n v="0"/>
    <n v="1"/>
    <n v="5"/>
    <n v="2"/>
    <n v="4"/>
    <n v="3"/>
    <n v="41"/>
    <n v="6"/>
    <n v="2"/>
    <n v="3"/>
    <n v="14563"/>
    <n v="1309"/>
    <n v="13254"/>
    <n v="0.70799999999999996"/>
    <n v="6408"/>
    <n v="70"/>
    <n v="0.94399999999999995"/>
    <n v="0.09"/>
    <n v="0.99404999999999999"/>
    <n v="5.9500000000000004E-3"/>
    <s v="18.775336726735944"/>
    <s v="36.80311385041404"/>
    <s v="47.444768583963175"/>
    <s v="2.9534787214189837"/>
    <n v="712044558"/>
    <x v="1"/>
    <n v="0.98892139999999995"/>
    <x v="1"/>
  </r>
  <r>
    <n v="32"/>
    <n v="1"/>
    <n v="1"/>
    <n v="5"/>
    <n v="2"/>
    <n v="2"/>
    <n v="3"/>
    <n v="36"/>
    <n v="2"/>
    <n v="3"/>
    <n v="1"/>
    <n v="33711"/>
    <n v="1437"/>
    <n v="32274"/>
    <n v="0.94199999999999995"/>
    <n v="14880"/>
    <n v="134"/>
    <n v="0.65400000000000003"/>
    <n v="4.2999999999999997E-2"/>
    <s v="9.4595e-05"/>
    <n v="0.99990999999999997"/>
    <s v="0.2108145599970765"/>
    <s v="36.48262948996719"/>
    <s v="12.110603237716736"/>
    <s v="24.46077958736746"/>
    <n v="719413383"/>
    <x v="0"/>
    <n v="4.0555582000000002E-4"/>
    <x v="0"/>
  </r>
  <r>
    <n v="54"/>
    <n v="1"/>
    <n v="0"/>
    <n v="3"/>
    <n v="1"/>
    <n v="3"/>
    <n v="0"/>
    <n v="36"/>
    <n v="3"/>
    <n v="1"/>
    <n v="2"/>
    <n v="16286"/>
    <n v="1710"/>
    <n v="14576"/>
    <n v="1.2230000000000001"/>
    <n v="2552"/>
    <n v="49"/>
    <n v="1.2270000000000001"/>
    <n v="0.105"/>
    <s v="4.5946e-05"/>
    <n v="0.99995000000000001"/>
    <s v="41.02849077158198"/>
    <s v="18.072516056861105"/>
    <n v="47.845640352189797"/>
    <s v="12.095120469625112"/>
    <n v="716139933"/>
    <x v="0"/>
    <n v="8.981118E-4"/>
    <x v="0"/>
  </r>
  <r>
    <n v="47"/>
    <n v="0"/>
    <n v="5"/>
    <n v="3"/>
    <n v="1"/>
    <n v="1"/>
    <n v="0"/>
    <n v="36"/>
    <n v="5"/>
    <n v="3"/>
    <n v="2"/>
    <n v="7061"/>
    <n v="1813"/>
    <n v="5248"/>
    <n v="0.74399999999999999"/>
    <n v="1831"/>
    <n v="60"/>
    <n v="0.5"/>
    <n v="0.25700000000000001"/>
    <n v="1.8053000000000001E-4"/>
    <n v="0.99982000000000004"/>
    <n v="9.23073699229158E-2"/>
    <s v="50.21399605031996"/>
    <s v="69.87505317182729"/>
    <s v="7.721837293881206"/>
    <n v="713830233"/>
    <x v="0"/>
    <n v="4.3725208000000001E-4"/>
    <x v="0"/>
  </r>
  <r>
    <n v="56"/>
    <n v="0"/>
    <n v="3"/>
    <n v="2"/>
    <n v="2"/>
    <n v="4"/>
    <n v="0"/>
    <n v="36"/>
    <n v="5"/>
    <n v="5"/>
    <n v="2"/>
    <n v="4255"/>
    <n v="0"/>
    <n v="4255"/>
    <n v="0.94799999999999995"/>
    <n v="4606"/>
    <n v="79"/>
    <n v="0.79500000000000004"/>
    <n v="0"/>
    <n v="2.0846999999999999E-4"/>
    <n v="0.99978999999999996"/>
    <s v="1.844126917035624"/>
    <s v="21.528478297005087"/>
    <s v="78.83526256850061"/>
    <s v="13.58583335981688"/>
    <n v="712869783"/>
    <x v="0"/>
    <n v="7.4699510000000001E-4"/>
    <x v="0"/>
  </r>
  <r>
    <n v="54"/>
    <n v="1"/>
    <n v="2"/>
    <n v="0"/>
    <n v="1"/>
    <n v="0"/>
    <n v="0"/>
    <n v="46"/>
    <n v="6"/>
    <n v="1"/>
    <n v="2"/>
    <n v="28465"/>
    <n v="0"/>
    <n v="28465"/>
    <n v="0.69599999999999995"/>
    <n v="1693"/>
    <n v="37"/>
    <n v="1.056"/>
    <n v="0"/>
    <s v="5.3547e-05"/>
    <n v="0.99995000000000001"/>
    <s v="34.16096393626606"/>
    <s v="37.84605963262116"/>
    <s v="4.6613955869340025"/>
    <s v="18.87788087281754"/>
    <n v="720812433"/>
    <x v="0"/>
    <n v="3.081084E-3"/>
    <x v="0"/>
  </r>
  <r>
    <n v="53"/>
    <n v="0"/>
    <n v="3"/>
    <n v="5"/>
    <n v="1"/>
    <n v="1"/>
    <n v="0"/>
    <n v="42"/>
    <n v="6"/>
    <n v="1"/>
    <n v="2"/>
    <n v="2293"/>
    <n v="1460"/>
    <n v="833"/>
    <n v="0.65800000000000003"/>
    <n v="4436"/>
    <n v="74"/>
    <n v="0.54200000000000004"/>
    <n v="0.63700000000000001"/>
    <s v="5.8763e-05"/>
    <n v="0.99994000000000005"/>
    <s v="20.487828565757606"/>
    <s v="0.8733416093700715"/>
    <s v="12.797798300939464"/>
    <s v="21.16465341465285"/>
    <n v="715603233"/>
    <x v="0"/>
    <n v="3.2914013999999999E-4"/>
    <x v="0"/>
  </r>
  <r>
    <n v="48"/>
    <n v="0"/>
    <n v="4"/>
    <n v="2"/>
    <n v="2"/>
    <n v="5"/>
    <n v="0"/>
    <n v="41"/>
    <n v="5"/>
    <n v="3"/>
    <n v="2"/>
    <n v="5239"/>
    <n v="1172"/>
    <n v="4067"/>
    <n v="0.82499999999999996"/>
    <n v="4241"/>
    <n v="61"/>
    <n v="0.96799999999999997"/>
    <n v="0.224"/>
    <n v="1.8864000000000001E-4"/>
    <n v="0.99980999999999998"/>
    <s v="9.933439302272152"/>
    <s v="28.627192508162487"/>
    <s v="18.49763801283855"/>
    <s v="1.9933751847571632"/>
    <n v="744705408"/>
    <x v="0"/>
    <n v="3.479205E-4"/>
    <x v="0"/>
  </r>
  <r>
    <n v="41"/>
    <n v="1"/>
    <n v="4"/>
    <n v="1"/>
    <n v="3"/>
    <n v="4"/>
    <n v="0"/>
    <n v="31"/>
    <n v="6"/>
    <n v="2"/>
    <n v="1"/>
    <n v="2515"/>
    <n v="1767"/>
    <n v="748"/>
    <n v="0.66500000000000004"/>
    <n v="4388"/>
    <n v="67"/>
    <n v="0.67500000000000004"/>
    <n v="0.70299999999999996"/>
    <n v="1.0417E-4"/>
    <n v="0.99990000000000001"/>
    <s v="17.97156021749878"/>
    <s v="5.3588358237894615"/>
    <s v="43.22590940588288"/>
    <s v="10.255250050223804"/>
    <n v="789859833"/>
    <x v="0"/>
    <n v="3.2101269999999999E-4"/>
    <x v="0"/>
  </r>
  <r>
    <n v="62"/>
    <n v="0"/>
    <n v="1"/>
    <n v="3"/>
    <n v="2"/>
    <n v="4"/>
    <n v="0"/>
    <n v="36"/>
    <n v="2"/>
    <n v="3"/>
    <n v="4"/>
    <n v="1930"/>
    <n v="0"/>
    <n v="1930"/>
    <n v="0.33100000000000002"/>
    <n v="1971"/>
    <n v="45"/>
    <n v="0.25"/>
    <n v="0"/>
    <n v="0.99787999999999999"/>
    <n v="2.1182699999999998E-3"/>
    <s v="7.953235495400223"/>
    <s v="81.08151635217389"/>
    <s v="45.044780176579295"/>
    <n v="6.4260866470060103"/>
    <n v="711626658"/>
    <x v="1"/>
    <n v="0.99842569999999997"/>
    <x v="1"/>
  </r>
  <r>
    <n v="50"/>
    <n v="1"/>
    <n v="1"/>
    <n v="6"/>
    <n v="2"/>
    <n v="0"/>
    <n v="0"/>
    <n v="39"/>
    <n v="3"/>
    <n v="2"/>
    <n v="3"/>
    <n v="27512"/>
    <n v="2137"/>
    <n v="25375"/>
    <n v="1.048"/>
    <n v="1149"/>
    <n v="25"/>
    <n v="0.56200000000000006"/>
    <n v="7.8E-2"/>
    <n v="0.99495999999999996"/>
    <n v="5.0400000000000002E-3"/>
    <s v="0.8743043540185197"/>
    <s v="97.57370686635213"/>
    <s v="18.365247070484983"/>
    <s v="10.045696070860089"/>
    <n v="719443683"/>
    <x v="1"/>
    <n v="0.99444264000000004"/>
    <x v="1"/>
  </r>
  <r>
    <n v="44"/>
    <n v="1"/>
    <n v="3"/>
    <n v="3"/>
    <n v="1"/>
    <n v="2"/>
    <n v="0"/>
    <n v="36"/>
    <n v="4"/>
    <n v="1"/>
    <n v="2"/>
    <n v="2188"/>
    <n v="1241"/>
    <n v="947"/>
    <n v="0.78200000000000003"/>
    <n v="4509"/>
    <n v="67"/>
    <n v="0.67500000000000004"/>
    <n v="0.56699999999999995"/>
    <s v="5.5559e-05"/>
    <n v="0.99994000000000005"/>
    <s v="5.292522224857433"/>
    <s v="17.045258984653376"/>
    <s v="120.85771376775082"/>
    <s v="0.1154508819845303"/>
    <n v="710294808"/>
    <x v="0"/>
    <n v="3.2101269999999999E-4"/>
    <x v="0"/>
  </r>
  <r>
    <n v="54"/>
    <n v="1"/>
    <n v="2"/>
    <n v="2"/>
    <n v="1"/>
    <n v="3"/>
    <n v="0"/>
    <n v="37"/>
    <n v="3"/>
    <n v="2"/>
    <n v="3"/>
    <n v="3164"/>
    <n v="2201"/>
    <n v="963"/>
    <n v="0.67900000000000005"/>
    <n v="4410"/>
    <n v="86"/>
    <n v="0.623"/>
    <n v="0.69599999999999995"/>
    <n v="1.9143E-4"/>
    <n v="0.99980999999999998"/>
    <s v="14.84152135346272"/>
    <s v="98.47418510695132"/>
    <s v="34.73644138813336"/>
    <s v="14.508935810756755"/>
    <n v="708433683"/>
    <x v="0"/>
    <n v="3.2914013999999999E-4"/>
    <x v="0"/>
  </r>
  <r>
    <n v="41"/>
    <n v="0"/>
    <n v="0"/>
    <n v="3"/>
    <n v="1"/>
    <n v="4"/>
    <n v="0"/>
    <n v="31"/>
    <n v="4"/>
    <n v="2"/>
    <n v="4"/>
    <n v="2685"/>
    <n v="1647"/>
    <n v="1038"/>
    <n v="0.81200000000000006"/>
    <n v="4625"/>
    <n v="94"/>
    <n v="0.51600000000000001"/>
    <n v="0.61299999999999999"/>
    <n v="2.7242999999999999E-4"/>
    <n v="0.99973000000000001"/>
    <s v="25.96270728944358"/>
    <s v="19.32078113140945"/>
    <s v="43.73608254499455"/>
    <s v="8.470145673850343"/>
    <n v="708393633"/>
    <x v="0"/>
    <n v="3.4439339999999999E-4"/>
    <x v="0"/>
  </r>
  <r>
    <n v="43"/>
    <n v="0"/>
    <n v="5"/>
    <n v="5"/>
    <n v="1"/>
    <n v="4"/>
    <n v="0"/>
    <n v="30"/>
    <n v="1"/>
    <n v="3"/>
    <n v="2"/>
    <n v="3092"/>
    <n v="909"/>
    <n v="2183"/>
    <n v="0.83199999999999996"/>
    <n v="4797"/>
    <n v="87"/>
    <n v="0.85099999999999998"/>
    <n v="0.29399999999999998"/>
    <n v="1.9094000000000001E-4"/>
    <n v="0.99980999999999998"/>
    <s v="5.976071218454345"/>
    <s v="12.672222463195352"/>
    <s v="16.573592354665788"/>
    <s v="6.627847812077702"/>
    <n v="720980958"/>
    <x v="0"/>
    <n v="4.0989029999999999E-4"/>
    <x v="0"/>
  </r>
  <r>
    <n v="41"/>
    <n v="1"/>
    <n v="2"/>
    <n v="2"/>
    <n v="2"/>
    <n v="0"/>
    <n v="0"/>
    <n v="37"/>
    <n v="5"/>
    <n v="3"/>
    <n v="4"/>
    <n v="27742"/>
    <n v="2517"/>
    <n v="25225"/>
    <n v="0.83499999999999996"/>
    <n v="8646"/>
    <n v="85"/>
    <n v="0.97699999999999998"/>
    <n v="9.0999999999999998E-2"/>
    <n v="0.99807000000000001"/>
    <n v="1.93323E-3"/>
    <s v="21.291412952113355"/>
    <s v="50.915095968666286"/>
    <s v="3.1586301201884743"/>
    <s v="3.837915117068435"/>
    <n v="820666083"/>
    <x v="1"/>
    <n v="0.98023419999999994"/>
    <x v="1"/>
  </r>
  <r>
    <n v="51"/>
    <n v="1"/>
    <n v="2"/>
    <n v="3"/>
    <n v="1"/>
    <n v="2"/>
    <n v="0"/>
    <n v="37"/>
    <n v="6"/>
    <n v="6"/>
    <n v="3"/>
    <n v="8787"/>
    <n v="1087"/>
    <n v="7700"/>
    <n v="0.97399999999999998"/>
    <n v="4537"/>
    <n v="75"/>
    <n v="1.2729999999999999"/>
    <n v="0.124"/>
    <n v="2.3216E-4"/>
    <n v="0.99977000000000005"/>
    <s v="12.111035389775996"/>
    <s v="66.12040337450804"/>
    <s v="50.65802744414669"/>
    <s v="2.3815247990863866"/>
    <n v="714733908"/>
    <x v="0"/>
    <n v="3.3750932000000002E-4"/>
    <x v="0"/>
  </r>
  <r>
    <n v="50"/>
    <n v="1"/>
    <n v="3"/>
    <n v="6"/>
    <n v="1"/>
    <n v="3"/>
    <n v="0"/>
    <n v="39"/>
    <n v="5"/>
    <n v="3"/>
    <n v="4"/>
    <n v="13824"/>
    <n v="1582"/>
    <n v="12242"/>
    <n v="0.52200000000000002"/>
    <n v="4630"/>
    <n v="74"/>
    <n v="0.64400000000000002"/>
    <n v="0.114"/>
    <n v="5.8850999999999999E-4"/>
    <n v="0.99941000000000002"/>
    <s v="12.47171898416692"/>
    <s v="24.049881318117293"/>
    <s v="71.78952994387598"/>
    <n v="0.60407720002781695"/>
    <n v="713919183"/>
    <x v="0"/>
    <n v="3.2914013999999999E-4"/>
    <x v="0"/>
  </r>
  <r>
    <n v="38"/>
    <n v="0"/>
    <n v="3"/>
    <n v="3"/>
    <n v="1"/>
    <n v="5"/>
    <n v="0"/>
    <n v="32"/>
    <n v="4"/>
    <n v="2"/>
    <n v="1"/>
    <n v="11594"/>
    <n v="2072"/>
    <n v="9522"/>
    <n v="0.98299999999999998"/>
    <n v="2320"/>
    <n v="51"/>
    <n v="0.59399999999999997"/>
    <n v="0.17899999999999999"/>
    <s v="6.9242e-05"/>
    <n v="0.99992999999999999"/>
    <n v="72.819078584862595"/>
    <s v="2.2192879767556866"/>
    <n v="59.219314975190301"/>
    <s v="6.250606430200641"/>
    <n v="802817358"/>
    <x v="0"/>
    <n v="1.0948938000000001E-3"/>
    <x v="0"/>
  </r>
  <r>
    <n v="37"/>
    <n v="0"/>
    <n v="2"/>
    <n v="4"/>
    <n v="1"/>
    <n v="4"/>
    <n v="0"/>
    <n v="36"/>
    <n v="6"/>
    <n v="2"/>
    <n v="3"/>
    <n v="2310"/>
    <n v="1513"/>
    <n v="797"/>
    <n v="0.68200000000000005"/>
    <n v="4191"/>
    <n v="77"/>
    <n v="0.83299999999999996"/>
    <n v="0.65500000000000003"/>
    <n v="2.2525E-4"/>
    <n v="0.99977000000000005"/>
    <s v="9.245400593801342"/>
    <s v="31.90464290856298"/>
    <s v="48.07759924983986"/>
    <s v="11.605838346375103"/>
    <n v="708222558"/>
    <x v="0"/>
    <n v="3.2101269999999999E-4"/>
    <x v="0"/>
  </r>
  <r>
    <n v="41"/>
    <n v="1"/>
    <n v="3"/>
    <n v="5"/>
    <n v="1"/>
    <n v="1"/>
    <n v="0"/>
    <n v="28"/>
    <n v="3"/>
    <n v="3"/>
    <n v="4"/>
    <n v="11091"/>
    <n v="0"/>
    <n v="11091"/>
    <n v="0.52200000000000002"/>
    <n v="1234"/>
    <n v="34"/>
    <n v="0.308"/>
    <n v="0"/>
    <n v="0.99819000000000002"/>
    <n v="1.8121700000000001E-3"/>
    <s v="16.03023436750454"/>
    <s v="33.67628266401776"/>
    <s v="21.79319366688301"/>
    <s v="6.062905321672618"/>
    <n v="787460883"/>
    <x v="1"/>
    <n v="0.99820969999999998"/>
    <x v="1"/>
  </r>
  <r>
    <n v="55"/>
    <n v="1"/>
    <n v="3"/>
    <n v="5"/>
    <n v="1"/>
    <n v="2"/>
    <n v="0"/>
    <n v="44"/>
    <n v="3"/>
    <n v="2"/>
    <n v="2"/>
    <n v="2323"/>
    <n v="0"/>
    <n v="2323"/>
    <n v="0.73699999999999999"/>
    <n v="804"/>
    <n v="15"/>
    <n v="0.5"/>
    <n v="0"/>
    <n v="0.99182999999999999"/>
    <n v="8.1700000000000002E-3"/>
    <s v="8.093946196296972"/>
    <s v="6.152830692816239"/>
    <s v="53.19038901587667"/>
    <s v="4.730558722892377"/>
    <n v="720370533"/>
    <x v="1"/>
    <n v="0.99870884000000004"/>
    <x v="1"/>
  </r>
  <r>
    <n v="39"/>
    <n v="0"/>
    <n v="2"/>
    <n v="6"/>
    <n v="2"/>
    <n v="1"/>
    <n v="1"/>
    <n v="36"/>
    <n v="5"/>
    <n v="3"/>
    <n v="3"/>
    <n v="23981"/>
    <n v="1696"/>
    <n v="22285"/>
    <n v="0.83699999999999997"/>
    <n v="8646"/>
    <n v="97"/>
    <n v="0.90200000000000002"/>
    <n v="7.0999999999999994E-2"/>
    <n v="3.8307E-4"/>
    <n v="0.99961999999999995"/>
    <s v="29.873344141902148"/>
    <s v="34.60549768619746"/>
    <s v="80.45883767715787"/>
    <n v="6.3657256270409404"/>
    <n v="714383583"/>
    <x v="0"/>
    <n v="4.1022256E-4"/>
    <x v="0"/>
  </r>
  <r>
    <n v="32"/>
    <n v="1"/>
    <n v="0"/>
    <n v="2"/>
    <n v="0"/>
    <n v="1"/>
    <n v="0"/>
    <n v="36"/>
    <n v="2"/>
    <n v="1"/>
    <n v="1"/>
    <n v="7473"/>
    <n v="1253"/>
    <n v="6220"/>
    <n v="0.98"/>
    <n v="13400"/>
    <n v="104"/>
    <n v="0.73299999999999998"/>
    <n v="0.16800000000000001"/>
    <s v="2.8501e-05"/>
    <n v="0.99997000000000003"/>
    <s v="9.053716665024009"/>
    <s v="47.013265001999656"/>
    <s v="22.47388919140317"/>
    <s v="6.464148380593983"/>
    <n v="710694033"/>
    <x v="0"/>
    <n v="3.6437239999999999E-4"/>
    <x v="0"/>
  </r>
  <r>
    <n v="40"/>
    <n v="0"/>
    <n v="3"/>
    <n v="5"/>
    <n v="1"/>
    <n v="4"/>
    <n v="0"/>
    <n v="34"/>
    <n v="5"/>
    <n v="1"/>
    <n v="2"/>
    <n v="2694"/>
    <n v="0"/>
    <n v="2694"/>
    <n v="0.872"/>
    <n v="2684"/>
    <n v="38"/>
    <n v="0.31"/>
    <n v="0"/>
    <n v="0.98326999999999998"/>
    <n v="1.6729999999999998E-2"/>
    <s v="13.726992574995544"/>
    <n v="3.8863578376071199"/>
    <s v="184.8494140861548"/>
    <s v="17.83163181736129"/>
    <n v="798481383"/>
    <x v="1"/>
    <n v="0.99869054999999995"/>
    <x v="1"/>
  </r>
  <r>
    <n v="57"/>
    <n v="0"/>
    <n v="2"/>
    <n v="1"/>
    <n v="0"/>
    <n v="4"/>
    <n v="0"/>
    <n v="47"/>
    <n v="5"/>
    <n v="1"/>
    <n v="2"/>
    <n v="2504"/>
    <n v="1915"/>
    <n v="589"/>
    <n v="0.89700000000000002"/>
    <n v="4847"/>
    <n v="86"/>
    <n v="0.65400000000000003"/>
    <n v="0.76500000000000001"/>
    <s v="7.9702e-05"/>
    <n v="0.99992000000000003"/>
    <s v="47.88930774957944"/>
    <s v="68.33316575487929"/>
    <s v="29.94232337560271"/>
    <s v="15.261598718019403"/>
    <n v="715571583"/>
    <x v="0"/>
    <n v="3.221314E-4"/>
    <x v="0"/>
  </r>
  <r>
    <n v="51"/>
    <n v="1"/>
    <n v="2"/>
    <n v="5"/>
    <n v="0"/>
    <n v="0"/>
    <n v="0"/>
    <n v="41"/>
    <n v="4"/>
    <n v="2"/>
    <n v="3"/>
    <n v="30560"/>
    <n v="0"/>
    <n v="30560"/>
    <n v="0.72099999999999997"/>
    <n v="3736"/>
    <n v="55"/>
    <n v="0.71899999999999997"/>
    <n v="0"/>
    <n v="1.9683E-4"/>
    <n v="0.99980000000000002"/>
    <s v="26.812512703072358"/>
    <s v="9.529852219889923"/>
    <s v="33.22183802580716"/>
    <s v="10.924556020170366"/>
    <n v="789339633"/>
    <x v="0"/>
    <n v="1.4145458E-3"/>
    <x v="0"/>
  </r>
  <r>
    <n v="55"/>
    <n v="1"/>
    <n v="2"/>
    <n v="6"/>
    <n v="2"/>
    <n v="2"/>
    <n v="0"/>
    <n v="36"/>
    <n v="5"/>
    <n v="3"/>
    <n v="1"/>
    <n v="1594"/>
    <n v="927"/>
    <n v="667"/>
    <n v="0.98499999999999999"/>
    <n v="3851"/>
    <n v="65"/>
    <n v="0.80600000000000005"/>
    <n v="0.58199999999999996"/>
    <n v="1.1924E-4"/>
    <n v="0.99987999999999999"/>
    <s v="25.60740609318554"/>
    <s v="48.53284023984237"/>
    <n v="3.1204852981445002"/>
    <n v="8.5639424471596008"/>
    <n v="715278708"/>
    <x v="0"/>
    <n v="3.9660546000000002E-4"/>
    <x v="0"/>
  </r>
  <r>
    <n v="47"/>
    <n v="1"/>
    <n v="3"/>
    <n v="5"/>
    <n v="0"/>
    <n v="3"/>
    <n v="0"/>
    <n v="34"/>
    <n v="5"/>
    <n v="1"/>
    <n v="3"/>
    <n v="1626"/>
    <n v="1013"/>
    <n v="613"/>
    <n v="0.82599999999999996"/>
    <n v="5262"/>
    <n v="83"/>
    <n v="0.72899999999999998"/>
    <n v="0.623"/>
    <s v="9.8837e-05"/>
    <n v="0.99990000000000001"/>
    <s v="23.563732626918785"/>
    <s v="2.683965231259572"/>
    <s v="8.344074258946986"/>
    <s v="11.418666765223437"/>
    <n v="717947508"/>
    <x v="0"/>
    <n v="3.4800241999999998E-4"/>
    <x v="0"/>
  </r>
  <r>
    <n v="40"/>
    <n v="0"/>
    <n v="3"/>
    <n v="3"/>
    <n v="0"/>
    <n v="1"/>
    <n v="0"/>
    <n v="28"/>
    <n v="4"/>
    <n v="1"/>
    <n v="4"/>
    <n v="4464"/>
    <n v="1418"/>
    <n v="3046"/>
    <n v="0.92"/>
    <n v="3870"/>
    <n v="73"/>
    <n v="0.46"/>
    <n v="0.318"/>
    <n v="1.5941999999999999E-4"/>
    <n v="0.99983999999999995"/>
    <s v="70.44874914639885"/>
    <s v="45.61875478940234"/>
    <n v="49.601453698618897"/>
    <s v="6.916410613970061"/>
    <n v="789109983"/>
    <x v="0"/>
    <n v="3.7584610000000003E-4"/>
    <x v="0"/>
  </r>
  <r>
    <n v="46"/>
    <n v="0"/>
    <n v="2"/>
    <n v="2"/>
    <n v="2"/>
    <n v="4"/>
    <n v="0"/>
    <n v="41"/>
    <n v="5"/>
    <n v="3"/>
    <n v="0"/>
    <n v="4745"/>
    <n v="1270"/>
    <n v="3475"/>
    <n v="0.93"/>
    <n v="1519"/>
    <n v="31"/>
    <n v="0.93799999999999994"/>
    <n v="0.26800000000000002"/>
    <s v="6.6354e-05"/>
    <n v="0.99992999999999999"/>
    <s v="29.180528434570387"/>
    <s v="23.20193865071282"/>
    <s v="19.40509707896112"/>
    <s v="3.2855533665585708"/>
    <n v="819129858"/>
    <x v="0"/>
    <n v="9.8706899999999992E-4"/>
    <x v="0"/>
  </r>
  <r>
    <n v="46"/>
    <n v="1"/>
    <n v="3"/>
    <n v="2"/>
    <n v="1"/>
    <n v="0"/>
    <n v="0"/>
    <n v="42"/>
    <n v="3"/>
    <n v="3"/>
    <n v="4"/>
    <n v="9227"/>
    <n v="938"/>
    <n v="8289"/>
    <n v="0.73499999999999999"/>
    <n v="3948"/>
    <n v="74"/>
    <n v="0.72099999999999997"/>
    <n v="0.10199999999999999"/>
    <n v="5.3543000000000004E-4"/>
    <n v="0.99946000000000002"/>
    <s v="0.9919645696210972"/>
    <s v="1.4717071409924318"/>
    <s v="139.01036468177864"/>
    <s v="34.80664712632951"/>
    <n v="823621083"/>
    <x v="0"/>
    <n v="3.9522952000000002E-4"/>
    <x v="0"/>
  </r>
  <r>
    <n v="46"/>
    <n v="0"/>
    <n v="3"/>
    <n v="3"/>
    <n v="3"/>
    <n v="4"/>
    <n v="0"/>
    <n v="41"/>
    <n v="2"/>
    <n v="1"/>
    <n v="4"/>
    <n v="1515"/>
    <n v="0"/>
    <n v="1515"/>
    <n v="0.81899999999999995"/>
    <n v="3894"/>
    <n v="60"/>
    <n v="0.81799999999999995"/>
    <n v="0"/>
    <n v="1.5941999999999999E-4"/>
    <n v="0.99983999999999995"/>
    <s v="4.001385820458111"/>
    <s v="10.866495546221358"/>
    <s v="71.64265441288178"/>
    <s v="15.68498102123633"/>
    <n v="815525508"/>
    <x v="0"/>
    <n v="8.6722160000000004E-4"/>
    <x v="0"/>
  </r>
  <r>
    <n v="52"/>
    <n v="0"/>
    <n v="2"/>
    <n v="3"/>
    <n v="2"/>
    <n v="1"/>
    <n v="0"/>
    <n v="39"/>
    <n v="2"/>
    <n v="1"/>
    <n v="1"/>
    <n v="12214"/>
    <n v="2379"/>
    <n v="9835"/>
    <n v="0.76900000000000002"/>
    <n v="8426"/>
    <n v="105"/>
    <n v="0.54400000000000004"/>
    <n v="0.19500000000000001"/>
    <s v="3.2288e-05"/>
    <n v="0.99997000000000003"/>
    <s v="6.943630965528673"/>
    <s v="47.14538239437289"/>
    <s v="19.605214747429304"/>
    <s v="2.5494353310915194"/>
    <n v="720859533"/>
    <x v="0"/>
    <n v="3.7789578000000003E-4"/>
    <x v="0"/>
  </r>
  <r>
    <n v="47"/>
    <n v="0"/>
    <n v="3"/>
    <n v="6"/>
    <n v="3"/>
    <n v="4"/>
    <n v="0"/>
    <n v="36"/>
    <n v="6"/>
    <n v="2"/>
    <n v="3"/>
    <n v="1953"/>
    <n v="1089"/>
    <n v="864"/>
    <n v="0.85899999999999999"/>
    <n v="4636"/>
    <n v="70"/>
    <n v="0.70699999999999996"/>
    <n v="0.55800000000000005"/>
    <n v="2.1834E-4"/>
    <n v="0.99978"/>
    <s v="3.5789880741635995"/>
    <s v="5.537868915596348"/>
    <n v="46.053384248409202"/>
    <s v="36.57722220573914"/>
    <n v="721246833"/>
    <x v="0"/>
    <n v="3.2101269999999999E-4"/>
    <x v="0"/>
  </r>
  <r>
    <n v="45"/>
    <n v="1"/>
    <n v="4"/>
    <n v="5"/>
    <n v="2"/>
    <n v="3"/>
    <n v="0"/>
    <n v="35"/>
    <n v="2"/>
    <n v="2"/>
    <n v="2"/>
    <n v="11318"/>
    <n v="2082"/>
    <n v="9236"/>
    <n v="0.73299999999999998"/>
    <n v="7179"/>
    <n v="93"/>
    <n v="0.63200000000000001"/>
    <n v="0.184"/>
    <n v="1.2274000000000001E-4"/>
    <n v="0.99987999999999999"/>
    <s v="34.370672436935145"/>
    <s v="71.91127749888545"/>
    <s v="13.293574624372877"/>
    <s v="6.582935817943706"/>
    <n v="779018508"/>
    <x v="0"/>
    <n v="3.7789578000000003E-4"/>
    <x v="0"/>
  </r>
  <r>
    <n v="48"/>
    <n v="1"/>
    <n v="2"/>
    <n v="3"/>
    <n v="1"/>
    <n v="4"/>
    <n v="3"/>
    <n v="36"/>
    <n v="2"/>
    <n v="2"/>
    <n v="2"/>
    <n v="14581"/>
    <n v="2517"/>
    <n v="12064"/>
    <n v="0.77600000000000002"/>
    <n v="17628"/>
    <n v="109"/>
    <n v="0.81699999999999995"/>
    <n v="0.17299999999999999"/>
    <s v="9.9979e-05"/>
    <n v="0.99990000000000001"/>
    <s v="5.885700821763491"/>
    <s v="41.92442721874584"/>
    <s v="102.68200088287884"/>
    <s v="10.80604909723305"/>
    <n v="713758758"/>
    <x v="0"/>
    <n v="3.7453471999999999E-4"/>
    <x v="0"/>
  </r>
  <r>
    <n v="38"/>
    <n v="0"/>
    <n v="1"/>
    <n v="0"/>
    <n v="1"/>
    <n v="4"/>
    <n v="0"/>
    <n v="25"/>
    <n v="3"/>
    <n v="3"/>
    <n v="1"/>
    <n v="2580"/>
    <n v="2265"/>
    <n v="315"/>
    <n v="0.82399999999999995"/>
    <n v="1665"/>
    <n v="57"/>
    <n v="0.629"/>
    <n v="0.878"/>
    <s v="9.8992e-05"/>
    <n v="0.99990000000000001"/>
    <s v="31.713502193605912"/>
    <s v="53.32076901111562"/>
    <s v="18.35065191455032"/>
    <s v="6.424033673275386"/>
    <n v="717548358"/>
    <x v="0"/>
    <n v="4.9672270000000003E-4"/>
    <x v="0"/>
  </r>
  <r>
    <n v="39"/>
    <n v="1"/>
    <n v="4"/>
    <n v="3"/>
    <n v="1"/>
    <n v="2"/>
    <n v="0"/>
    <n v="32"/>
    <n v="4"/>
    <n v="2"/>
    <n v="2"/>
    <n v="19198"/>
    <n v="2218"/>
    <n v="16980"/>
    <n v="0.80200000000000005"/>
    <n v="4423"/>
    <n v="90"/>
    <n v="0.66700000000000004"/>
    <n v="0.11600000000000001"/>
    <n v="1.1603999999999999E-4"/>
    <n v="0.99987999999999999"/>
    <n v="34.085619149325197"/>
    <n v="6.9182441466378597"/>
    <s v="25.087324516304847"/>
    <s v="10.822876176241556"/>
    <n v="754851783"/>
    <x v="0"/>
    <n v="3.2101269999999999E-4"/>
    <x v="0"/>
  </r>
  <r>
    <n v="52"/>
    <n v="1"/>
    <n v="4"/>
    <n v="2"/>
    <n v="1"/>
    <n v="2"/>
    <n v="0"/>
    <n v="36"/>
    <n v="4"/>
    <n v="1"/>
    <n v="3"/>
    <n v="9375"/>
    <n v="1625"/>
    <n v="7750"/>
    <n v="0.53200000000000003"/>
    <n v="2108"/>
    <n v="51"/>
    <n v="0.5"/>
    <n v="0.17299999999999999"/>
    <n v="0.98980999999999997"/>
    <n v="1.0189999999999999E-2"/>
    <s v="34.40122597593523"/>
    <s v="56.19248491783838"/>
    <s v="8.952536252475262"/>
    <n v="8.4545657399157399"/>
    <n v="715732533"/>
    <x v="1"/>
    <n v="0.99483100000000002"/>
    <x v="1"/>
  </r>
  <r>
    <n v="32"/>
    <n v="1"/>
    <n v="1"/>
    <n v="0"/>
    <n v="0"/>
    <n v="3"/>
    <n v="0"/>
    <n v="36"/>
    <n v="5"/>
    <n v="3"/>
    <n v="4"/>
    <n v="34516"/>
    <n v="0"/>
    <n v="34516"/>
    <n v="0.84499999999999997"/>
    <n v="2305"/>
    <n v="60"/>
    <n v="0.71399999999999997"/>
    <n v="0"/>
    <n v="4.7091E-4"/>
    <n v="0.99953000000000003"/>
    <s v="20.178381118188184"/>
    <s v="35.443579988176346"/>
    <n v="63.246302985332797"/>
    <s v="7.784852007077958"/>
    <n v="711213108"/>
    <x v="0"/>
    <n v="1.1105738E-3"/>
    <x v="0"/>
  </r>
  <r>
    <n v="61"/>
    <n v="1"/>
    <n v="0"/>
    <n v="3"/>
    <n v="0"/>
    <n v="2"/>
    <n v="0"/>
    <n v="51"/>
    <n v="6"/>
    <n v="3"/>
    <n v="4"/>
    <n v="5852"/>
    <n v="1935"/>
    <n v="3917"/>
    <n v="0.82899999999999996"/>
    <n v="3689"/>
    <n v="55"/>
    <n v="0.61799999999999999"/>
    <n v="0.33100000000000002"/>
    <n v="4.3049000000000001E-4"/>
    <n v="0.99956999999999996"/>
    <n v="19.4674315243142"/>
    <s v="28.32184229423849"/>
    <s v="71.79045987505086"/>
    <s v="14.256731032839792"/>
    <n v="718025808"/>
    <x v="0"/>
    <n v="4.9584946999999999E-4"/>
    <x v="0"/>
  </r>
  <r>
    <n v="42"/>
    <n v="0"/>
    <n v="1"/>
    <n v="4"/>
    <n v="2"/>
    <n v="4"/>
    <n v="0"/>
    <n v="28"/>
    <n v="3"/>
    <n v="3"/>
    <n v="0"/>
    <n v="3453"/>
    <n v="1010"/>
    <n v="2443"/>
    <n v="0.80100000000000005"/>
    <n v="8108"/>
    <n v="85"/>
    <n v="0.7"/>
    <n v="0.29199999999999998"/>
    <s v="7.3286e-05"/>
    <n v="0.99992999999999999"/>
    <s v="46.30888959860709"/>
    <s v="29.419380087772637"/>
    <s v="15.587958926738496"/>
    <s v="26.991008033260226"/>
    <n v="713364783"/>
    <x v="0"/>
    <n v="3.6856539999999998E-4"/>
    <x v="0"/>
  </r>
  <r>
    <n v="27"/>
    <n v="0"/>
    <n v="1"/>
    <n v="4"/>
    <n v="2"/>
    <n v="4"/>
    <n v="0"/>
    <n v="22"/>
    <n v="4"/>
    <n v="1"/>
    <n v="3"/>
    <n v="2965"/>
    <n v="1635"/>
    <n v="1330"/>
    <n v="0.7"/>
    <n v="2553"/>
    <n v="59"/>
    <n v="0.55300000000000005"/>
    <n v="0.55100000000000005"/>
    <n v="1.0231E-4"/>
    <n v="0.99990000000000001"/>
    <s v="1.509732378952767"/>
    <s v="75.43475291728028"/>
    <s v="35.663055238601274"/>
    <s v="19.164382302940176"/>
    <n v="806752533"/>
    <x v="0"/>
    <n v="4.8533552999999998E-4"/>
    <x v="0"/>
  </r>
  <r>
    <n v="27"/>
    <n v="0"/>
    <n v="1"/>
    <n v="6"/>
    <n v="2"/>
    <n v="4"/>
    <n v="0"/>
    <n v="36"/>
    <n v="3"/>
    <n v="3"/>
    <n v="3"/>
    <n v="1553"/>
    <n v="723"/>
    <n v="830"/>
    <n v="0.66600000000000004"/>
    <n v="1954"/>
    <n v="43"/>
    <n v="0.34399999999999997"/>
    <n v="0.46600000000000003"/>
    <n v="3.1210999999999999E-4"/>
    <n v="0.99968999999999997"/>
    <s v="47.04207695628589"/>
    <s v="39.55212383114413"/>
    <s v="55.34536317138314"/>
    <s v="6.606088905033618"/>
    <n v="719227233"/>
    <x v="0"/>
    <n v="2.3921292999999999E-3"/>
    <x v="0"/>
  </r>
  <r>
    <n v="35"/>
    <n v="1"/>
    <n v="4"/>
    <n v="3"/>
    <n v="1"/>
    <n v="1"/>
    <n v="0"/>
    <n v="27"/>
    <n v="6"/>
    <n v="2"/>
    <n v="3"/>
    <n v="5325"/>
    <n v="1318"/>
    <n v="4007"/>
    <n v="1.0449999999999999"/>
    <n v="1814"/>
    <n v="43"/>
    <n v="0.59299999999999997"/>
    <n v="0.248"/>
    <n v="1.9516999999999999E-4"/>
    <n v="0.99980000000000002"/>
    <s v="8.310189603317427"/>
    <s v="5.817939685793628"/>
    <s v="23.13368834784587"/>
    <s v="2.057480750136872"/>
    <n v="788107683"/>
    <x v="0"/>
    <n v="1.0598798E-3"/>
    <x v="0"/>
  </r>
  <r>
    <n v="53"/>
    <n v="1"/>
    <n v="5"/>
    <n v="2"/>
    <n v="2"/>
    <n v="0"/>
    <n v="1"/>
    <n v="36"/>
    <n v="2"/>
    <n v="4"/>
    <n v="1"/>
    <n v="34516"/>
    <n v="2088"/>
    <n v="32428"/>
    <n v="0.82199999999999995"/>
    <n v="15290"/>
    <n v="123"/>
    <n v="0.73199999999999998"/>
    <n v="0.06"/>
    <n v="1.5593000000000001E-4"/>
    <n v="0.99983999999999995"/>
    <s v="23.973925712924157"/>
    <s v="82.61342395387389"/>
    <s v="65.50552196303454"/>
    <s v="0.1852195689799392"/>
    <n v="779685558"/>
    <x v="0"/>
    <n v="3.8573547000000003E-4"/>
    <x v="0"/>
  </r>
  <r>
    <n v="57"/>
    <n v="1"/>
    <n v="4"/>
    <n v="2"/>
    <n v="1"/>
    <n v="3"/>
    <n v="0"/>
    <n v="49"/>
    <n v="4"/>
    <n v="2"/>
    <n v="4"/>
    <n v="3038"/>
    <n v="1410"/>
    <n v="1628"/>
    <n v="0.64400000000000002"/>
    <n v="1762"/>
    <n v="34"/>
    <n v="0.7"/>
    <n v="0.46400000000000002"/>
    <n v="3.4247999999999999E-4"/>
    <n v="0.99965999999999999"/>
    <s v="40.68867497497362"/>
    <s v="0.7987109234011289"/>
    <n v="32.470628675713897"/>
    <s v="11.728817119599965"/>
    <n v="711320508"/>
    <x v="0"/>
    <n v="1.0337284E-3"/>
    <x v="0"/>
  </r>
  <r>
    <n v="46"/>
    <n v="0"/>
    <n v="4"/>
    <n v="3"/>
    <n v="3"/>
    <n v="4"/>
    <n v="0"/>
    <n v="37"/>
    <n v="5"/>
    <n v="3"/>
    <n v="3"/>
    <n v="7552"/>
    <n v="0"/>
    <n v="7552"/>
    <n v="1.0469999999999999"/>
    <n v="5537"/>
    <n v="63"/>
    <n v="0.85299999999999998"/>
    <n v="0"/>
    <n v="0.99677000000000004"/>
    <n v="3.2308599999999999E-3"/>
    <n v="9.8520113472086308"/>
    <s v="28.179261217474515"/>
    <n v="70.724850645459597"/>
    <s v="5.0192017724313045"/>
    <n v="720178158"/>
    <x v="1"/>
    <n v="0.9954307"/>
    <x v="1"/>
  </r>
  <r>
    <n v="47"/>
    <n v="1"/>
    <n v="2"/>
    <n v="3"/>
    <n v="2"/>
    <n v="3"/>
    <n v="0"/>
    <n v="36"/>
    <n v="4"/>
    <n v="3"/>
    <n v="5"/>
    <n v="4754"/>
    <n v="0"/>
    <n v="4754"/>
    <n v="0.61799999999999999"/>
    <n v="2607"/>
    <n v="41"/>
    <n v="0.36699999999999999"/>
    <n v="0"/>
    <n v="0.99885000000000002"/>
    <n v="1.1500600000000001E-3"/>
    <s v="18.193691280487812"/>
    <s v="0.4068585000093474"/>
    <s v="82.27598877687036"/>
    <s v="11.836631519196676"/>
    <n v="709102458"/>
    <x v="1"/>
    <n v="0.9979905"/>
    <x v="1"/>
  </r>
  <r>
    <n v="49"/>
    <n v="1"/>
    <n v="2"/>
    <n v="5"/>
    <n v="1"/>
    <n v="2"/>
    <n v="0"/>
    <n v="44"/>
    <n v="6"/>
    <n v="3"/>
    <n v="0"/>
    <n v="7819"/>
    <n v="1560"/>
    <n v="6259"/>
    <n v="0.82699999999999996"/>
    <n v="1582"/>
    <n v="25"/>
    <n v="0.78600000000000003"/>
    <n v="0.2"/>
    <s v="6.8225e-05"/>
    <n v="0.99992999999999999"/>
    <s v="36.29558576190623"/>
    <s v="28.878321254861063"/>
    <s v="42.24258319179236"/>
    <s v="13.438098316993695"/>
    <n v="809976033"/>
    <x v="0"/>
    <n v="9.8706899999999992E-4"/>
    <x v="0"/>
  </r>
  <r>
    <n v="38"/>
    <n v="1"/>
    <n v="2"/>
    <n v="6"/>
    <n v="2"/>
    <n v="2"/>
    <n v="0"/>
    <n v="33"/>
    <n v="2"/>
    <n v="3"/>
    <n v="2"/>
    <n v="12871"/>
    <n v="0"/>
    <n v="12871"/>
    <n v="0.59799999999999998"/>
    <n v="2413"/>
    <n v="53"/>
    <n v="0.60599999999999998"/>
    <n v="0"/>
    <n v="0.99497000000000002"/>
    <n v="5.0299999999999997E-3"/>
    <s v="22.240035891394648"/>
    <s v="50.73271450251252"/>
    <s v="137.22364627960417"/>
    <s v="12.591885469183485"/>
    <n v="819647358"/>
    <x v="1"/>
    <n v="0.99781489999999995"/>
    <x v="1"/>
  </r>
  <r>
    <n v="48"/>
    <n v="1"/>
    <n v="4"/>
    <n v="2"/>
    <n v="1"/>
    <n v="2"/>
    <n v="0"/>
    <n v="37"/>
    <n v="2"/>
    <n v="1"/>
    <n v="1"/>
    <n v="13197"/>
    <n v="0"/>
    <n v="13197"/>
    <n v="0.68100000000000005"/>
    <n v="8424"/>
    <n v="84"/>
    <n v="0.78700000000000003"/>
    <n v="0"/>
    <s v="3.4833e-05"/>
    <n v="0.99997000000000003"/>
    <s v="40.58610608613726"/>
    <s v="17.92154237716766"/>
    <s v="48.487058259546046"/>
    <s v="9.094716000348358"/>
    <n v="771772083"/>
    <x v="0"/>
    <n v="7.9810305E-4"/>
    <x v="0"/>
  </r>
  <r>
    <n v="56"/>
    <n v="0"/>
    <n v="0"/>
    <n v="0"/>
    <n v="1"/>
    <n v="4"/>
    <n v="0"/>
    <n v="38"/>
    <n v="1"/>
    <n v="1"/>
    <n v="2"/>
    <n v="2143"/>
    <n v="1194"/>
    <n v="949"/>
    <n v="0.49"/>
    <n v="4684"/>
    <n v="82"/>
    <n v="0.90700000000000003"/>
    <n v="0.55700000000000005"/>
    <s v="4.595e-05"/>
    <n v="0.99995000000000001"/>
    <s v="4.210437923988012"/>
    <s v="3.878764516631808"/>
    <s v="12.254566792477055"/>
    <s v="5.065375609924021"/>
    <n v="712804383"/>
    <x v="0"/>
    <n v="3.2101269999999999E-4"/>
    <x v="0"/>
  </r>
  <r>
    <n v="40"/>
    <n v="0"/>
    <n v="4"/>
    <n v="5"/>
    <n v="1"/>
    <n v="4"/>
    <n v="0"/>
    <n v="27"/>
    <n v="5"/>
    <n v="3"/>
    <n v="1"/>
    <n v="4788"/>
    <n v="1088"/>
    <n v="3700"/>
    <n v="0.80800000000000005"/>
    <n v="4438"/>
    <n v="78"/>
    <n v="0.95"/>
    <n v="0.22700000000000001"/>
    <n v="1.1697E-4"/>
    <n v="0.99987999999999999"/>
    <s v="27.72393044424753"/>
    <s v="14.021759553811355"/>
    <s v="77.32216226596876"/>
    <s v="4.119244301780943"/>
    <n v="789698733"/>
    <x v="0"/>
    <n v="3.2101269999999999E-4"/>
    <x v="0"/>
  </r>
  <r>
    <n v="53"/>
    <n v="0"/>
    <n v="2"/>
    <n v="5"/>
    <n v="2"/>
    <n v="1"/>
    <n v="0"/>
    <n v="42"/>
    <n v="2"/>
    <n v="1"/>
    <n v="3"/>
    <n v="14839"/>
    <n v="2226"/>
    <n v="12613"/>
    <n v="0.82799999999999996"/>
    <n v="14625"/>
    <n v="115"/>
    <n v="0.76900000000000002"/>
    <n v="0.15"/>
    <s v="9.5249e-05"/>
    <n v="0.99990000000000001"/>
    <s v="1.6001758345826798"/>
    <s v="7.430349277803196"/>
    <s v="19.452287112653664"/>
    <s v="2.5525384756909526"/>
    <n v="718023708"/>
    <x v="0"/>
    <n v="3.4656386999999997E-4"/>
    <x v="0"/>
  </r>
  <r>
    <n v="52"/>
    <n v="0"/>
    <n v="5"/>
    <n v="2"/>
    <n v="2"/>
    <n v="1"/>
    <n v="0"/>
    <n v="41"/>
    <n v="4"/>
    <n v="2"/>
    <n v="3"/>
    <n v="3035"/>
    <n v="1960"/>
    <n v="1075"/>
    <n v="0.56599999999999995"/>
    <n v="4104"/>
    <n v="79"/>
    <n v="0.92700000000000005"/>
    <n v="0.64600000000000002"/>
    <n v="1.9764000000000001E-4"/>
    <n v="0.99980000000000002"/>
    <n v="32.267172561040702"/>
    <s v="29.005627481468927"/>
    <s v="101.3896789136687"/>
    <s v="3.539356981087822"/>
    <n v="712591983"/>
    <x v="0"/>
    <n v="3.2101269999999999E-4"/>
    <x v="0"/>
  </r>
  <r>
    <n v="63"/>
    <n v="1"/>
    <n v="1"/>
    <n v="3"/>
    <n v="1"/>
    <n v="1"/>
    <n v="0"/>
    <n v="36"/>
    <n v="5"/>
    <n v="3"/>
    <n v="2"/>
    <n v="4559"/>
    <n v="1571"/>
    <n v="2988"/>
    <n v="1.4410000000000001"/>
    <n v="1870"/>
    <n v="35"/>
    <n v="0.84199999999999997"/>
    <n v="0.34499999999999997"/>
    <n v="1.6412999999999999E-4"/>
    <n v="0.99983999999999995"/>
    <s v="15.779221723039743"/>
    <s v="33.43575217760046"/>
    <s v="110.55992215318126"/>
    <s v="13.545614920167951"/>
    <n v="708938508"/>
    <x v="0"/>
    <n v="9.8706899999999992E-4"/>
    <x v="0"/>
  </r>
  <r>
    <n v="54"/>
    <n v="0"/>
    <n v="5"/>
    <n v="6"/>
    <n v="2"/>
    <n v="4"/>
    <n v="0"/>
    <n v="49"/>
    <n v="2"/>
    <n v="3"/>
    <n v="2"/>
    <n v="1476"/>
    <n v="0"/>
    <n v="1476"/>
    <n v="0.69899999999999995"/>
    <n v="4462"/>
    <n v="75"/>
    <n v="0.78600000000000003"/>
    <n v="0"/>
    <n v="2.0411999999999999E-4"/>
    <n v="0.99980000000000002"/>
    <s v="17.078737362994097"/>
    <s v="41.35196886244861"/>
    <s v="178.20976252578131"/>
    <n v="5.7647941125162898"/>
    <n v="715380483"/>
    <x v="0"/>
    <n v="6.9517245999999998E-4"/>
    <x v="0"/>
  </r>
  <r>
    <n v="55"/>
    <n v="0"/>
    <n v="1"/>
    <n v="2"/>
    <n v="1"/>
    <n v="4"/>
    <n v="0"/>
    <n v="46"/>
    <n v="6"/>
    <n v="4"/>
    <n v="3"/>
    <n v="4232"/>
    <n v="0"/>
    <n v="4232"/>
    <n v="0.878"/>
    <n v="2312"/>
    <n v="37"/>
    <n v="0.60899999999999999"/>
    <n v="0"/>
    <n v="0.99709999999999999"/>
    <n v="2.90471E-3"/>
    <s v="21.728525163505537"/>
    <s v="29.70635109903972"/>
    <s v="55.60053818783796"/>
    <s v="29.99663563249524"/>
    <n v="719084358"/>
    <x v="1"/>
    <n v="0.99853705999999998"/>
    <x v="1"/>
  </r>
  <r>
    <n v="36"/>
    <n v="1"/>
    <n v="3"/>
    <n v="6"/>
    <n v="2"/>
    <n v="2"/>
    <n v="0"/>
    <n v="21"/>
    <n v="4"/>
    <n v="2"/>
    <n v="3"/>
    <n v="7381"/>
    <n v="1608"/>
    <n v="5773"/>
    <n v="0.78400000000000003"/>
    <n v="5638"/>
    <n v="86"/>
    <n v="0.65400000000000003"/>
    <n v="0.218"/>
    <n v="2.1834E-4"/>
    <n v="0.99978"/>
    <s v="1.3041173369933756"/>
    <s v="47.99918180531178"/>
    <s v="45.52593256380094"/>
    <s v="5.113031018448912"/>
    <n v="780089658"/>
    <x v="0"/>
    <n v="3.6856539999999998E-4"/>
    <x v="0"/>
  </r>
  <r>
    <n v="49"/>
    <n v="1"/>
    <n v="1"/>
    <n v="6"/>
    <n v="1"/>
    <n v="4"/>
    <n v="0"/>
    <n v="35"/>
    <n v="5"/>
    <n v="2"/>
    <n v="2"/>
    <n v="1438.3"/>
    <n v="0"/>
    <n v="1438.3"/>
    <n v="0.68100000000000005"/>
    <n v="4109"/>
    <n v="71"/>
    <n v="0.91900000000000004"/>
    <n v="0"/>
    <n v="1.1743000000000001E-4"/>
    <n v="0.99987999999999999"/>
    <s v="5.613309514911568"/>
    <n v="28.876669970378401"/>
    <s v="42.615105613547925"/>
    <s v="7.525630047206853"/>
    <n v="713499408"/>
    <x v="0"/>
    <n v="7.4965424999999997E-4"/>
    <x v="0"/>
  </r>
  <r>
    <n v="46"/>
    <n v="0"/>
    <n v="4"/>
    <n v="2"/>
    <n v="1"/>
    <n v="4"/>
    <n v="0"/>
    <n v="38"/>
    <n v="3"/>
    <n v="3"/>
    <n v="2"/>
    <n v="1485"/>
    <n v="736"/>
    <n v="749"/>
    <n v="0.622"/>
    <n v="4198"/>
    <n v="65"/>
    <n v="0.91200000000000003"/>
    <n v="0.496"/>
    <n v="1.8864000000000001E-4"/>
    <n v="0.99980999999999998"/>
    <s v="2.947597591787405"/>
    <s v="5.342045843288783"/>
    <n v="21.0184797424515"/>
    <s v="0.8661447814991042"/>
    <n v="710201058"/>
    <x v="0"/>
    <n v="5.5828195999999995E-4"/>
    <x v="0"/>
  </r>
  <r>
    <n v="45"/>
    <n v="0"/>
    <n v="3"/>
    <n v="3"/>
    <n v="2"/>
    <n v="1"/>
    <n v="0"/>
    <n v="36"/>
    <n v="4"/>
    <n v="2"/>
    <n v="2"/>
    <n v="1912"/>
    <n v="1281"/>
    <n v="631"/>
    <n v="0.69299999999999995"/>
    <n v="5046"/>
    <n v="79"/>
    <n v="0.71699999999999997"/>
    <n v="0.67"/>
    <n v="1.1482E-4"/>
    <n v="0.99988999999999995"/>
    <n v="34.589279323180001"/>
    <s v="54.82320525262407"/>
    <s v="8.908311628919227"/>
    <n v="8.1371262342452297"/>
    <n v="789454683"/>
    <x v="0"/>
    <n v="3.2101269999999999E-4"/>
    <x v="0"/>
  </r>
  <r>
    <n v="47"/>
    <n v="1"/>
    <n v="3"/>
    <n v="3"/>
    <n v="1"/>
    <n v="3"/>
    <n v="0"/>
    <n v="34"/>
    <n v="3"/>
    <n v="3"/>
    <n v="3"/>
    <n v="21359"/>
    <n v="0"/>
    <n v="21359"/>
    <n v="0.55100000000000005"/>
    <n v="2064"/>
    <n v="63"/>
    <n v="0.85299999999999998"/>
    <n v="0"/>
    <n v="0.99673"/>
    <n v="3.2652800000000002E-3"/>
    <s v="2.593261405635585"/>
    <s v="46.35003745012345"/>
    <s v="33.404244008313725"/>
    <s v="15.742832719297295"/>
    <n v="720950283"/>
    <x v="1"/>
    <n v="0.99372064999999998"/>
    <x v="1"/>
  </r>
  <r>
    <n v="53"/>
    <n v="0"/>
    <n v="2"/>
    <n v="3"/>
    <n v="1"/>
    <n v="1"/>
    <n v="0"/>
    <n v="37"/>
    <n v="1"/>
    <n v="4"/>
    <n v="3"/>
    <n v="5182"/>
    <n v="2500"/>
    <n v="2682"/>
    <n v="0.86899999999999999"/>
    <n v="5012"/>
    <n v="85"/>
    <n v="0.80900000000000005"/>
    <n v="0.48199999999999998"/>
    <n v="3.5539000000000002E-4"/>
    <n v="0.99963999999999997"/>
    <s v="31.137478571931965"/>
    <s v="29.223839201491565"/>
    <s v="100.73315395487651"/>
    <s v="18.62503105472951"/>
    <n v="779837808"/>
    <x v="0"/>
    <n v="3.4692350000000002E-4"/>
    <x v="0"/>
  </r>
  <r>
    <n v="47"/>
    <n v="1"/>
    <n v="1"/>
    <n v="2"/>
    <n v="1"/>
    <n v="2"/>
    <n v="0"/>
    <n v="36"/>
    <n v="4"/>
    <n v="3"/>
    <n v="2"/>
    <n v="19063"/>
    <n v="1714"/>
    <n v="17349"/>
    <n v="0.78600000000000003"/>
    <n v="1270"/>
    <n v="21"/>
    <n v="0.61499999999999999"/>
    <n v="0.09"/>
    <n v="1.6882999999999999E-4"/>
    <n v="0.99983"/>
    <s v="5.862267911811198"/>
    <s v="5.366696920046295"/>
    <s v="68.82829402560847"/>
    <s v="4.567992677297698"/>
    <n v="713743158"/>
    <x v="0"/>
    <n v="1.0902653000000001E-3"/>
    <x v="0"/>
  </r>
  <r>
    <n v="52"/>
    <n v="0"/>
    <n v="2"/>
    <n v="3"/>
    <n v="1"/>
    <n v="5"/>
    <n v="0"/>
    <n v="39"/>
    <n v="1"/>
    <n v="3"/>
    <n v="4"/>
    <n v="2233"/>
    <n v="1790"/>
    <n v="443"/>
    <n v="0.79800000000000004"/>
    <n v="2888"/>
    <n v="50"/>
    <n v="0.56200000000000006"/>
    <n v="0.80200000000000005"/>
    <n v="0.99800999999999995"/>
    <n v="1.9885300000000001E-3"/>
    <s v="23.935404853270608"/>
    <s v="44.75346333195288"/>
    <s v="141.24033962255908"/>
    <s v="9.671569154610149"/>
    <n v="711666708"/>
    <x v="1"/>
    <n v="0.99309340000000002"/>
    <x v="1"/>
  </r>
  <r>
    <n v="39"/>
    <n v="0"/>
    <n v="4"/>
    <n v="4"/>
    <n v="1"/>
    <n v="4"/>
    <n v="0"/>
    <n v="22"/>
    <n v="3"/>
    <n v="3"/>
    <n v="1"/>
    <n v="5454"/>
    <n v="1108"/>
    <n v="4346"/>
    <n v="1.0209999999999999"/>
    <n v="2674"/>
    <n v="67"/>
    <n v="0.67500000000000004"/>
    <n v="0.20300000000000001"/>
    <n v="1.3386E-4"/>
    <n v="0.99987000000000004"/>
    <n v="9.8808988853150392"/>
    <s v="18.770537735352207"/>
    <s v="46.76198307506001"/>
    <n v="0.15614795989720401"/>
    <n v="713412558"/>
    <x v="0"/>
    <n v="3.7709110000000001E-4"/>
    <x v="0"/>
  </r>
  <r>
    <n v="39"/>
    <n v="1"/>
    <n v="3"/>
    <n v="2"/>
    <n v="1"/>
    <n v="2"/>
    <n v="0"/>
    <n v="33"/>
    <n v="4"/>
    <n v="3"/>
    <n v="2"/>
    <n v="3477"/>
    <n v="1875"/>
    <n v="1602"/>
    <n v="0.90700000000000003"/>
    <n v="1897"/>
    <n v="50"/>
    <n v="1.083"/>
    <n v="0.53900000000000003"/>
    <n v="1.8665000000000001E-4"/>
    <n v="0.99980999999999998"/>
    <s v="51.126355342669214"/>
    <s v="4.797190939959157"/>
    <s v="20.250446535021005"/>
    <n v="18.2169951717365"/>
    <n v="716374308"/>
    <x v="0"/>
    <n v="8.7616660000000004E-4"/>
    <x v="0"/>
  </r>
  <r>
    <n v="48"/>
    <n v="0"/>
    <n v="1"/>
    <n v="5"/>
    <n v="3"/>
    <n v="1"/>
    <n v="0"/>
    <n v="39"/>
    <n v="6"/>
    <n v="4"/>
    <n v="2"/>
    <n v="1438.3"/>
    <n v="1218"/>
    <n v="220.3"/>
    <n v="0.752"/>
    <n v="4600"/>
    <n v="76"/>
    <n v="0.61699999999999999"/>
    <n v="0.84699999999999998"/>
    <n v="2.0979000000000001E-4"/>
    <n v="0.99978999999999996"/>
    <s v="17.72886337620302"/>
    <s v="41.65593295930493"/>
    <s v="17.551752322583685"/>
    <s v="17.25250046712353"/>
    <n v="717107808"/>
    <x v="0"/>
    <n v="3.2914013999999999E-4"/>
    <x v="0"/>
  </r>
  <r>
    <n v="34"/>
    <n v="1"/>
    <n v="2"/>
    <n v="2"/>
    <n v="1"/>
    <n v="3"/>
    <n v="0"/>
    <n v="23"/>
    <n v="6"/>
    <n v="2"/>
    <n v="3"/>
    <n v="7567"/>
    <n v="1776"/>
    <n v="5791"/>
    <n v="1.2749999999999999"/>
    <n v="2361"/>
    <n v="45"/>
    <n v="0.875"/>
    <n v="0.23499999999999999"/>
    <n v="1.9143E-4"/>
    <n v="0.99980999999999998"/>
    <s v="34.96883897297822"/>
    <s v="0.8818360225621263"/>
    <s v="33.917223063286336"/>
    <s v="1.7334850321768125"/>
    <n v="711738333"/>
    <x v="0"/>
    <n v="1.0481173E-3"/>
    <x v="0"/>
  </r>
  <r>
    <n v="39"/>
    <n v="0"/>
    <n v="4"/>
    <n v="3"/>
    <n v="2"/>
    <n v="5"/>
    <n v="0"/>
    <n v="36"/>
    <n v="3"/>
    <n v="2"/>
    <n v="4"/>
    <n v="12405"/>
    <n v="0"/>
    <n v="12405"/>
    <n v="0.94899999999999995"/>
    <n v="3151"/>
    <n v="39"/>
    <n v="0.44400000000000001"/>
    <n v="0"/>
    <n v="0.99700999999999995"/>
    <n v="2.9935700000000001E-3"/>
    <s v="18.411977241701795"/>
    <s v="21.75750083180033"/>
    <s v="23.89408507032298"/>
    <n v="6.9189116776561699"/>
    <n v="716668308"/>
    <x v="1"/>
    <n v="0.99810670000000001"/>
    <x v="1"/>
  </r>
  <r>
    <n v="51"/>
    <n v="0"/>
    <n v="2"/>
    <n v="6"/>
    <n v="2"/>
    <n v="4"/>
    <n v="0"/>
    <n v="43"/>
    <n v="5"/>
    <n v="3"/>
    <n v="2"/>
    <n v="3245"/>
    <n v="0"/>
    <n v="3245"/>
    <n v="0.55300000000000005"/>
    <n v="1977"/>
    <n v="29"/>
    <n v="0.26100000000000001"/>
    <n v="0"/>
    <n v="0.99497000000000002"/>
    <n v="5.0299999999999997E-3"/>
    <s v="34.368764185429605"/>
    <s v="4.882450022768548"/>
    <s v="45.76308582933253"/>
    <s v="5.611934671039773"/>
    <n v="708681708"/>
    <x v="1"/>
    <n v="0.99866544999999995"/>
    <x v="1"/>
  </r>
  <r>
    <n v="42"/>
    <n v="0"/>
    <n v="2"/>
    <n v="1"/>
    <n v="1"/>
    <n v="5"/>
    <n v="0"/>
    <n v="30"/>
    <n v="4"/>
    <n v="3"/>
    <n v="5"/>
    <n v="14828"/>
    <n v="1513"/>
    <n v="13315"/>
    <n v="0.748"/>
    <n v="15572"/>
    <n v="113"/>
    <n v="0.61399999999999999"/>
    <n v="0.10199999999999999"/>
    <n v="1.2911999999999999E-3"/>
    <n v="0.99870999999999999"/>
    <s v="30.680515349780496"/>
    <s v="21.069370529798206"/>
    <s v="98.52696287642009"/>
    <s v="22.303924172198418"/>
    <n v="709385133"/>
    <x v="0"/>
    <n v="2.7589235E-2"/>
    <x v="0"/>
  </r>
  <r>
    <n v="49"/>
    <n v="1"/>
    <n v="3"/>
    <n v="4"/>
    <n v="1"/>
    <n v="3"/>
    <n v="0"/>
    <n v="45"/>
    <n v="3"/>
    <n v="0"/>
    <n v="4"/>
    <n v="23870"/>
    <n v="0"/>
    <n v="23870"/>
    <n v="0.60399999999999998"/>
    <n v="1885"/>
    <n v="39"/>
    <n v="0.34499999999999997"/>
    <n v="0"/>
    <n v="0.98619000000000001"/>
    <n v="1.3809999999999999E-2"/>
    <s v="4.843081574535022"/>
    <s v="24.42712824889623"/>
    <s v="40.439918066533565"/>
    <n v="8.7574617631006397"/>
    <n v="827984658"/>
    <x v="1"/>
    <n v="0.99833554000000002"/>
    <x v="1"/>
  </r>
  <r>
    <n v="60"/>
    <n v="1"/>
    <n v="0"/>
    <n v="5"/>
    <n v="2"/>
    <n v="4"/>
    <n v="0"/>
    <n v="53"/>
    <n v="5"/>
    <n v="3"/>
    <n v="2"/>
    <n v="2402"/>
    <n v="1728"/>
    <n v="674"/>
    <n v="0.65200000000000002"/>
    <n v="1650"/>
    <n v="53"/>
    <n v="0.60599999999999998"/>
    <n v="0.71899999999999997"/>
    <n v="1.5871E-4"/>
    <n v="0.99983999999999995"/>
    <s v="31.907430484199423"/>
    <s v="25.205772749704646"/>
    <s v="54.11190298923196"/>
    <s v="10.621979157192165"/>
    <n v="718193958"/>
    <x v="0"/>
    <n v="7.0469900000000004E-4"/>
    <x v="0"/>
  </r>
  <r>
    <n v="58"/>
    <n v="1"/>
    <n v="1"/>
    <n v="5"/>
    <n v="2"/>
    <n v="2"/>
    <n v="0"/>
    <n v="46"/>
    <n v="6"/>
    <n v="3"/>
    <n v="1"/>
    <n v="2541"/>
    <n v="1053"/>
    <n v="1488"/>
    <n v="0.92600000000000005"/>
    <n v="4552"/>
    <n v="82"/>
    <n v="0.745"/>
    <n v="0.41399999999999998"/>
    <n v="1.0469E-4"/>
    <n v="0.99990000000000001"/>
    <s v="10.761324128301188"/>
    <s v="26.61405392946155"/>
    <s v="35.198610808632814"/>
    <s v="5.3845594967471575"/>
    <n v="721033908"/>
    <x v="0"/>
    <n v="3.221314E-4"/>
    <x v="0"/>
  </r>
  <r>
    <n v="46"/>
    <n v="1"/>
    <n v="2"/>
    <n v="5"/>
    <n v="2"/>
    <n v="0"/>
    <n v="0"/>
    <n v="33"/>
    <n v="6"/>
    <n v="2"/>
    <n v="3"/>
    <n v="34516"/>
    <n v="676"/>
    <n v="33840"/>
    <n v="0.81399999999999995"/>
    <n v="3508"/>
    <n v="58"/>
    <n v="0.871"/>
    <n v="0.02"/>
    <n v="1.9683E-4"/>
    <n v="0.99980000000000002"/>
    <s v="35.55889223863313"/>
    <s v="26.21610553963163"/>
    <s v="178.27644737214914"/>
    <s v="4.875299243775084"/>
    <n v="721443408"/>
    <x v="0"/>
    <n v="7.6497945999999995E-4"/>
    <x v="0"/>
  </r>
  <r>
    <n v="57"/>
    <n v="0"/>
    <n v="3"/>
    <n v="6"/>
    <n v="3"/>
    <n v="4"/>
    <n v="0"/>
    <n v="43"/>
    <n v="5"/>
    <n v="3"/>
    <n v="2"/>
    <n v="1462"/>
    <n v="0"/>
    <n v="1462"/>
    <n v="0.60199999999999998"/>
    <n v="2299"/>
    <n v="42"/>
    <n v="0.312"/>
    <n v="0"/>
    <n v="0.99514999999999998"/>
    <n v="4.8496700000000004E-3"/>
    <s v="7.244746345901466"/>
    <s v="27.299227723236523"/>
    <s v="52.63171733668071"/>
    <s v="3.896313367548288"/>
    <n v="772306383"/>
    <x v="1"/>
    <n v="0.99873226999999998"/>
    <x v="1"/>
  </r>
  <r>
    <n v="40"/>
    <n v="1"/>
    <n v="2"/>
    <n v="3"/>
    <n v="3"/>
    <n v="3"/>
    <n v="0"/>
    <n v="26"/>
    <n v="1"/>
    <n v="3"/>
    <n v="1"/>
    <n v="5238"/>
    <n v="2077"/>
    <n v="3161"/>
    <n v="0.65600000000000003"/>
    <n v="7321"/>
    <n v="73"/>
    <n v="0.65900000000000003"/>
    <n v="0.39700000000000002"/>
    <n v="1.0545E-4"/>
    <n v="0.99988999999999995"/>
    <s v="23.262736434419185"/>
    <s v="25.244267366027124"/>
    <s v="30.432878330234967"/>
    <s v="0.2332382073710723"/>
    <n v="788907033"/>
    <x v="0"/>
    <n v="5.5846529999999995E-4"/>
    <x v="0"/>
  </r>
  <r>
    <n v="64"/>
    <n v="1"/>
    <n v="1"/>
    <n v="2"/>
    <n v="2"/>
    <n v="4"/>
    <n v="0"/>
    <n v="56"/>
    <n v="3"/>
    <n v="1"/>
    <n v="5"/>
    <n v="2586"/>
    <n v="0"/>
    <n v="2586"/>
    <n v="0.63100000000000001"/>
    <n v="3435"/>
    <n v="65"/>
    <n v="0.58499999999999996"/>
    <n v="0"/>
    <n v="2.5668000000000002E-4"/>
    <n v="0.99973999999999996"/>
    <s v="27.33075972900085"/>
    <s v="17.16935212095264"/>
    <n v="1.4004494429505401"/>
    <s v="10.851161849304129"/>
    <n v="737952333"/>
    <x v="0"/>
    <n v="8.1618299999999995E-4"/>
    <x v="0"/>
  </r>
  <r>
    <n v="41"/>
    <n v="1"/>
    <n v="4"/>
    <n v="6"/>
    <n v="1"/>
    <n v="2"/>
    <n v="2"/>
    <n v="26"/>
    <n v="1"/>
    <n v="1"/>
    <n v="2"/>
    <n v="34516"/>
    <n v="1559"/>
    <n v="32957"/>
    <n v="0.75900000000000001"/>
    <n v="8888"/>
    <n v="104"/>
    <n v="0.76300000000000001"/>
    <n v="4.4999999999999998E-2"/>
    <n v="1.103E-4"/>
    <n v="0.99988999999999995"/>
    <s v="26.462206139496065"/>
    <s v="10.210986291870068"/>
    <s v="92.95245189951716"/>
    <s v="2.823968356931729"/>
    <n v="711364233"/>
    <x v="0"/>
    <n v="4.1022256E-4"/>
    <x v="0"/>
  </r>
  <r>
    <n v="44"/>
    <n v="0"/>
    <n v="4"/>
    <n v="5"/>
    <n v="1"/>
    <n v="4"/>
    <n v="0"/>
    <n v="33"/>
    <n v="5"/>
    <n v="4"/>
    <n v="2"/>
    <n v="9671"/>
    <n v="704"/>
    <n v="8967"/>
    <n v="0.69899999999999995"/>
    <n v="2955"/>
    <n v="66"/>
    <n v="0.94099999999999995"/>
    <n v="7.2999999999999995E-2"/>
    <n v="2.3440000000000001E-4"/>
    <n v="0.99977000000000005"/>
    <s v="23.62634243079283"/>
    <s v="6.800107679725358"/>
    <s v="45.62001235430195"/>
    <s v="4.155096471224223"/>
    <n v="771816408"/>
    <x v="0"/>
    <n v="6.9303219999999996E-4"/>
    <x v="0"/>
  </r>
  <r>
    <n v="49"/>
    <n v="1"/>
    <n v="2"/>
    <n v="6"/>
    <n v="3"/>
    <n v="3"/>
    <n v="0"/>
    <n v="43"/>
    <n v="5"/>
    <n v="2"/>
    <n v="2"/>
    <n v="18379"/>
    <n v="999"/>
    <n v="17380"/>
    <n v="0.46600000000000003"/>
    <n v="4122"/>
    <n v="70"/>
    <n v="0.70699999999999996"/>
    <n v="5.3999999999999999E-2"/>
    <n v="1.2511E-4"/>
    <n v="0.99987000000000004"/>
    <s v="4.127160451335446"/>
    <s v="28.77997239097051"/>
    <s v="7.664108966276501"/>
    <n v="5.3836156410435096"/>
    <n v="799031958"/>
    <x v="0"/>
    <n v="3.5729867999999997E-4"/>
    <x v="0"/>
  </r>
  <r>
    <n v="42"/>
    <n v="1"/>
    <n v="3"/>
    <n v="3"/>
    <n v="3"/>
    <n v="2"/>
    <n v="0"/>
    <n v="38"/>
    <n v="5"/>
    <n v="1"/>
    <n v="2"/>
    <n v="10239"/>
    <n v="510"/>
    <n v="9729"/>
    <n v="0.34399999999999997"/>
    <n v="1228"/>
    <n v="26"/>
    <n v="0.52900000000000003"/>
    <n v="0.05"/>
    <s v="5.5559e-05"/>
    <n v="0.99994000000000005"/>
    <s v="43.05696952831188"/>
    <s v="59.22341427301895"/>
    <s v="90.16336368649792"/>
    <s v="15.096281725599075"/>
    <n v="824782008"/>
    <x v="0"/>
    <n v="4.1105053000000001E-3"/>
    <x v="0"/>
  </r>
  <r>
    <n v="62"/>
    <n v="1"/>
    <n v="1"/>
    <n v="3"/>
    <n v="2"/>
    <n v="2"/>
    <n v="0"/>
    <n v="46"/>
    <n v="2"/>
    <n v="3"/>
    <n v="3"/>
    <n v="7547"/>
    <n v="2477"/>
    <n v="5070"/>
    <n v="1.0209999999999999"/>
    <n v="5294"/>
    <n v="73"/>
    <n v="0.69799999999999995"/>
    <n v="0.32800000000000001"/>
    <n v="0.99639"/>
    <n v="3.6085800000000001E-3"/>
    <s v="8.318981282048645"/>
    <s v="44.50035180785847"/>
    <s v="8.518832392892303"/>
    <s v="0.2442084619548264"/>
    <n v="711332883"/>
    <x v="1"/>
    <n v="0.98652136000000001"/>
    <x v="1"/>
  </r>
  <r>
    <n v="50"/>
    <n v="0"/>
    <n v="4"/>
    <n v="4"/>
    <n v="1"/>
    <n v="5"/>
    <n v="0"/>
    <n v="41"/>
    <n v="6"/>
    <n v="3"/>
    <n v="4"/>
    <n v="18178"/>
    <n v="0"/>
    <n v="18178"/>
    <n v="0.74399999999999999"/>
    <n v="3445"/>
    <n v="76"/>
    <n v="0.76700000000000002"/>
    <n v="0"/>
    <n v="6.3670999999999997E-4"/>
    <n v="0.99936000000000003"/>
    <s v="14.87376285056726"/>
    <s v="36.745579507923736"/>
    <s v="18.74700655379703"/>
    <s v="0.5480214297586713"/>
    <n v="718521258"/>
    <x v="0"/>
    <n v="7.3773605999999999E-4"/>
    <x v="0"/>
  </r>
  <r>
    <n v="35"/>
    <n v="0"/>
    <n v="3"/>
    <n v="2"/>
    <n v="2"/>
    <n v="4"/>
    <n v="0"/>
    <n v="27"/>
    <n v="3"/>
    <n v="3"/>
    <n v="2"/>
    <n v="5780"/>
    <n v="938"/>
    <n v="4842"/>
    <n v="0.98799999999999999"/>
    <n v="2960"/>
    <n v="65"/>
    <n v="0.75700000000000001"/>
    <n v="0.16200000000000001"/>
    <n v="1.8665000000000001E-4"/>
    <n v="0.99980999999999998"/>
    <s v="9.135313514959527"/>
    <s v="26.299128260672244"/>
    <n v="43.999049797759703"/>
    <s v="4.840527535627572"/>
    <n v="717310458"/>
    <x v="0"/>
    <n v="4.7486380000000001E-4"/>
    <x v="0"/>
  </r>
  <r>
    <n v="54"/>
    <n v="1"/>
    <n v="2"/>
    <n v="3"/>
    <n v="1"/>
    <n v="2"/>
    <n v="0"/>
    <n v="50"/>
    <n v="3"/>
    <n v="1"/>
    <n v="3"/>
    <n v="2210"/>
    <n v="1002"/>
    <n v="1208"/>
    <n v="0.93799999999999994"/>
    <n v="4798"/>
    <n v="86"/>
    <n v="0.65400000000000003"/>
    <n v="0.45300000000000001"/>
    <s v="9.0056e-05"/>
    <n v="0.99990999999999997"/>
    <s v="28.624808300545507"/>
    <s v="29.423128740384712"/>
    <s v="14.661505907833856"/>
    <s v="5.493549081117484"/>
    <n v="714037308"/>
    <x v="0"/>
    <n v="3.221314E-4"/>
    <x v="0"/>
  </r>
  <r>
    <n v="62"/>
    <n v="1"/>
    <n v="1"/>
    <n v="2"/>
    <n v="2"/>
    <n v="0"/>
    <n v="0"/>
    <n v="53"/>
    <n v="4"/>
    <n v="3"/>
    <n v="4"/>
    <n v="34516"/>
    <n v="2061"/>
    <n v="32455"/>
    <n v="0.56399999999999995"/>
    <n v="3820"/>
    <n v="76"/>
    <n v="0.76700000000000002"/>
    <n v="0.06"/>
    <n v="4.8434999999999998E-4"/>
    <n v="0.99951999999999996"/>
    <s v="40.51220161314557"/>
    <s v="43.30535594517602"/>
    <s v="141.32429999036452"/>
    <s v="4.003027349200683"/>
    <n v="713977308"/>
    <x v="0"/>
    <n v="3.5729867999999997E-4"/>
    <x v="0"/>
  </r>
  <r>
    <n v="34"/>
    <n v="0"/>
    <n v="2"/>
    <n v="2"/>
    <n v="2"/>
    <n v="4"/>
    <n v="0"/>
    <n v="24"/>
    <n v="5"/>
    <n v="3"/>
    <n v="3"/>
    <n v="5712"/>
    <n v="1955"/>
    <n v="3757"/>
    <n v="0.96899999999999997"/>
    <n v="2617"/>
    <n v="54"/>
    <n v="0.8"/>
    <n v="0.34200000000000003"/>
    <n v="3.0250999999999998E-4"/>
    <n v="0.99970000000000003"/>
    <s v="8.082587906686193"/>
    <s v="42.89624649145169"/>
    <s v="118.98708877490895"/>
    <s v="5.6527181314618735"/>
    <n v="713630733"/>
    <x v="0"/>
    <n v="6.2634400000000003E-4"/>
    <x v="0"/>
  </r>
  <r>
    <n v="53"/>
    <n v="0"/>
    <n v="2"/>
    <n v="5"/>
    <n v="1"/>
    <n v="5"/>
    <n v="0"/>
    <n v="41"/>
    <n v="4"/>
    <n v="2"/>
    <n v="2"/>
    <n v="15815"/>
    <n v="1217"/>
    <n v="14598"/>
    <n v="1.266"/>
    <n v="2135"/>
    <n v="48"/>
    <n v="0.84599999999999997"/>
    <n v="7.6999999999999999E-2"/>
    <n v="1.1703E-4"/>
    <n v="0.99987999999999999"/>
    <s v="20.678657929986283"/>
    <s v="55.064376115509866"/>
    <s v="28.11601124332903"/>
    <s v="11.484197924929637"/>
    <n v="710364258"/>
    <x v="0"/>
    <n v="1.1063421E-3"/>
    <x v="0"/>
  </r>
  <r>
    <n v="54"/>
    <n v="1"/>
    <n v="2"/>
    <n v="3"/>
    <n v="1"/>
    <n v="3"/>
    <n v="0"/>
    <n v="38"/>
    <n v="6"/>
    <n v="3"/>
    <n v="4"/>
    <n v="5660"/>
    <n v="2006"/>
    <n v="3654"/>
    <n v="0.77900000000000003"/>
    <n v="1569"/>
    <n v="39"/>
    <n v="0.77300000000000002"/>
    <n v="0.35399999999999998"/>
    <n v="5.0162999999999998E-4"/>
    <n v="0.99950000000000006"/>
    <s v="51.97031806524054"/>
    <s v="4.450232416007367"/>
    <s v="12.290938551877616"/>
    <s v="6.558374020314771"/>
    <n v="721350783"/>
    <x v="0"/>
    <n v="1.0337284E-3"/>
    <x v="0"/>
  </r>
  <r>
    <n v="49"/>
    <n v="1"/>
    <n v="2"/>
    <n v="2"/>
    <n v="1"/>
    <n v="1"/>
    <n v="0"/>
    <n v="45"/>
    <n v="4"/>
    <n v="2"/>
    <n v="0"/>
    <n v="10541"/>
    <n v="1387"/>
    <n v="9154"/>
    <n v="0.72"/>
    <n v="4269"/>
    <n v="92"/>
    <n v="0.61399999999999999"/>
    <n v="0.13200000000000001"/>
    <s v="4.1986e-05"/>
    <n v="0.99995999999999996"/>
    <s v="36.25420635717442"/>
    <s v="45.78614892757421"/>
    <s v="47.144990063485125"/>
    <s v="6.274413280098869"/>
    <n v="828236133"/>
    <x v="0"/>
    <n v="3.2914013999999999E-4"/>
    <x v="0"/>
  </r>
  <r>
    <n v="52"/>
    <n v="1"/>
    <n v="2"/>
    <n v="2"/>
    <n v="1"/>
    <n v="2"/>
    <n v="0"/>
    <n v="47"/>
    <n v="5"/>
    <n v="3"/>
    <n v="0"/>
    <n v="3085"/>
    <n v="1910"/>
    <n v="1175"/>
    <n v="0.92100000000000004"/>
    <n v="1531"/>
    <n v="35"/>
    <n v="0.66700000000000004"/>
    <n v="0.61899999999999999"/>
    <s v="6.6354e-05"/>
    <n v="0.99992999999999999"/>
    <s v="2.606885366489315"/>
    <s v="90.58885297612296"/>
    <s v="38.61120612279989"/>
    <s v="28.347975726875493"/>
    <n v="716396358"/>
    <x v="0"/>
    <n v="1.0337284E-3"/>
    <x v="0"/>
  </r>
  <r>
    <n v="49"/>
    <n v="0"/>
    <n v="1"/>
    <n v="4"/>
    <n v="0"/>
    <n v="1"/>
    <n v="0"/>
    <n v="44"/>
    <n v="6"/>
    <n v="5"/>
    <n v="2"/>
    <n v="2597"/>
    <n v="1871"/>
    <n v="726"/>
    <n v="0.89900000000000002"/>
    <n v="3637"/>
    <n v="69"/>
    <n v="0.72499999999999998"/>
    <n v="0.72"/>
    <n v="2.2189E-4"/>
    <n v="0.99978"/>
    <s v="10.980633787535025"/>
    <s v="36.23497016079988"/>
    <s v="11.342265286159568"/>
    <s v="18.31856061246696"/>
    <n v="803197833"/>
    <x v="0"/>
    <n v="3.221314E-4"/>
    <x v="0"/>
  </r>
  <r>
    <n v="52"/>
    <n v="1"/>
    <n v="3"/>
    <n v="5"/>
    <n v="2"/>
    <n v="0"/>
    <n v="0"/>
    <n v="48"/>
    <n v="5"/>
    <n v="3"/>
    <n v="4"/>
    <n v="20974"/>
    <n v="0"/>
    <n v="20974"/>
    <n v="0"/>
    <n v="1246"/>
    <n v="27"/>
    <n v="0"/>
    <n v="0"/>
    <n v="0.99819000000000002"/>
    <n v="1.8121700000000001E-3"/>
    <s v="1.942262878883928"/>
    <n v="19.5107877770206"/>
    <s v="88.63011670530452"/>
    <s v="10.592420261680113"/>
    <n v="824140908"/>
    <x v="1"/>
    <n v="0.99815830000000005"/>
    <x v="1"/>
  </r>
  <r>
    <n v="50"/>
    <n v="0"/>
    <n v="3"/>
    <n v="3"/>
    <n v="2"/>
    <n v="4"/>
    <n v="0"/>
    <n v="38"/>
    <n v="3"/>
    <n v="3"/>
    <n v="1"/>
    <n v="1438.3"/>
    <n v="663"/>
    <n v="775.3"/>
    <n v="0.38400000000000001"/>
    <n v="2987"/>
    <n v="73"/>
    <n v="0.622"/>
    <n v="0.46100000000000002"/>
    <n v="1.0943E-4"/>
    <n v="0.99988999999999995"/>
    <s v="2.3331003402319688"/>
    <s v="36.55980347514489"/>
    <s v="6.729348912793984"/>
    <s v="13.245170204942411"/>
    <n v="712298883"/>
    <x v="0"/>
    <n v="6.3843343999999997E-4"/>
    <x v="0"/>
  </r>
  <r>
    <n v="57"/>
    <n v="0"/>
    <n v="3"/>
    <n v="3"/>
    <n v="1"/>
    <n v="4"/>
    <n v="0"/>
    <n v="39"/>
    <n v="3"/>
    <n v="2"/>
    <n v="1"/>
    <n v="2742"/>
    <n v="2321"/>
    <n v="421"/>
    <n v="1.3149999999999999"/>
    <n v="1389"/>
    <n v="32"/>
    <n v="0.6"/>
    <n v="0.84599999999999997"/>
    <s v="6.9242e-05"/>
    <n v="0.99992999999999999"/>
    <s v="17.00794811688283"/>
    <n v="21.482936093413599"/>
    <s v="28.849545213011424"/>
    <s v="10.197819952048292"/>
    <n v="778928283"/>
    <x v="0"/>
    <n v="1.0903810999999999E-3"/>
    <x v="0"/>
  </r>
  <r>
    <n v="44"/>
    <n v="0"/>
    <n v="0"/>
    <n v="2"/>
    <n v="1"/>
    <n v="4"/>
    <n v="3"/>
    <n v="36"/>
    <n v="5"/>
    <n v="3"/>
    <n v="2"/>
    <n v="10110"/>
    <n v="1229"/>
    <n v="8881"/>
    <n v="0.65"/>
    <n v="4063"/>
    <n v="74"/>
    <n v="0.48"/>
    <n v="0.122"/>
    <n v="1.3946999999999999E-4"/>
    <n v="0.99985999999999997"/>
    <s v="43.29380356294848"/>
    <s v="152.12384393014247"/>
    <s v="19.13777297812563"/>
    <s v="19.076695548349925"/>
    <n v="757753083"/>
    <x v="0"/>
    <n v="3.5747702000000001E-4"/>
    <x v="0"/>
  </r>
  <r>
    <n v="45"/>
    <n v="0"/>
    <n v="3"/>
    <n v="6"/>
    <n v="0"/>
    <n v="1"/>
    <n v="0"/>
    <n v="26"/>
    <n v="1"/>
    <n v="1"/>
    <n v="2"/>
    <n v="2032"/>
    <n v="1195"/>
    <n v="837"/>
    <n v="0.64200000000000002"/>
    <n v="4479"/>
    <n v="80"/>
    <n v="0.66700000000000004"/>
    <n v="0.58799999999999997"/>
    <s v="6.282e-05"/>
    <n v="0.99994000000000005"/>
    <s v="23.69442786128234"/>
    <s v="17.164926568513064"/>
    <s v="20.259600412606627"/>
    <s v="5.314337295962016"/>
    <n v="711792783"/>
    <x v="0"/>
    <n v="3.2101269999999999E-4"/>
    <x v="0"/>
  </r>
  <r>
    <n v="49"/>
    <n v="0"/>
    <n v="3"/>
    <n v="3"/>
    <n v="1"/>
    <n v="4"/>
    <n v="0"/>
    <n v="36"/>
    <n v="3"/>
    <n v="1"/>
    <n v="3"/>
    <n v="4476"/>
    <n v="1492"/>
    <n v="2984"/>
    <n v="0.93300000000000005"/>
    <n v="4603"/>
    <n v="87"/>
    <n v="0.70599999999999996"/>
    <n v="0.33300000000000002"/>
    <s v="9.3448e-05"/>
    <n v="0.99990999999999997"/>
    <s v="0.7646681144439518"/>
    <s v="7.410735240671309"/>
    <s v="20.462382465891288"/>
    <s v="2.813201662918707"/>
    <n v="715625658"/>
    <x v="0"/>
    <n v="3.3750932000000002E-4"/>
    <x v="0"/>
  </r>
  <r>
    <n v="44"/>
    <n v="0"/>
    <n v="4"/>
    <n v="6"/>
    <n v="1"/>
    <n v="4"/>
    <n v="0"/>
    <n v="39"/>
    <n v="1"/>
    <n v="1"/>
    <n v="1"/>
    <n v="2771"/>
    <n v="1779"/>
    <n v="992"/>
    <n v="0.84099999999999997"/>
    <n v="8268"/>
    <n v="73"/>
    <n v="0.69799999999999995"/>
    <n v="0.64200000000000002"/>
    <s v="3.8289e-05"/>
    <n v="0.99995999999999996"/>
    <s v="4.9412804325206885"/>
    <s v="7.732056063734546"/>
    <s v="42.82016621634134"/>
    <s v="1.915937995819885"/>
    <n v="806694333"/>
    <x v="0"/>
    <n v="5.5846529999999995E-4"/>
    <x v="0"/>
  </r>
  <r>
    <n v="41"/>
    <n v="0"/>
    <n v="3"/>
    <n v="0"/>
    <n v="1"/>
    <n v="4"/>
    <n v="0"/>
    <n v="35"/>
    <n v="2"/>
    <n v="1"/>
    <n v="2"/>
    <n v="2066"/>
    <n v="1542"/>
    <n v="524"/>
    <n v="0.71"/>
    <n v="4887"/>
    <n v="76"/>
    <n v="0.61699999999999999"/>
    <n v="0.746"/>
    <s v="5.5564e-05"/>
    <n v="0.99994000000000005"/>
    <s v="1.145904723904325"/>
    <s v="33.66210836121113"/>
    <n v="57.116094980889997"/>
    <s v="0.6538532574116669"/>
    <n v="708952758"/>
    <x v="0"/>
    <n v="3.2914013999999999E-4"/>
    <x v="0"/>
  </r>
  <r>
    <n v="43"/>
    <n v="0"/>
    <n v="3"/>
    <n v="2"/>
    <n v="2"/>
    <n v="4"/>
    <n v="0"/>
    <n v="35"/>
    <n v="1"/>
    <n v="3"/>
    <n v="2"/>
    <n v="1620"/>
    <n v="771"/>
    <n v="849"/>
    <n v="0.67500000000000004"/>
    <n v="4387"/>
    <n v="91"/>
    <n v="0.65500000000000003"/>
    <n v="0.47599999999999998"/>
    <n v="1.8665000000000001E-4"/>
    <n v="0.99980999999999998"/>
    <s v="5.371660083506245"/>
    <s v="20.00243895849651"/>
    <s v="72.51917825844171"/>
    <s v="4.007783676353425"/>
    <n v="711011508"/>
    <x v="0"/>
    <n v="5.2566850000000003E-4"/>
    <x v="0"/>
  </r>
  <r>
    <n v="50"/>
    <n v="1"/>
    <n v="3"/>
    <n v="5"/>
    <n v="2"/>
    <n v="0"/>
    <n v="0"/>
    <n v="36"/>
    <n v="5"/>
    <n v="3"/>
    <n v="4"/>
    <n v="27876"/>
    <n v="557"/>
    <n v="27319"/>
    <n v="0.76800000000000002"/>
    <n v="4654"/>
    <n v="88"/>
    <n v="0.66"/>
    <n v="0.02"/>
    <n v="5.5051999999999998E-4"/>
    <n v="0.99944999999999995"/>
    <s v="6.133456506370501"/>
    <s v="25.63207342974348"/>
    <s v="46.959857813236425"/>
    <n v="7.2390538114244096"/>
    <n v="710984133"/>
    <x v="0"/>
    <n v="6.9517245999999998E-4"/>
    <x v="0"/>
  </r>
  <r>
    <n v="35"/>
    <n v="1"/>
    <n v="3"/>
    <n v="4"/>
    <n v="1"/>
    <n v="3"/>
    <n v="0"/>
    <n v="28"/>
    <n v="3"/>
    <n v="1"/>
    <n v="2"/>
    <n v="4380"/>
    <n v="0"/>
    <n v="4380"/>
    <n v="0.71899999999999997"/>
    <n v="17258"/>
    <n v="121"/>
    <n v="0.70399999999999996"/>
    <n v="0"/>
    <s v="6.7249e-05"/>
    <n v="0.99992999999999999"/>
    <s v="6.351806329666042"/>
    <s v="20.12235355781351"/>
    <s v="67.61670982783758"/>
    <s v="4.410997076929979"/>
    <n v="713965683"/>
    <x v="0"/>
    <n v="7.5047980000000002E-4"/>
    <x v="0"/>
  </r>
  <r>
    <n v="41"/>
    <n v="0"/>
    <n v="2"/>
    <n v="0"/>
    <n v="1"/>
    <n v="1"/>
    <n v="0"/>
    <n v="36"/>
    <n v="6"/>
    <n v="2"/>
    <n v="3"/>
    <n v="6602"/>
    <n v="0"/>
    <n v="6602"/>
    <n v="0.74299999999999999"/>
    <n v="4479"/>
    <n v="82"/>
    <n v="0.82199999999999995"/>
    <n v="0"/>
    <n v="1.8611999999999999E-4"/>
    <n v="0.99980999999999998"/>
    <s v="22.580588277265853"/>
    <s v="45.05001979509656"/>
    <s v="38.52132368981556"/>
    <s v="2.831960466098629"/>
    <n v="807915408"/>
    <x v="0"/>
    <n v="6.9517245999999998E-4"/>
    <x v="0"/>
  </r>
  <r>
    <n v="65"/>
    <n v="1"/>
    <n v="0"/>
    <n v="2"/>
    <n v="2"/>
    <n v="4"/>
    <n v="0"/>
    <n v="56"/>
    <n v="6"/>
    <n v="1"/>
    <n v="3"/>
    <n v="2717"/>
    <n v="0"/>
    <n v="2717"/>
    <n v="0.73599999999999999"/>
    <n v="3150"/>
    <n v="59"/>
    <n v="0.47499999999999998"/>
    <n v="0"/>
    <s v="7.9494e-05"/>
    <n v="0.99992000000000003"/>
    <s v="12.793880294858884"/>
    <s v="16.890045613714268"/>
    <s v="39.11957663741877"/>
    <s v="7.046924837947555"/>
    <n v="708887433"/>
    <x v="0"/>
    <n v="1.0587000000000001E-3"/>
    <x v="0"/>
  </r>
  <r>
    <n v="53"/>
    <n v="1"/>
    <n v="4"/>
    <n v="3"/>
    <n v="0"/>
    <n v="0"/>
    <n v="0"/>
    <n v="36"/>
    <n v="3"/>
    <n v="3"/>
    <n v="2"/>
    <n v="34516"/>
    <n v="1337"/>
    <n v="33179"/>
    <n v="0.70399999999999996"/>
    <n v="7919"/>
    <n v="85"/>
    <n v="0.63500000000000001"/>
    <n v="3.9E-2"/>
    <n v="1.8338999999999999E-4"/>
    <n v="0.99982000000000004"/>
    <s v="0.5225548177390702"/>
    <n v="78.989381674838896"/>
    <s v="55.56315559399492"/>
    <s v="5.015154514141646"/>
    <n v="713087958"/>
    <x v="0"/>
    <n v="4.2060707000000003E-4"/>
    <x v="0"/>
  </r>
  <r>
    <n v="44"/>
    <n v="1"/>
    <n v="3"/>
    <n v="6"/>
    <n v="2"/>
    <n v="3"/>
    <n v="3"/>
    <n v="38"/>
    <n v="3"/>
    <n v="3"/>
    <n v="1"/>
    <n v="34516"/>
    <n v="657"/>
    <n v="33859"/>
    <n v="0.64100000000000001"/>
    <n v="4614"/>
    <n v="76"/>
    <n v="0.68899999999999995"/>
    <n v="1.9E-2"/>
    <n v="1.1179999999999999E-4"/>
    <n v="0.99988999999999995"/>
    <s v="24.48450904112545"/>
    <n v="42.055703234478102"/>
    <s v="9.754109573749224"/>
    <s v="16.288556858943494"/>
    <n v="803415183"/>
    <x v="0"/>
    <n v="6.0646630000000005E-4"/>
    <x v="0"/>
  </r>
  <r>
    <n v="37"/>
    <n v="1"/>
    <n v="2"/>
    <n v="5"/>
    <n v="2"/>
    <n v="5"/>
    <n v="0"/>
    <n v="24"/>
    <n v="2"/>
    <n v="2"/>
    <n v="3"/>
    <n v="1649"/>
    <n v="0"/>
    <n v="1649"/>
    <n v="0.86399999999999999"/>
    <n v="2574"/>
    <n v="51"/>
    <n v="0.7"/>
    <n v="0"/>
    <n v="0.99495"/>
    <n v="5.0499999999999998E-3"/>
    <s v="2.2036949444794223"/>
    <s v="7.743789035569383"/>
    <n v="61.685508421406702"/>
    <s v="18.876588734230708"/>
    <n v="719981508"/>
    <x v="1"/>
    <n v="0.99823329999999999"/>
    <x v="1"/>
  </r>
  <r>
    <n v="40"/>
    <n v="1"/>
    <n v="3"/>
    <n v="2"/>
    <n v="1"/>
    <n v="3"/>
    <n v="3"/>
    <n v="27"/>
    <n v="3"/>
    <n v="1"/>
    <n v="2"/>
    <n v="34516"/>
    <n v="0"/>
    <n v="34516"/>
    <n v="0.83399999999999996"/>
    <n v="3193"/>
    <n v="53"/>
    <n v="0.55900000000000005"/>
    <n v="0"/>
    <s v="5.164e-05"/>
    <n v="0.99995000000000001"/>
    <s v="7.611752938230918"/>
    <s v="19.19713432673549"/>
    <n v="90.100480964010799"/>
    <s v="5.698120097179222"/>
    <n v="710809833"/>
    <x v="0"/>
    <n v="2.760279E-3"/>
    <x v="0"/>
  </r>
  <r>
    <n v="44"/>
    <n v="0"/>
    <n v="3"/>
    <n v="3"/>
    <n v="2"/>
    <n v="4"/>
    <n v="0"/>
    <n v="34"/>
    <n v="2"/>
    <n v="2"/>
    <n v="2"/>
    <n v="3084"/>
    <n v="0"/>
    <n v="3084"/>
    <n v="0.86099999999999999"/>
    <n v="12739"/>
    <n v="96"/>
    <n v="0.88200000000000001"/>
    <n v="0"/>
    <n v="1.1482E-4"/>
    <n v="0.99988999999999995"/>
    <s v="45.99944229700422"/>
    <s v="28.92671127640206"/>
    <s v="132.0687896187198"/>
    <s v="3.3009352922803146"/>
    <n v="779809908"/>
    <x v="0"/>
    <n v="7.6702517000000003E-4"/>
    <x v="0"/>
  </r>
  <r>
    <n v="50"/>
    <n v="0"/>
    <n v="3"/>
    <n v="2"/>
    <n v="2"/>
    <n v="4"/>
    <n v="0"/>
    <n v="41"/>
    <n v="2"/>
    <n v="2"/>
    <n v="2"/>
    <n v="2382"/>
    <n v="1419"/>
    <n v="963"/>
    <n v="0.78"/>
    <n v="4563"/>
    <n v="89"/>
    <n v="0.71199999999999997"/>
    <n v="0.59599999999999997"/>
    <n v="1.1811000000000001E-4"/>
    <n v="0.99987999999999999"/>
    <s v="7.591346091894194"/>
    <s v="52.15862904080724"/>
    <n v="72.749736572821902"/>
    <s v="26.52951002641737"/>
    <n v="788620083"/>
    <x v="0"/>
    <n v="3.2101269999999999E-4"/>
    <x v="0"/>
  </r>
  <r>
    <n v="40"/>
    <n v="0"/>
    <n v="4"/>
    <n v="3"/>
    <n v="2"/>
    <n v="1"/>
    <n v="0"/>
    <n v="29"/>
    <n v="5"/>
    <n v="2"/>
    <n v="3"/>
    <n v="1554"/>
    <n v="412"/>
    <n v="1142"/>
    <n v="0.56799999999999995"/>
    <n v="2341"/>
    <n v="43"/>
    <n v="0.48299999999999998"/>
    <n v="0.26500000000000001"/>
    <n v="0.99490000000000001"/>
    <n v="5.1000000000000004E-3"/>
    <s v="40.91483131008589"/>
    <s v="9.856955027336038"/>
    <s v="160.25107523628628"/>
    <s v="6.624341725927145"/>
    <n v="717949008"/>
    <x v="1"/>
    <n v="0.9985134"/>
    <x v="1"/>
  </r>
  <r>
    <n v="44"/>
    <n v="1"/>
    <n v="3"/>
    <n v="6"/>
    <n v="2"/>
    <n v="0"/>
    <n v="3"/>
    <n v="39"/>
    <n v="2"/>
    <n v="3"/>
    <n v="1"/>
    <n v="34516"/>
    <n v="2123"/>
    <n v="32393"/>
    <n v="0.80100000000000005"/>
    <n v="14242"/>
    <n v="107"/>
    <n v="0.55100000000000005"/>
    <n v="6.2E-2"/>
    <n v="1.1179999999999999E-4"/>
    <n v="0.99988999999999995"/>
    <s v="6.394215956857411"/>
    <s v="48.38670545521568"/>
    <s v="35.39902306424213"/>
    <s v="21.946764430218217"/>
    <n v="817908783"/>
    <x v="0"/>
    <n v="3.9550033E-4"/>
    <x v="0"/>
  </r>
  <r>
    <n v="50"/>
    <n v="1"/>
    <n v="2"/>
    <n v="0"/>
    <n v="1"/>
    <n v="2"/>
    <n v="0"/>
    <n v="36"/>
    <n v="2"/>
    <n v="2"/>
    <n v="1"/>
    <n v="12299"/>
    <n v="1664"/>
    <n v="10635"/>
    <n v="0.879"/>
    <n v="15060"/>
    <n v="90"/>
    <n v="0.91500000000000004"/>
    <n v="0.13500000000000001"/>
    <s v="6.6734e-05"/>
    <n v="0.99992999999999999"/>
    <s v="15.916263678381233"/>
    <s v="39.09574483974749"/>
    <s v="14.517761578374758"/>
    <s v="7.811972094596047"/>
    <n v="708522033"/>
    <x v="0"/>
    <n v="3.4656386999999997E-4"/>
    <x v="0"/>
  </r>
  <r>
    <n v="35"/>
    <n v="0"/>
    <n v="0"/>
    <n v="2"/>
    <n v="2"/>
    <n v="4"/>
    <n v="0"/>
    <n v="25"/>
    <n v="5"/>
    <n v="3"/>
    <n v="4"/>
    <n v="2300"/>
    <n v="0"/>
    <n v="2300"/>
    <n v="0.877"/>
    <n v="1485"/>
    <n v="34"/>
    <n v="0.47799999999999998"/>
    <n v="0"/>
    <n v="0.99775000000000003"/>
    <n v="2.25216E-3"/>
    <s v="28.11182439832306"/>
    <s v="49.50224011461981"/>
    <s v="18.02058184343968"/>
    <s v="12.216730587593464"/>
    <n v="709785783"/>
    <x v="1"/>
    <n v="0.99815830000000005"/>
    <x v="1"/>
  </r>
  <r>
    <n v="43"/>
    <n v="1"/>
    <n v="2"/>
    <n v="4"/>
    <n v="0"/>
    <n v="2"/>
    <n v="0"/>
    <n v="36"/>
    <n v="6"/>
    <n v="1"/>
    <n v="1"/>
    <n v="5427"/>
    <n v="2177"/>
    <n v="3250"/>
    <n v="0.82399999999999995"/>
    <n v="4328"/>
    <n v="73"/>
    <n v="0.622"/>
    <n v="0.40100000000000002"/>
    <s v="3.9082e-05"/>
    <n v="0.99995999999999996"/>
    <s v="5.231250973758042"/>
    <s v="85.15899749246176"/>
    <s v="45.492617646044096"/>
    <n v="4.3639492090006904"/>
    <n v="716118633"/>
    <x v="0"/>
    <n v="3.2914013999999999E-4"/>
    <x v="0"/>
  </r>
  <r>
    <n v="31"/>
    <n v="0"/>
    <n v="1"/>
    <n v="5"/>
    <n v="2"/>
    <n v="5"/>
    <n v="0"/>
    <n v="36"/>
    <n v="2"/>
    <n v="3"/>
    <n v="3"/>
    <n v="21067"/>
    <n v="0"/>
    <n v="21067"/>
    <n v="0.995"/>
    <n v="9212"/>
    <n v="71"/>
    <n v="0.82099999999999995"/>
    <n v="0"/>
    <n v="0.99658999999999998"/>
    <n v="3.4124899999999998E-3"/>
    <s v="30.440310177734037"/>
    <s v="22.30009884500213"/>
    <s v="35.28991204505053"/>
    <s v="12.20219299466896"/>
    <n v="713668158"/>
    <x v="1"/>
    <n v="0.9954307"/>
    <x v="1"/>
  </r>
  <r>
    <n v="41"/>
    <n v="0"/>
    <n v="2"/>
    <n v="0"/>
    <n v="1"/>
    <n v="4"/>
    <n v="0"/>
    <n v="31"/>
    <n v="4"/>
    <n v="2"/>
    <n v="3"/>
    <n v="9759"/>
    <n v="2038"/>
    <n v="7721"/>
    <n v="0.622"/>
    <n v="4226"/>
    <n v="77"/>
    <n v="0.63800000000000001"/>
    <n v="0.20899999999999999"/>
    <n v="1.8611999999999999E-4"/>
    <n v="0.99980999999999998"/>
    <s v="49.03119699021871"/>
    <s v="13.283554866964057"/>
    <s v="25.080077073231205"/>
    <s v="5.046679785308302"/>
    <n v="709982658"/>
    <x v="0"/>
    <n v="3.2914013999999999E-4"/>
    <x v="0"/>
  </r>
  <r>
    <n v="50"/>
    <n v="0"/>
    <n v="3"/>
    <n v="3"/>
    <n v="1"/>
    <n v="4"/>
    <n v="0"/>
    <n v="40"/>
    <n v="6"/>
    <n v="2"/>
    <n v="4"/>
    <n v="2897"/>
    <n v="1506"/>
    <n v="1391"/>
    <n v="0.61799999999999999"/>
    <n v="2214"/>
    <n v="46"/>
    <n v="0.48399999999999999"/>
    <n v="0.52"/>
    <n v="0.99697000000000002"/>
    <n v="3.0254600000000002E-3"/>
    <s v="6.145346114598454"/>
    <s v="53.409713908769575"/>
    <s v="63.51159621764424"/>
    <s v="4.587538502612055"/>
    <n v="716307558"/>
    <x v="1"/>
    <n v="0.99452750000000001"/>
    <x v="1"/>
  </r>
  <r>
    <n v="41"/>
    <n v="1"/>
    <n v="4"/>
    <n v="2"/>
    <n v="3"/>
    <n v="2"/>
    <n v="0"/>
    <n v="36"/>
    <n v="2"/>
    <n v="3"/>
    <n v="5"/>
    <n v="1438.3"/>
    <n v="312"/>
    <n v="1126.3"/>
    <n v="0.65700000000000003"/>
    <n v="1786"/>
    <n v="26"/>
    <n v="0.73299999999999998"/>
    <n v="0.217"/>
    <n v="0.99892999999999998"/>
    <n v="1.06612E-3"/>
    <s v="1.7934324759869864"/>
    <s v="35.85841603751143"/>
    <s v="32.90870904055045"/>
    <s v="6.201869945067854"/>
    <n v="806256333"/>
    <x v="1"/>
    <n v="0.99694629999999995"/>
    <x v="1"/>
  </r>
  <r>
    <n v="51"/>
    <n v="0"/>
    <n v="2"/>
    <n v="3"/>
    <n v="2"/>
    <n v="4"/>
    <n v="0"/>
    <n v="47"/>
    <n v="5"/>
    <n v="2"/>
    <n v="3"/>
    <n v="3069"/>
    <n v="2517"/>
    <n v="552"/>
    <n v="0.73"/>
    <n v="4512"/>
    <n v="83"/>
    <n v="0.76600000000000001"/>
    <n v="0.82"/>
    <n v="1.861E-4"/>
    <n v="0.99980999999999998"/>
    <s v="21.770301544752403"/>
    <s v="33.128176154704875"/>
    <s v="29.503566112363654"/>
    <s v="17.052631134864342"/>
    <n v="825811158"/>
    <x v="0"/>
    <n v="3.4692350000000002E-4"/>
    <x v="0"/>
  </r>
  <r>
    <n v="56"/>
    <n v="1"/>
    <n v="2"/>
    <n v="0"/>
    <n v="2"/>
    <n v="0"/>
    <n v="0"/>
    <n v="50"/>
    <n v="2"/>
    <n v="2"/>
    <n v="3"/>
    <n v="16867"/>
    <n v="0"/>
    <n v="16867"/>
    <n v="0.88500000000000001"/>
    <n v="654"/>
    <n v="14"/>
    <n v="0.4"/>
    <n v="0"/>
    <n v="0.99465999999999999"/>
    <n v="5.3400000000000001E-3"/>
    <s v="26.59208201707844"/>
    <s v="27.169459241108303"/>
    <s v="19.914824395203397"/>
    <s v="0.1011035844378552"/>
    <n v="767294658"/>
    <x v="1"/>
    <n v="0.99877890000000003"/>
    <x v="1"/>
  </r>
  <r>
    <n v="50"/>
    <n v="0"/>
    <n v="2"/>
    <n v="6"/>
    <n v="2"/>
    <n v="1"/>
    <n v="0"/>
    <n v="36"/>
    <n v="3"/>
    <n v="3"/>
    <n v="2"/>
    <n v="2762"/>
    <n v="0"/>
    <n v="2762"/>
    <n v="0.68400000000000005"/>
    <n v="2571"/>
    <n v="44"/>
    <n v="0.41899999999999998"/>
    <n v="0"/>
    <n v="0.99497000000000002"/>
    <n v="5.0299999999999997E-3"/>
    <s v="9.598707935976782"/>
    <s v="12.803702705782396"/>
    <s v="120.55231053656634"/>
    <n v="0.61188802507273399"/>
    <n v="717072108"/>
    <x v="1"/>
    <n v="0.99876772999999996"/>
    <x v="1"/>
  </r>
  <r>
    <n v="50"/>
    <n v="1"/>
    <n v="1"/>
    <n v="6"/>
    <n v="3"/>
    <n v="0"/>
    <n v="3"/>
    <n v="45"/>
    <n v="2"/>
    <n v="2"/>
    <n v="0"/>
    <n v="34516"/>
    <n v="1514"/>
    <n v="33002"/>
    <n v="0.73599999999999999"/>
    <n v="7333"/>
    <n v="72"/>
    <n v="1"/>
    <n v="4.3999999999999997E-2"/>
    <s v="3.9141e-05"/>
    <n v="0.99995999999999996"/>
    <s v="14.814152383341511"/>
    <s v="38.30366232956722"/>
    <s v="12.819863586310984"/>
    <s v="12.131679087869202"/>
    <n v="818476383"/>
    <x v="0"/>
    <n v="6.2157260000000002E-4"/>
    <x v="0"/>
  </r>
  <r>
    <n v="29"/>
    <n v="1"/>
    <n v="0"/>
    <n v="3"/>
    <n v="2"/>
    <n v="1"/>
    <n v="0"/>
    <n v="36"/>
    <n v="6"/>
    <n v="3"/>
    <n v="1"/>
    <n v="5988"/>
    <n v="660"/>
    <n v="5328"/>
    <n v="1.0409999999999999"/>
    <n v="10211"/>
    <n v="68"/>
    <n v="1"/>
    <n v="0.11"/>
    <n v="0.98907"/>
    <n v="1.093E-2"/>
    <s v="0.8446842996206684"/>
    <s v="44.46253787009058"/>
    <s v="103.07301643014708"/>
    <s v="7.540559791492152"/>
    <n v="714820158"/>
    <x v="1"/>
    <n v="0.99358550000000001"/>
    <x v="1"/>
  </r>
  <r>
    <n v="61"/>
    <n v="0"/>
    <n v="0"/>
    <n v="3"/>
    <n v="2"/>
    <n v="4"/>
    <n v="0"/>
    <n v="36"/>
    <n v="4"/>
    <n v="3"/>
    <n v="4"/>
    <n v="1760"/>
    <n v="0"/>
    <n v="1760"/>
    <n v="0.45700000000000002"/>
    <n v="2285"/>
    <n v="46"/>
    <n v="0.64300000000000002"/>
    <n v="0"/>
    <n v="0.99768000000000001"/>
    <n v="2.3165600000000001E-3"/>
    <s v="2.107006648928182"/>
    <s v="3.931080917951908"/>
    <s v="41.59952381852718"/>
    <s v="1.3872275561869671"/>
    <n v="713336883"/>
    <x v="1"/>
    <n v="0.99808169999999996"/>
    <x v="1"/>
  </r>
  <r>
    <n v="37"/>
    <n v="1"/>
    <n v="0"/>
    <n v="3"/>
    <n v="0"/>
    <n v="1"/>
    <n v="0"/>
    <n v="36"/>
    <n v="3"/>
    <n v="1"/>
    <n v="5"/>
    <n v="3091"/>
    <n v="0"/>
    <n v="3091"/>
    <n v="0.66500000000000004"/>
    <n v="2572"/>
    <n v="65"/>
    <n v="0.54800000000000004"/>
    <n v="0"/>
    <n v="2.2813E-4"/>
    <n v="0.99977000000000005"/>
    <s v="11.033009795470283"/>
    <s v="10.779303846955465"/>
    <s v="19.199980692820866"/>
    <s v="12.944565381034192"/>
    <n v="711142308"/>
    <x v="0"/>
    <n v="1.0226878E-3"/>
    <x v="0"/>
  </r>
  <r>
    <n v="51"/>
    <n v="0"/>
    <n v="4"/>
    <n v="3"/>
    <n v="1"/>
    <n v="1"/>
    <n v="0"/>
    <n v="43"/>
    <n v="5"/>
    <n v="3"/>
    <n v="2"/>
    <n v="8346"/>
    <n v="1452"/>
    <n v="6894"/>
    <n v="1.194"/>
    <n v="4141"/>
    <n v="79"/>
    <n v="0.61199999999999999"/>
    <n v="0.17399999999999999"/>
    <n v="1.8338999999999999E-4"/>
    <n v="0.99982000000000004"/>
    <s v="37.37977507205824"/>
    <s v="64.84854501583148"/>
    <n v="9.1652584248817206"/>
    <s v="8.295096721279911"/>
    <n v="717442758"/>
    <x v="0"/>
    <n v="3.4605444000000002E-4"/>
    <x v="0"/>
  </r>
  <r>
    <n v="49"/>
    <n v="0"/>
    <n v="3"/>
    <n v="3"/>
    <n v="1"/>
    <n v="4"/>
    <n v="0"/>
    <n v="45"/>
    <n v="3"/>
    <n v="3"/>
    <n v="2"/>
    <n v="1438.3"/>
    <n v="726"/>
    <n v="712.3"/>
    <n v="0.65700000000000003"/>
    <n v="5208"/>
    <n v="93"/>
    <n v="0.755"/>
    <n v="0.505"/>
    <n v="1.8144999999999999E-4"/>
    <n v="0.99982000000000004"/>
    <n v="0.31473481841670298"/>
    <s v="15.600170828043996"/>
    <s v="14.495499187175282"/>
    <s v="10.043153100682282"/>
    <n v="827100333"/>
    <x v="0"/>
    <n v="5.4489190000000002E-4"/>
    <x v="0"/>
  </r>
  <r>
    <n v="43"/>
    <n v="1"/>
    <n v="5"/>
    <n v="3"/>
    <n v="1"/>
    <n v="0"/>
    <n v="0"/>
    <n v="37"/>
    <n v="4"/>
    <n v="3"/>
    <n v="4"/>
    <n v="11099"/>
    <n v="0"/>
    <n v="11099"/>
    <n v="0.89"/>
    <n v="3980"/>
    <n v="77"/>
    <n v="0.75"/>
    <n v="0"/>
    <n v="5.1787999999999997E-4"/>
    <n v="0.99948000000000004"/>
    <s v="15.627678030960286"/>
    <s v="39.28581731914968"/>
    <s v="65.30142081306788"/>
    <s v="18.43327836190488"/>
    <n v="768972558"/>
    <x v="0"/>
    <n v="7.4699510000000001E-4"/>
    <x v="0"/>
  </r>
  <r>
    <n v="44"/>
    <n v="1"/>
    <n v="2"/>
    <n v="2"/>
    <n v="1"/>
    <n v="3"/>
    <n v="0"/>
    <n v="36"/>
    <n v="3"/>
    <n v="3"/>
    <n v="2"/>
    <n v="12230"/>
    <n v="1196"/>
    <n v="11034"/>
    <n v="0.62"/>
    <n v="3659"/>
    <n v="76"/>
    <n v="0.52"/>
    <n v="9.8000000000000004E-2"/>
    <n v="1.7987E-4"/>
    <n v="0.99982000000000004"/>
    <s v="28.68543038629716"/>
    <s v="28.731479206694544"/>
    <s v="75.78792266905224"/>
    <s v="14.960385294266295"/>
    <n v="709827933"/>
    <x v="0"/>
    <n v="3.2914013999999999E-4"/>
    <x v="0"/>
  </r>
  <r>
    <n v="40"/>
    <n v="1"/>
    <n v="3"/>
    <n v="4"/>
    <n v="1"/>
    <n v="0"/>
    <n v="0"/>
    <n v="36"/>
    <n v="4"/>
    <n v="2"/>
    <n v="4"/>
    <n v="7464"/>
    <n v="2517"/>
    <n v="4947"/>
    <n v="0.9"/>
    <n v="4348"/>
    <n v="62"/>
    <n v="0.879"/>
    <n v="0.33700000000000002"/>
    <n v="3.9870999999999998E-4"/>
    <n v="0.99960000000000004"/>
    <s v="1.4851856050861032"/>
    <n v="16.2641972137734"/>
    <s v="103.44537733068492"/>
    <s v="4.145018836838787"/>
    <n v="715492983"/>
    <x v="0"/>
    <n v="3.8583809999999998E-4"/>
    <x v="0"/>
  </r>
  <r>
    <n v="51"/>
    <n v="1"/>
    <n v="3"/>
    <n v="0"/>
    <n v="1"/>
    <n v="3"/>
    <n v="0"/>
    <n v="40"/>
    <n v="6"/>
    <n v="3"/>
    <n v="3"/>
    <n v="1844"/>
    <n v="1232"/>
    <n v="612"/>
    <n v="0.58799999999999997"/>
    <n v="4182"/>
    <n v="71"/>
    <n v="0.65100000000000002"/>
    <n v="0.66800000000000004"/>
    <n v="3.0519E-4"/>
    <n v="0.99968999999999997"/>
    <s v="11.962658384199962"/>
    <s v="43.312771575539145"/>
    <s v="76.01720172980515"/>
    <s v="19.39742630009276"/>
    <n v="710090958"/>
    <x v="0"/>
    <n v="3.2101269999999999E-4"/>
    <x v="0"/>
  </r>
  <r>
    <n v="52"/>
    <n v="0"/>
    <n v="3"/>
    <n v="2"/>
    <n v="2"/>
    <n v="4"/>
    <n v="3"/>
    <n v="34"/>
    <n v="3"/>
    <n v="2"/>
    <n v="2"/>
    <n v="13109"/>
    <n v="1375"/>
    <n v="11734"/>
    <n v="0.74199999999999999"/>
    <n v="3563"/>
    <n v="73"/>
    <n v="0.55300000000000005"/>
    <n v="0.105"/>
    <n v="1.0671999999999999E-4"/>
    <n v="0.99988999999999995"/>
    <s v="14.789849052100395"/>
    <s v="27.796248806442527"/>
    <s v="5.824094645875621"/>
    <s v="11.858055237947424"/>
    <n v="779299233"/>
    <x v="0"/>
    <n v="3.2914013999999999E-4"/>
    <x v="0"/>
  </r>
  <r>
    <n v="28"/>
    <n v="1"/>
    <n v="0"/>
    <n v="3"/>
    <n v="2"/>
    <n v="4"/>
    <n v="0"/>
    <n v="19"/>
    <n v="3"/>
    <n v="3"/>
    <n v="4"/>
    <n v="3480"/>
    <n v="0"/>
    <n v="3480"/>
    <n v="0.73099999999999998"/>
    <n v="2744"/>
    <n v="75"/>
    <n v="0.82899999999999996"/>
    <n v="0"/>
    <n v="4.3049000000000001E-4"/>
    <n v="0.99956999999999996"/>
    <s v="32.371492324906136"/>
    <s v="42.30928004975608"/>
    <s v="17.88173612958205"/>
    <s v="1.0949581505014252"/>
    <n v="712058958"/>
    <x v="0"/>
    <n v="8.4332660000000002E-4"/>
    <x v="0"/>
  </r>
  <r>
    <n v="54"/>
    <n v="0"/>
    <n v="2"/>
    <n v="2"/>
    <n v="1"/>
    <n v="5"/>
    <n v="0"/>
    <n v="45"/>
    <n v="4"/>
    <n v="3"/>
    <n v="2"/>
    <n v="13126"/>
    <n v="2086"/>
    <n v="11040"/>
    <n v="0.65900000000000003"/>
    <n v="1836"/>
    <n v="37"/>
    <n v="0.76200000000000001"/>
    <n v="0.159"/>
    <n v="1.7987E-4"/>
    <n v="0.99982000000000004"/>
    <s v="6.362547024111621"/>
    <n v="70.827602109032298"/>
    <s v="20.80463393487989"/>
    <s v="1.772076899399649"/>
    <n v="716835033"/>
    <x v="0"/>
    <n v="1.0337284E-3"/>
    <x v="0"/>
  </r>
  <r>
    <n v="53"/>
    <n v="1"/>
    <n v="1"/>
    <n v="3"/>
    <n v="2"/>
    <n v="3"/>
    <n v="0"/>
    <n v="36"/>
    <n v="3"/>
    <n v="2"/>
    <n v="2"/>
    <n v="11778"/>
    <n v="0"/>
    <n v="11778"/>
    <n v="0.60299999999999998"/>
    <n v="2147"/>
    <n v="44"/>
    <n v="0.375"/>
    <n v="0"/>
    <n v="0.99046000000000001"/>
    <n v="9.5399999999999999E-3"/>
    <n v="8.1855411978199797"/>
    <s v="6.205283678251036"/>
    <s v="103.90726458281064"/>
    <s v="8.735280711556483"/>
    <n v="713815383"/>
    <x v="1"/>
    <n v="0.99876772999999996"/>
    <x v="1"/>
  </r>
  <r>
    <n v="31"/>
    <n v="1"/>
    <n v="0"/>
    <n v="2"/>
    <n v="0"/>
    <n v="2"/>
    <n v="0"/>
    <n v="25"/>
    <n v="6"/>
    <n v="1"/>
    <n v="2"/>
    <n v="8673"/>
    <n v="0"/>
    <n v="8673"/>
    <n v="0.876"/>
    <n v="2457"/>
    <n v="58"/>
    <n v="0.93300000000000005"/>
    <n v="0"/>
    <s v="4.7263e-05"/>
    <n v="0.99995000000000001"/>
    <s v="1.3087035979792467"/>
    <n v="53.532138195863297"/>
    <s v="16.703067993677486"/>
    <s v="14.043781090230103"/>
    <n v="781326483"/>
    <x v="0"/>
    <n v="1.2717764E-3"/>
    <x v="0"/>
  </r>
  <r>
    <n v="50"/>
    <n v="1"/>
    <n v="1"/>
    <n v="6"/>
    <n v="1"/>
    <n v="0"/>
    <n v="0"/>
    <n v="40"/>
    <n v="3"/>
    <n v="3"/>
    <n v="2"/>
    <n v="7522"/>
    <n v="1057"/>
    <n v="6465"/>
    <n v="1.1970000000000001"/>
    <n v="2533"/>
    <n v="62"/>
    <n v="1.1379999999999999"/>
    <n v="0.14099999999999999"/>
    <n v="1.8558E-4"/>
    <n v="0.99980999999999998"/>
    <n v="67.446339744343206"/>
    <s v="21.246320359105862"/>
    <s v="73.31475697592245"/>
    <s v="10.715029039495754"/>
    <n v="715563558"/>
    <x v="0"/>
    <n v="4.1202833999999999E-4"/>
    <x v="0"/>
  </r>
  <r>
    <n v="53"/>
    <n v="0"/>
    <n v="3"/>
    <n v="2"/>
    <n v="2"/>
    <n v="1"/>
    <n v="0"/>
    <n v="45"/>
    <n v="2"/>
    <n v="2"/>
    <n v="1"/>
    <n v="4942"/>
    <n v="2119"/>
    <n v="2823"/>
    <n v="0.71799999999999997"/>
    <n v="7460"/>
    <n v="85"/>
    <n v="0.60399999999999998"/>
    <n v="0.42899999999999999"/>
    <s v="7.1226e-05"/>
    <n v="0.99992999999999999"/>
    <s v="14.833509086641296"/>
    <s v="33.21720759869737"/>
    <s v="14.630044069948523"/>
    <s v="16.132152416996167"/>
    <n v="714047733"/>
    <x v="0"/>
    <n v="3.7789578000000003E-4"/>
    <x v="0"/>
  </r>
  <r>
    <n v="49"/>
    <n v="0"/>
    <n v="4"/>
    <n v="3"/>
    <n v="1"/>
    <n v="4"/>
    <n v="0"/>
    <n v="44"/>
    <n v="4"/>
    <n v="2"/>
    <n v="3"/>
    <n v="1656"/>
    <n v="929"/>
    <n v="727"/>
    <n v="0.89800000000000002"/>
    <n v="4408"/>
    <n v="79"/>
    <n v="0.68100000000000005"/>
    <n v="0.56100000000000005"/>
    <n v="1.9516999999999999E-4"/>
    <n v="0.99980000000000002"/>
    <s v="6.309922028329854"/>
    <s v="44.52594917077318"/>
    <s v="17.570571440054643"/>
    <n v="0.78339346578435498"/>
    <n v="813182658"/>
    <x v="0"/>
    <n v="3.9660546000000002E-4"/>
    <x v="0"/>
  </r>
  <r>
    <n v="52"/>
    <n v="0"/>
    <n v="2"/>
    <n v="2"/>
    <n v="3"/>
    <n v="4"/>
    <n v="0"/>
    <n v="40"/>
    <n v="2"/>
    <n v="1"/>
    <n v="3"/>
    <n v="2743"/>
    <n v="1705"/>
    <n v="1038"/>
    <n v="0.60499999999999998"/>
    <n v="6993"/>
    <n v="97"/>
    <n v="0.54"/>
    <n v="0.622"/>
    <s v="9.2637e-05"/>
    <n v="0.99990999999999997"/>
    <s v="3.1503579438984515"/>
    <s v="4.2199490501624535"/>
    <s v="124.57658569994886"/>
    <s v="17.27469095282693"/>
    <n v="718024908"/>
    <x v="0"/>
    <n v="3.7789578000000003E-4"/>
    <x v="0"/>
  </r>
  <r>
    <n v="33"/>
    <n v="0"/>
    <n v="1"/>
    <n v="2"/>
    <n v="2"/>
    <n v="1"/>
    <n v="0"/>
    <n v="24"/>
    <n v="5"/>
    <n v="1"/>
    <n v="2"/>
    <n v="5830"/>
    <n v="1665"/>
    <n v="4165"/>
    <n v="0.68400000000000005"/>
    <n v="2263"/>
    <n v="60"/>
    <n v="0.71399999999999997"/>
    <n v="0.28599999999999998"/>
    <s v="5.1697e-05"/>
    <n v="0.99995000000000001"/>
    <s v="41.35336675864293"/>
    <n v="19.6126363746836"/>
    <s v="100.51988120314115"/>
    <s v="18.77760386537659"/>
    <n v="709501683"/>
    <x v="0"/>
    <n v="4.4546674999999998E-4"/>
    <x v="0"/>
  </r>
  <r>
    <n v="40"/>
    <n v="1"/>
    <n v="5"/>
    <n v="2"/>
    <n v="2"/>
    <n v="2"/>
    <n v="0"/>
    <n v="27"/>
    <n v="6"/>
    <n v="1"/>
    <n v="2"/>
    <n v="2742"/>
    <n v="1416"/>
    <n v="1326"/>
    <n v="0.76100000000000001"/>
    <n v="1539"/>
    <n v="38"/>
    <n v="1.111"/>
    <n v="0.51600000000000001"/>
    <s v="5.6861e-05"/>
    <n v="0.99994000000000005"/>
    <s v="1.3962201543357389"/>
    <s v="48.43885263538966"/>
    <s v="48.358924512014816"/>
    <s v="11.479431144701332"/>
    <n v="712454958"/>
    <x v="0"/>
    <n v="9.8706899999999992E-4"/>
    <x v="0"/>
  </r>
  <r>
    <n v="56"/>
    <n v="0"/>
    <n v="1"/>
    <n v="0"/>
    <n v="1"/>
    <n v="4"/>
    <n v="0"/>
    <n v="36"/>
    <n v="6"/>
    <n v="2"/>
    <n v="3"/>
    <n v="2641"/>
    <n v="1257"/>
    <n v="1384"/>
    <n v="0.89100000000000001"/>
    <n v="1439"/>
    <n v="39"/>
    <n v="1.0529999999999999"/>
    <n v="0.47599999999999998"/>
    <n v="1.7469999999999999E-4"/>
    <n v="0.99983"/>
    <s v="18.36045801885684"/>
    <s v="28.776432006287045"/>
    <s v="5.928364639187036"/>
    <s v="3.1904609002097324"/>
    <n v="712024908"/>
    <x v="0"/>
    <n v="9.8706899999999992E-4"/>
    <x v="0"/>
  </r>
  <r>
    <n v="49"/>
    <n v="1"/>
    <n v="3"/>
    <n v="3"/>
    <n v="1"/>
    <n v="3"/>
    <n v="0"/>
    <n v="41"/>
    <n v="5"/>
    <n v="2"/>
    <n v="3"/>
    <n v="8051"/>
    <n v="2138"/>
    <n v="5913"/>
    <n v="0.71599999999999997"/>
    <n v="4370"/>
    <n v="83"/>
    <n v="0.88600000000000001"/>
    <n v="0.26600000000000001"/>
    <n v="1.9311E-4"/>
    <n v="0.99980999999999998"/>
    <s v="10.279048537558111"/>
    <s v="6.370821918746559"/>
    <s v="8.294734197694735"/>
    <s v="8.417814703478854"/>
    <n v="715724808"/>
    <x v="0"/>
    <n v="3.2101269999999999E-4"/>
    <x v="0"/>
  </r>
  <r>
    <n v="60"/>
    <n v="1"/>
    <n v="0"/>
    <n v="6"/>
    <n v="2"/>
    <n v="1"/>
    <n v="0"/>
    <n v="46"/>
    <n v="6"/>
    <n v="2"/>
    <n v="1"/>
    <n v="1781"/>
    <n v="1551"/>
    <n v="230"/>
    <n v="0.72199999999999998"/>
    <n v="3527"/>
    <n v="66"/>
    <n v="0.61"/>
    <n v="0.871"/>
    <s v="6.4745e-05"/>
    <n v="0.99994000000000005"/>
    <s v="19.91036493787901"/>
    <s v="12.208586393909622"/>
    <n v="80.615792025652894"/>
    <s v="29.322323532829035"/>
    <n v="767005683"/>
    <x v="0"/>
    <n v="3.2914013999999999E-4"/>
    <x v="0"/>
  </r>
  <r>
    <n v="36"/>
    <n v="1"/>
    <n v="4"/>
    <n v="4"/>
    <n v="1"/>
    <n v="4"/>
    <n v="0"/>
    <n v="26"/>
    <n v="5"/>
    <n v="1"/>
    <n v="1"/>
    <n v="2222"/>
    <n v="1291"/>
    <n v="931"/>
    <n v="0.98799999999999999"/>
    <n v="4095"/>
    <n v="88"/>
    <n v="0.63"/>
    <n v="0.58099999999999996"/>
    <s v="4.0988e-05"/>
    <n v="0.99995999999999996"/>
    <s v="17.93872331955316"/>
    <s v="33.676437088453724"/>
    <s v="107.42510998135867"/>
    <s v="10.768651201723277"/>
    <n v="710078358"/>
    <x v="0"/>
    <n v="3.3028650000000001E-4"/>
    <x v="0"/>
  </r>
  <r>
    <n v="32"/>
    <n v="0"/>
    <n v="0"/>
    <n v="3"/>
    <n v="1"/>
    <n v="4"/>
    <n v="0"/>
    <n v="26"/>
    <n v="6"/>
    <n v="2"/>
    <n v="3"/>
    <n v="2778"/>
    <n v="2312"/>
    <n v="466"/>
    <n v="0.72699999999999998"/>
    <n v="1680"/>
    <n v="33"/>
    <n v="1.0620000000000001"/>
    <n v="0.83199999999999996"/>
    <n v="1.5970000000000001E-4"/>
    <n v="0.99983999999999995"/>
    <s v="13.595863192377196"/>
    <s v="13.126676576389237"/>
    <s v="142.00468671788568"/>
    <s v="25.341984052031336"/>
    <n v="793952133"/>
    <x v="0"/>
    <n v="9.8706899999999992E-4"/>
    <x v="0"/>
  </r>
  <r>
    <n v="35"/>
    <n v="1"/>
    <n v="3"/>
    <n v="5"/>
    <n v="1"/>
    <n v="3"/>
    <n v="0"/>
    <n v="25"/>
    <n v="3"/>
    <n v="1"/>
    <n v="2"/>
    <n v="11927"/>
    <n v="675"/>
    <n v="11252"/>
    <n v="0.57399999999999995"/>
    <n v="1986"/>
    <n v="36"/>
    <n v="0.63600000000000001"/>
    <n v="5.7000000000000002E-2"/>
    <s v="5.8763e-05"/>
    <n v="0.99994000000000005"/>
    <s v="12.583601142643476"/>
    <s v="52.266105016198864"/>
    <s v="63.40471658832652"/>
    <s v="1.7305566335536426"/>
    <n v="713735508"/>
    <x v="0"/>
    <n v="2.3549529999999999E-3"/>
    <x v="0"/>
  </r>
  <r>
    <n v="51"/>
    <n v="0"/>
    <n v="4"/>
    <n v="2"/>
    <n v="2"/>
    <n v="4"/>
    <n v="0"/>
    <n v="36"/>
    <n v="4"/>
    <n v="3"/>
    <n v="1"/>
    <n v="2522"/>
    <n v="1898"/>
    <n v="624"/>
    <n v="0.67400000000000004"/>
    <n v="4122"/>
    <n v="67"/>
    <n v="0.76300000000000001"/>
    <n v="0.753"/>
    <n v="1.1377E-4"/>
    <n v="0.99988999999999995"/>
    <s v="12.712821061837705"/>
    <s v="14.050318042304756"/>
    <s v="0.6140270254443322"/>
    <s v="3.2183815116776304"/>
    <n v="714668433"/>
    <x v="0"/>
    <n v="3.2101269999999999E-4"/>
    <x v="0"/>
  </r>
  <r>
    <n v="42"/>
    <n v="0"/>
    <n v="2"/>
    <n v="1"/>
    <n v="3"/>
    <n v="4"/>
    <n v="3"/>
    <n v="36"/>
    <n v="6"/>
    <n v="1"/>
    <n v="2"/>
    <n v="10074"/>
    <n v="1079"/>
    <n v="8995"/>
    <n v="0.81299999999999994"/>
    <n v="3338"/>
    <n v="65"/>
    <n v="0.71099999999999997"/>
    <n v="0.107"/>
    <s v="7.2016e-05"/>
    <n v="0.99992999999999999"/>
    <s v="41.608294729009096"/>
    <s v="27.28113021890632"/>
    <s v="80.29667195541273"/>
    <s v="14.481412895663492"/>
    <n v="714917583"/>
    <x v="0"/>
    <n v="3.2890364000000001E-4"/>
    <x v="0"/>
  </r>
  <r>
    <n v="41"/>
    <n v="0"/>
    <n v="4"/>
    <n v="3"/>
    <n v="0"/>
    <n v="1"/>
    <n v="0"/>
    <n v="37"/>
    <n v="3"/>
    <n v="2"/>
    <n v="3"/>
    <n v="4650"/>
    <n v="204"/>
    <n v="4446"/>
    <n v="0.68500000000000005"/>
    <n v="2014"/>
    <n v="54"/>
    <n v="0.8"/>
    <n v="4.3999999999999997E-2"/>
    <n v="0.99490000000000001"/>
    <n v="5.1000000000000004E-3"/>
    <s v="27.19773273933549"/>
    <s v="4.466417475594954"/>
    <s v="70.24106386540232"/>
    <s v="13.550379394039332"/>
    <n v="821759658"/>
    <x v="1"/>
    <n v="0.99668425000000005"/>
    <x v="1"/>
  </r>
  <r>
    <n v="50"/>
    <n v="0"/>
    <n v="2"/>
    <n v="3"/>
    <n v="1"/>
    <n v="4"/>
    <n v="0"/>
    <n v="36"/>
    <n v="5"/>
    <n v="1"/>
    <n v="2"/>
    <n v="9355"/>
    <n v="1626"/>
    <n v="7729"/>
    <n v="0.70099999999999996"/>
    <n v="1230"/>
    <n v="28"/>
    <n v="0.86699999999999999"/>
    <n v="0.17399999999999999"/>
    <s v="5.3542e-05"/>
    <n v="0.99995000000000001"/>
    <s v="54.85138953382808"/>
    <s v="1.9400704086251184"/>
    <n v="34.545086267850699"/>
    <s v="14.422799781536533"/>
    <n v="711033408"/>
    <x v="0"/>
    <n v="9.8706899999999992E-4"/>
    <x v="0"/>
  </r>
  <r>
    <n v="44"/>
    <n v="0"/>
    <n v="2"/>
    <n v="2"/>
    <n v="0"/>
    <n v="4"/>
    <n v="3"/>
    <n v="25"/>
    <n v="2"/>
    <n v="2"/>
    <n v="2"/>
    <n v="13138"/>
    <n v="0"/>
    <n v="13138"/>
    <n v="0.54600000000000004"/>
    <n v="3881"/>
    <n v="77"/>
    <n v="0.79100000000000004"/>
    <n v="0"/>
    <n v="1.0284E-4"/>
    <n v="0.99990000000000001"/>
    <s v="38.91717792590404"/>
    <s v="102.10629513507394"/>
    <n v="41.978754442758202"/>
    <s v="10.648769313460704"/>
    <n v="794637333"/>
    <x v="0"/>
    <n v="6.9517245999999998E-4"/>
    <x v="0"/>
  </r>
  <r>
    <n v="49"/>
    <n v="1"/>
    <n v="5"/>
    <n v="0"/>
    <n v="1"/>
    <n v="1"/>
    <n v="0"/>
    <n v="45"/>
    <n v="2"/>
    <n v="2"/>
    <n v="3"/>
    <n v="1438.3"/>
    <n v="0"/>
    <n v="1438.3"/>
    <n v="0.73399999999999999"/>
    <n v="815"/>
    <n v="21"/>
    <n v="0.61499999999999999"/>
    <n v="0"/>
    <n v="0.99482000000000004"/>
    <n v="5.1799999999999997E-3"/>
    <s v="16.26518285798189"/>
    <s v="44.58815813737887"/>
    <s v="33.07982067370875"/>
    <s v="8.673689013524667"/>
    <n v="821797008"/>
    <x v="1"/>
    <n v="0.9985598"/>
    <x v="1"/>
  </r>
  <r>
    <n v="46"/>
    <n v="1"/>
    <n v="5"/>
    <n v="5"/>
    <n v="2"/>
    <n v="1"/>
    <n v="0"/>
    <n v="40"/>
    <n v="6"/>
    <n v="2"/>
    <n v="2"/>
    <n v="7333"/>
    <n v="875"/>
    <n v="6458"/>
    <n v="0.80700000000000005"/>
    <n v="3636"/>
    <n v="48"/>
    <n v="1.286"/>
    <n v="0.11899999999999999"/>
    <n v="1.2082E-4"/>
    <n v="0.99987999999999999"/>
    <s v="15.48942487259363"/>
    <s v="16.009284806315005"/>
    <s v="74.53220396771135"/>
    <s v="12.271851454196907"/>
    <n v="793720908"/>
    <x v="0"/>
    <n v="1.3637844E-3"/>
    <x v="0"/>
  </r>
  <r>
    <n v="56"/>
    <n v="0"/>
    <n v="4"/>
    <n v="3"/>
    <n v="1"/>
    <n v="4"/>
    <n v="0"/>
    <n v="51"/>
    <n v="4"/>
    <n v="2"/>
    <n v="3"/>
    <n v="1438.3"/>
    <n v="0"/>
    <n v="1438.3"/>
    <n v="0.47199999999999998"/>
    <n v="1354"/>
    <n v="24"/>
    <n v="0.71399999999999997"/>
    <n v="0"/>
    <n v="1.9516999999999999E-4"/>
    <n v="0.99980000000000002"/>
    <s v="24.211633689968725"/>
    <s v="52.94339341996724"/>
    <s v="99.75102963689795"/>
    <s v="6.567836278808809"/>
    <n v="815845758"/>
    <x v="0"/>
    <n v="3.6896945E-3"/>
    <x v="0"/>
  </r>
  <r>
    <n v="52"/>
    <n v="0"/>
    <n v="0"/>
    <n v="2"/>
    <n v="1"/>
    <n v="5"/>
    <n v="0"/>
    <n v="37"/>
    <n v="6"/>
    <n v="2"/>
    <n v="2"/>
    <n v="7608"/>
    <n v="2373"/>
    <n v="5235"/>
    <n v="0.95"/>
    <n v="4921"/>
    <n v="81"/>
    <n v="0.62"/>
    <n v="0.312"/>
    <s v="9.7673e-05"/>
    <n v="0.99990000000000001"/>
    <s v="4.719824537217726"/>
    <s v="58.105159630372974"/>
    <s v="79.58556584003037"/>
    <s v="5.2936684348706455"/>
    <n v="719713683"/>
    <x v="0"/>
    <n v="3.4605444000000002E-4"/>
    <x v="0"/>
  </r>
  <r>
    <n v="35"/>
    <n v="0"/>
    <n v="2"/>
    <n v="3"/>
    <n v="1"/>
    <n v="5"/>
    <n v="0"/>
    <n v="36"/>
    <n v="3"/>
    <n v="2"/>
    <n v="4"/>
    <n v="4319"/>
    <n v="1151"/>
    <n v="3168"/>
    <n v="0.59399999999999997"/>
    <n v="1852"/>
    <n v="47"/>
    <n v="0.42399999999999999"/>
    <n v="0.26600000000000001"/>
    <n v="3.1745999999999999E-4"/>
    <n v="0.99968000000000001"/>
    <s v="48.99995119507317"/>
    <s v="10.92482342017056"/>
    <s v="48.86090718661902"/>
    <s v="17.919611902359545"/>
    <n v="715394883"/>
    <x v="0"/>
    <n v="1.232702E-3"/>
    <x v="0"/>
  </r>
  <r>
    <n v="48"/>
    <n v="0"/>
    <n v="4"/>
    <n v="5"/>
    <n v="2"/>
    <n v="5"/>
    <n v="0"/>
    <n v="44"/>
    <n v="4"/>
    <n v="3"/>
    <n v="0"/>
    <n v="2231"/>
    <n v="0"/>
    <n v="2231"/>
    <n v="0.71199999999999997"/>
    <n v="3946"/>
    <n v="48"/>
    <n v="1.286"/>
    <n v="0"/>
    <s v="7.1552e-05"/>
    <n v="0.99992999999999999"/>
    <s v="4.295927712982016"/>
    <s v="52.59828020078196"/>
    <s v="1.8310067809185568"/>
    <n v="6.9967058039661101"/>
    <n v="822068583"/>
    <x v="0"/>
    <n v="2.78503E-3"/>
    <x v="0"/>
  </r>
  <r>
    <n v="47"/>
    <n v="0"/>
    <n v="4"/>
    <n v="4"/>
    <n v="1"/>
    <n v="4"/>
    <n v="0"/>
    <n v="39"/>
    <n v="6"/>
    <n v="2"/>
    <n v="2"/>
    <n v="1790"/>
    <n v="0"/>
    <n v="1790"/>
    <n v="0.51600000000000001"/>
    <n v="4141"/>
    <n v="87"/>
    <n v="0.74"/>
    <n v="0"/>
    <n v="1.4045999999999999E-4"/>
    <n v="0.99985999999999997"/>
    <s v="43.45211163171735"/>
    <s v="24.014585094959106"/>
    <s v="47.21188334067644"/>
    <s v="5.920604659896155"/>
    <n v="708998583"/>
    <x v="0"/>
    <n v="6.9517245999999998E-4"/>
    <x v="0"/>
  </r>
  <r>
    <n v="47"/>
    <n v="1"/>
    <n v="3"/>
    <n v="1"/>
    <n v="3"/>
    <n v="0"/>
    <n v="0"/>
    <n v="41"/>
    <n v="6"/>
    <n v="2"/>
    <n v="2"/>
    <n v="6143"/>
    <n v="1151"/>
    <n v="4992"/>
    <n v="0.86599999999999999"/>
    <n v="4330"/>
    <n v="72"/>
    <n v="0.89500000000000002"/>
    <n v="0.187"/>
    <n v="1.7091E-4"/>
    <n v="0.99983"/>
    <s v="16.582619664686156"/>
    <s v="78.03934820229311"/>
    <s v="58.96367813172194"/>
    <s v="27.005962825714484"/>
    <n v="709165533"/>
    <x v="0"/>
    <n v="3.2101269999999999E-4"/>
    <x v="0"/>
  </r>
  <r>
    <n v="42"/>
    <n v="0"/>
    <n v="3"/>
    <n v="2"/>
    <n v="2"/>
    <n v="1"/>
    <n v="0"/>
    <n v="33"/>
    <n v="6"/>
    <n v="2"/>
    <n v="3"/>
    <n v="3376"/>
    <n v="1661"/>
    <n v="1715"/>
    <n v="0.61799999999999999"/>
    <n v="4629"/>
    <n v="75"/>
    <n v="0.92300000000000004"/>
    <n v="0.49199999999999999"/>
    <n v="1.9864000000000001E-4"/>
    <n v="0.99980000000000002"/>
    <n v="2.3154473197836798"/>
    <s v="46.34389029114882"/>
    <s v="83.12204530295425"/>
    <s v="9.957407252928803"/>
    <n v="710157108"/>
    <x v="0"/>
    <n v="3.2101269999999999E-4"/>
    <x v="0"/>
  </r>
  <r>
    <n v="44"/>
    <n v="1"/>
    <n v="4"/>
    <n v="2"/>
    <n v="2"/>
    <n v="1"/>
    <n v="0"/>
    <n v="36"/>
    <n v="5"/>
    <n v="2"/>
    <n v="3"/>
    <n v="11346"/>
    <n v="0"/>
    <n v="11346"/>
    <n v="0.66500000000000004"/>
    <n v="3784"/>
    <n v="67"/>
    <n v="0.45700000000000002"/>
    <n v="0"/>
    <n v="2.0076999999999999E-4"/>
    <n v="0.99980000000000002"/>
    <s v="19.081382068147636"/>
    <s v="17.27270131421256"/>
    <s v="1.069294337558777"/>
    <s v="15.754133999738954"/>
    <n v="710017758"/>
    <x v="0"/>
    <n v="8.3350899999999996E-4"/>
    <x v="0"/>
  </r>
  <r>
    <n v="48"/>
    <n v="0"/>
    <n v="3"/>
    <n v="4"/>
    <n v="1"/>
    <n v="1"/>
    <n v="0"/>
    <n v="37"/>
    <n v="4"/>
    <n v="1"/>
    <n v="2"/>
    <n v="6725"/>
    <n v="493"/>
    <n v="6232"/>
    <n v="0.72"/>
    <n v="13891"/>
    <n v="106"/>
    <n v="0.60599999999999998"/>
    <n v="7.2999999999999995E-2"/>
    <s v="6.7249e-05"/>
    <n v="0.99992999999999999"/>
    <s v="43.734556431980415"/>
    <s v="16.557673406439775"/>
    <s v="49.97603362912972"/>
    <s v="0.1796430771160983"/>
    <n v="711070683"/>
    <x v="0"/>
    <n v="7.6947116999999995E-4"/>
    <x v="0"/>
  </r>
  <r>
    <n v="35"/>
    <n v="0"/>
    <n v="3"/>
    <n v="6"/>
    <n v="0"/>
    <n v="4"/>
    <n v="0"/>
    <n v="29"/>
    <n v="4"/>
    <n v="2"/>
    <n v="3"/>
    <n v="1511"/>
    <n v="864"/>
    <n v="647"/>
    <n v="0.71199999999999997"/>
    <n v="4823"/>
    <n v="64"/>
    <n v="0.82899999999999996"/>
    <n v="0.57199999999999995"/>
    <n v="2.1834E-4"/>
    <n v="0.99978"/>
    <s v="22.386224683795746"/>
    <s v="50.80810506263815"/>
    <n v="87.042997757519402"/>
    <s v="14.515104255884676"/>
    <n v="803398983"/>
    <x v="0"/>
    <n v="5.1482214000000005E-4"/>
    <x v="0"/>
  </r>
  <r>
    <n v="38"/>
    <n v="0"/>
    <n v="2"/>
    <n v="6"/>
    <n v="1"/>
    <n v="4"/>
    <n v="0"/>
    <n v="36"/>
    <n v="4"/>
    <n v="2"/>
    <n v="2"/>
    <n v="5589"/>
    <n v="0"/>
    <n v="5589"/>
    <n v="0.78700000000000003"/>
    <n v="4064"/>
    <n v="77"/>
    <n v="0.71099999999999997"/>
    <n v="0"/>
    <n v="1.2511E-4"/>
    <n v="0.99987000000000004"/>
    <s v="33.67253708106118"/>
    <s v="35.30644815987051"/>
    <s v="117.18568790058156"/>
    <s v="12.353448366059276"/>
    <n v="710676483"/>
    <x v="0"/>
    <n v="6.9517245999999998E-4"/>
    <x v="0"/>
  </r>
  <r>
    <n v="45"/>
    <n v="1"/>
    <n v="2"/>
    <n v="2"/>
    <n v="1"/>
    <n v="1"/>
    <n v="0"/>
    <n v="41"/>
    <n v="5"/>
    <n v="2"/>
    <n v="2"/>
    <n v="8532"/>
    <n v="2165"/>
    <n v="6367"/>
    <n v="0.70699999999999996"/>
    <n v="3242"/>
    <n v="63"/>
    <n v="0.75"/>
    <n v="0.254"/>
    <n v="1.1382E-4"/>
    <n v="0.99988999999999995"/>
    <s v="34.577589552975745"/>
    <s v="35.773234251687164"/>
    <n v="74.2405222194743"/>
    <s v="9.303633177568804"/>
    <n v="820906233"/>
    <x v="0"/>
    <n v="3.479205E-4"/>
    <x v="0"/>
  </r>
  <r>
    <n v="32"/>
    <n v="0"/>
    <n v="1"/>
    <n v="2"/>
    <n v="1"/>
    <n v="4"/>
    <n v="0"/>
    <n v="36"/>
    <n v="4"/>
    <n v="3"/>
    <n v="3"/>
    <n v="9550"/>
    <n v="2517"/>
    <n v="7033"/>
    <n v="0.71299999999999997"/>
    <n v="13783"/>
    <n v="116"/>
    <n v="0.84099999999999997"/>
    <n v="0.26400000000000001"/>
    <n v="2.8394999999999999E-4"/>
    <n v="0.99972000000000005"/>
    <s v="18.869000859468823"/>
    <s v="37.96049161812069"/>
    <s v="35.987989729115625"/>
    <s v="7.886483197092948"/>
    <n v="716464533"/>
    <x v="0"/>
    <n v="3.7453471999999999E-4"/>
    <x v="0"/>
  </r>
  <r>
    <n v="59"/>
    <n v="1"/>
    <n v="1"/>
    <n v="5"/>
    <n v="1"/>
    <n v="2"/>
    <n v="0"/>
    <n v="36"/>
    <n v="4"/>
    <n v="3"/>
    <n v="3"/>
    <n v="3742"/>
    <n v="1175"/>
    <n v="2567"/>
    <n v="0.51400000000000001"/>
    <n v="1505"/>
    <n v="31"/>
    <n v="0.82399999999999995"/>
    <n v="0.314"/>
    <n v="2.9196000000000002E-4"/>
    <n v="0.99970999999999999"/>
    <s v="18.40194312003109"/>
    <s v="44.59952601654537"/>
    <n v="86.606135353362504"/>
    <s v="11.54544948255281"/>
    <n v="719905908"/>
    <x v="0"/>
    <n v="9.8706899999999992E-4"/>
    <x v="0"/>
  </r>
  <r>
    <n v="32"/>
    <n v="0"/>
    <n v="2"/>
    <n v="4"/>
    <n v="2"/>
    <n v="4"/>
    <n v="0"/>
    <n v="16"/>
    <n v="3"/>
    <n v="3"/>
    <n v="2"/>
    <n v="2973"/>
    <n v="2446"/>
    <n v="527"/>
    <n v="0.61199999999999999"/>
    <n v="3769"/>
    <n v="78"/>
    <n v="0.95"/>
    <n v="0.82299999999999995"/>
    <n v="2.1164999999999999E-4"/>
    <n v="0.99978999999999996"/>
    <n v="42.9038769139081"/>
    <n v="36.987262695731701"/>
    <s v="27.62413269787188"/>
    <s v="12.47691206994084"/>
    <n v="717750858"/>
    <x v="0"/>
    <n v="3.2101269999999999E-4"/>
    <x v="0"/>
  </r>
  <r>
    <n v="51"/>
    <n v="0"/>
    <n v="4"/>
    <n v="2"/>
    <n v="0"/>
    <n v="4"/>
    <n v="0"/>
    <n v="36"/>
    <n v="2"/>
    <n v="3"/>
    <n v="2"/>
    <n v="2984"/>
    <n v="2512"/>
    <n v="472"/>
    <n v="0.86099999999999999"/>
    <n v="8296"/>
    <n v="91"/>
    <n v="0.68500000000000005"/>
    <n v="0.84199999999999997"/>
    <n v="1.8864000000000001E-4"/>
    <n v="0.99980999999999998"/>
    <s v="13.846060626682211"/>
    <s v="3.190635316339753"/>
    <s v="59.06463009405426"/>
    <s v="12.946164699170652"/>
    <n v="710260983"/>
    <x v="0"/>
    <n v="3.9831083000000002E-4"/>
    <x v="0"/>
  </r>
  <r>
    <n v="45"/>
    <n v="0"/>
    <n v="3"/>
    <n v="6"/>
    <n v="1"/>
    <n v="5"/>
    <n v="0"/>
    <n v="36"/>
    <n v="6"/>
    <n v="1"/>
    <n v="3"/>
    <n v="8459"/>
    <n v="757"/>
    <n v="7702"/>
    <n v="0.64800000000000002"/>
    <n v="4677"/>
    <n v="87"/>
    <n v="0.67300000000000004"/>
    <n v="8.8999999999999996E-2"/>
    <n v="1.0566E-4"/>
    <n v="0.99988999999999995"/>
    <s v="10.646716977766022"/>
    <s v="7.734997877229921"/>
    <s v="78.65528624946006"/>
    <s v="2.443504373821005"/>
    <n v="717045033"/>
    <x v="0"/>
    <n v="5.6052160000000001E-4"/>
    <x v="0"/>
  </r>
  <r>
    <n v="26"/>
    <n v="0"/>
    <n v="0"/>
    <n v="5"/>
    <n v="2"/>
    <n v="1"/>
    <n v="0"/>
    <n v="18"/>
    <n v="4"/>
    <n v="3"/>
    <n v="2"/>
    <n v="2033"/>
    <n v="1471"/>
    <n v="562"/>
    <n v="0.67200000000000004"/>
    <n v="2236"/>
    <n v="55"/>
    <n v="0.41"/>
    <n v="0.72399999999999998"/>
    <n v="1.5871E-4"/>
    <n v="0.99983999999999995"/>
    <s v="49.81334132712941"/>
    <s v="18.060713578554644"/>
    <s v="5.907958741020265"/>
    <n v="9.3926093727750501"/>
    <n v="710375283"/>
    <x v="0"/>
    <n v="6.3249335000000004E-4"/>
    <x v="0"/>
  </r>
  <r>
    <n v="38"/>
    <n v="0"/>
    <n v="1"/>
    <n v="3"/>
    <n v="1"/>
    <n v="4"/>
    <n v="0"/>
    <n v="28"/>
    <n v="3"/>
    <n v="3"/>
    <n v="3"/>
    <n v="4196"/>
    <n v="731"/>
    <n v="3465"/>
    <n v="0.48499999999999999"/>
    <n v="1868"/>
    <n v="30"/>
    <n v="0.2"/>
    <n v="0.17399999999999999"/>
    <n v="0.99639"/>
    <n v="3.6085800000000001E-3"/>
    <s v="26.39145799247889"/>
    <s v="54.14185011976024"/>
    <n v="42.568179783978202"/>
    <n v="13.691627785548199"/>
    <n v="713381433"/>
    <x v="1"/>
    <n v="0.99703350000000002"/>
    <x v="1"/>
  </r>
  <r>
    <n v="51"/>
    <n v="0"/>
    <n v="2"/>
    <n v="3"/>
    <n v="2"/>
    <n v="1"/>
    <n v="0"/>
    <n v="32"/>
    <n v="4"/>
    <n v="1"/>
    <n v="2"/>
    <n v="5351"/>
    <n v="0"/>
    <n v="5351"/>
    <n v="0.76300000000000001"/>
    <n v="4596"/>
    <n v="78"/>
    <n v="0.5"/>
    <n v="0"/>
    <s v="5.3542e-05"/>
    <n v="0.99995000000000001"/>
    <s v="26.062961522946065"/>
    <s v="25.15987406995897"/>
    <s v="39.090854019419794"/>
    <s v="5.165032124507561"/>
    <n v="779170008"/>
    <x v="0"/>
    <n v="7.7293770000000004E-4"/>
    <x v="0"/>
  </r>
  <r>
    <n v="46"/>
    <n v="1"/>
    <n v="2"/>
    <n v="0"/>
    <n v="0"/>
    <n v="2"/>
    <n v="0"/>
    <n v="37"/>
    <n v="1"/>
    <n v="3"/>
    <n v="1"/>
    <n v="10074"/>
    <n v="1223"/>
    <n v="8851"/>
    <n v="0.95499999999999996"/>
    <n v="8256"/>
    <n v="99"/>
    <n v="0.623"/>
    <n v="0.121"/>
    <n v="1.0546E-4"/>
    <n v="0.99988999999999995"/>
    <s v="35.57398989549304"/>
    <s v="67.80706797772679"/>
    <s v="54.518863517443926"/>
    <s v="13.501941119024668"/>
    <n v="718889508"/>
    <x v="0"/>
    <n v="3.9731347000000001E-4"/>
    <x v="0"/>
  </r>
  <r>
    <n v="43"/>
    <n v="1"/>
    <n v="3"/>
    <n v="3"/>
    <n v="3"/>
    <n v="2"/>
    <n v="0"/>
    <n v="36"/>
    <n v="5"/>
    <n v="3"/>
    <n v="3"/>
    <n v="20811"/>
    <n v="1425"/>
    <n v="19386"/>
    <n v="0.38200000000000001"/>
    <n v="1483"/>
    <n v="38"/>
    <n v="0.52"/>
    <n v="6.8000000000000005E-2"/>
    <n v="3.0516000000000001E-4"/>
    <n v="0.99968999999999997"/>
    <s v="30.58163427110696"/>
    <s v="22.96657434280651"/>
    <s v="60.96201045951969"/>
    <s v="6.245562787266614"/>
    <n v="720352533"/>
    <x v="0"/>
    <n v="1.2847681E-3"/>
    <x v="0"/>
  </r>
  <r>
    <n v="45"/>
    <n v="1"/>
    <n v="0"/>
    <n v="2"/>
    <n v="2"/>
    <n v="1"/>
    <n v="0"/>
    <n v="37"/>
    <n v="4"/>
    <n v="5"/>
    <n v="2"/>
    <n v="10271"/>
    <n v="1746"/>
    <n v="8525"/>
    <n v="0.66100000000000003"/>
    <n v="3696"/>
    <n v="72"/>
    <n v="0.6"/>
    <n v="0.17"/>
    <n v="1.7239999999999999E-4"/>
    <n v="0.99983"/>
    <s v="44.89314802863383"/>
    <s v="20.07296587079379"/>
    <s v="58.90753309986573"/>
    <s v="0.5200714768922559"/>
    <n v="716660583"/>
    <x v="0"/>
    <n v="3.2914013999999999E-4"/>
    <x v="0"/>
  </r>
  <r>
    <n v="57"/>
    <n v="0"/>
    <n v="3"/>
    <n v="5"/>
    <n v="2"/>
    <n v="4"/>
    <n v="0"/>
    <n v="51"/>
    <n v="3"/>
    <n v="0"/>
    <n v="3"/>
    <n v="1438.3"/>
    <n v="0"/>
    <n v="1438.3"/>
    <n v="0.42899999999999999"/>
    <n v="2113"/>
    <n v="38"/>
    <n v="0.26700000000000002"/>
    <n v="0"/>
    <n v="0.97338999999999998"/>
    <n v="2.6610000000000002E-2"/>
    <s v="22.01066256254773"/>
    <s v="8.799314254341448"/>
    <s v="62.57751292283128"/>
    <s v="11.386688731021698"/>
    <n v="708801108"/>
    <x v="1"/>
    <n v="0.99876772999999996"/>
    <x v="1"/>
  </r>
  <r>
    <n v="47"/>
    <n v="0"/>
    <n v="5"/>
    <n v="3"/>
    <n v="1"/>
    <n v="4"/>
    <n v="0"/>
    <n v="36"/>
    <n v="5"/>
    <n v="3"/>
    <n v="1"/>
    <n v="1478"/>
    <n v="792"/>
    <n v="686"/>
    <n v="0.873"/>
    <n v="4123"/>
    <n v="67"/>
    <n v="0.48899999999999999"/>
    <n v="0.53600000000000003"/>
    <n v="1.0887000000000001E-4"/>
    <n v="0.99988999999999995"/>
    <s v="11.644262668191285"/>
    <s v="27.925555780533458"/>
    <s v="25.41623300539792"/>
    <s v="1.7175866198252956"/>
    <n v="734924658"/>
    <x v="0"/>
    <n v="5.8536389999999997E-4"/>
    <x v="0"/>
  </r>
  <r>
    <n v="51"/>
    <n v="0"/>
    <n v="1"/>
    <n v="5"/>
    <n v="2"/>
    <n v="1"/>
    <n v="0"/>
    <n v="46"/>
    <n v="5"/>
    <n v="3"/>
    <n v="2"/>
    <n v="2284"/>
    <n v="1674"/>
    <n v="610"/>
    <n v="0.78400000000000003"/>
    <n v="4885"/>
    <n v="86"/>
    <n v="0.83"/>
    <n v="0.73299999999999998"/>
    <n v="1.7359999999999999E-4"/>
    <n v="0.99983"/>
    <s v="11.629109666562467"/>
    <s v="48.06744980808861"/>
    <s v="23.161800472299635"/>
    <s v="19.27830646621347"/>
    <n v="818502708"/>
    <x v="0"/>
    <n v="3.2101269999999999E-4"/>
    <x v="0"/>
  </r>
  <r>
    <n v="55"/>
    <n v="1"/>
    <n v="3"/>
    <n v="2"/>
    <n v="2"/>
    <n v="1"/>
    <n v="3"/>
    <n v="45"/>
    <n v="2"/>
    <n v="3"/>
    <n v="1"/>
    <n v="18128"/>
    <n v="0"/>
    <n v="18128"/>
    <n v="0.71"/>
    <n v="2503"/>
    <n v="49"/>
    <n v="0.88500000000000001"/>
    <n v="0"/>
    <n v="0.99026000000000003"/>
    <n v="9.7400000000000004E-3"/>
    <s v="16.109423501804383"/>
    <s v="30.149268834717837"/>
    <s v="66.59969420666017"/>
    <s v="13.717084576360168"/>
    <n v="717793983"/>
    <x v="1"/>
    <n v="0.99805650000000001"/>
    <x v="1"/>
  </r>
  <r>
    <n v="39"/>
    <n v="1"/>
    <n v="5"/>
    <n v="0"/>
    <n v="1"/>
    <n v="3"/>
    <n v="0"/>
    <n v="29"/>
    <n v="3"/>
    <n v="3"/>
    <n v="4"/>
    <n v="34198"/>
    <n v="1804"/>
    <n v="32394"/>
    <n v="0.93400000000000005"/>
    <n v="4270"/>
    <n v="59"/>
    <n v="0.63900000000000001"/>
    <n v="5.2999999999999999E-2"/>
    <n v="5.1793E-4"/>
    <n v="0.99948000000000004"/>
    <s v="10.738703083028472"/>
    <s v="48.61988648493622"/>
    <s v="94.04109915144556"/>
    <s v="9.007231075616868"/>
    <n v="717202908"/>
    <x v="0"/>
    <n v="4.510599E-4"/>
    <x v="0"/>
  </r>
  <r>
    <n v="34"/>
    <n v="1"/>
    <n v="1"/>
    <n v="3"/>
    <n v="2"/>
    <n v="1"/>
    <n v="0"/>
    <n v="25"/>
    <n v="4"/>
    <n v="1"/>
    <n v="2"/>
    <n v="1793"/>
    <n v="1141"/>
    <n v="652"/>
    <n v="0.71499999999999997"/>
    <n v="5293"/>
    <n v="88"/>
    <n v="0.76"/>
    <n v="0.63600000000000001"/>
    <s v="5.0256e-05"/>
    <n v="0.99995000000000001"/>
    <n v="67.906118519484707"/>
    <s v="30.65067330588101"/>
    <s v="101.7365655050006"/>
    <s v="16.304923869859508"/>
    <n v="715739733"/>
    <x v="0"/>
    <n v="3.4800241999999998E-4"/>
    <x v="0"/>
  </r>
  <r>
    <n v="53"/>
    <n v="1"/>
    <n v="3"/>
    <n v="3"/>
    <n v="1"/>
    <n v="3"/>
    <n v="0"/>
    <n v="36"/>
    <n v="3"/>
    <n v="3"/>
    <n v="3"/>
    <n v="9355"/>
    <n v="715"/>
    <n v="8640"/>
    <n v="0.42199999999999999"/>
    <n v="1138"/>
    <n v="38"/>
    <n v="0.72699999999999998"/>
    <n v="7.5999999999999998E-2"/>
    <n v="3.0516000000000001E-4"/>
    <n v="0.99968999999999997"/>
    <s v="17.087761135141996"/>
    <s v="22.37007275500682"/>
    <s v="58.60480360656375"/>
    <s v="3.1348212030556755"/>
    <n v="709025583"/>
    <x v="0"/>
    <n v="2.0168130000000001E-3"/>
    <x v="0"/>
  </r>
  <r>
    <n v="38"/>
    <n v="0"/>
    <n v="3"/>
    <n v="6"/>
    <n v="2"/>
    <n v="5"/>
    <n v="0"/>
    <n v="32"/>
    <n v="5"/>
    <n v="1"/>
    <n v="0"/>
    <n v="26945"/>
    <n v="727"/>
    <n v="26218"/>
    <n v="0.68700000000000006"/>
    <n v="1579"/>
    <n v="40"/>
    <n v="0.6"/>
    <n v="2.7E-2"/>
    <s v="2.3172e-05"/>
    <n v="0.99997999999999998"/>
    <s v="38.56415924955242"/>
    <n v="9.5689384153692991"/>
    <s v="25.517035108428768"/>
    <s v="11.221854801975244"/>
    <n v="795904233"/>
    <x v="0"/>
    <n v="2.0666234000000002E-3"/>
    <x v="0"/>
  </r>
  <r>
    <n v="45"/>
    <n v="0"/>
    <n v="4"/>
    <n v="2"/>
    <n v="3"/>
    <n v="5"/>
    <n v="0"/>
    <n v="36"/>
    <n v="4"/>
    <n v="1"/>
    <n v="3"/>
    <n v="3416"/>
    <n v="727"/>
    <n v="2689"/>
    <n v="0.57999999999999996"/>
    <n v="4121"/>
    <n v="83"/>
    <n v="0.72899999999999998"/>
    <n v="0.21299999999999999"/>
    <s v="9.7154e-05"/>
    <n v="0.99990000000000001"/>
    <s v="53.24049498040707"/>
    <s v="15.785976812413535"/>
    <s v="20.00690441695809"/>
    <s v="6.585661037873758"/>
    <n v="720008133"/>
    <x v="0"/>
    <n v="5.4489190000000002E-4"/>
    <x v="0"/>
  </r>
  <r>
    <n v="38"/>
    <n v="1"/>
    <n v="0"/>
    <n v="6"/>
    <n v="0"/>
    <n v="4"/>
    <n v="0"/>
    <n v="36"/>
    <n v="3"/>
    <n v="3"/>
    <n v="2"/>
    <n v="5155"/>
    <n v="684"/>
    <n v="4471"/>
    <n v="0.58799999999999997"/>
    <n v="1555"/>
    <n v="37"/>
    <n v="0.48"/>
    <n v="0.13300000000000001"/>
    <n v="1.6966E-4"/>
    <n v="0.99983"/>
    <s v="12.293293830804402"/>
    <s v="28.737705514190083"/>
    <s v="37.71742645533747"/>
    <n v="9.1744547555518696E-2"/>
    <n v="712207683"/>
    <x v="0"/>
    <n v="2.1596054999999999E-3"/>
    <x v="0"/>
  </r>
  <r>
    <n v="50"/>
    <n v="0"/>
    <n v="0"/>
    <n v="3"/>
    <n v="3"/>
    <n v="4"/>
    <n v="0"/>
    <n v="36"/>
    <n v="3"/>
    <n v="2"/>
    <n v="1"/>
    <n v="2242"/>
    <n v="888"/>
    <n v="1354"/>
    <n v="0.66100000000000003"/>
    <n v="4708"/>
    <n v="81"/>
    <n v="0.55800000000000005"/>
    <n v="0.39600000000000002"/>
    <s v="5.7261e-05"/>
    <n v="0.99994000000000005"/>
    <s v="31.76676209555799"/>
    <s v="56.90405474593759"/>
    <s v="85.16256637750696"/>
    <s v="11.452244997936017"/>
    <n v="720831783"/>
    <x v="0"/>
    <n v="4.3230187E-4"/>
    <x v="0"/>
  </r>
  <r>
    <n v="40"/>
    <n v="0"/>
    <n v="1"/>
    <n v="5"/>
    <n v="2"/>
    <n v="4"/>
    <n v="3"/>
    <n v="34"/>
    <n v="5"/>
    <n v="2"/>
    <n v="2"/>
    <n v="13669"/>
    <n v="1774"/>
    <n v="11895"/>
    <n v="0.65300000000000002"/>
    <n v="15772"/>
    <n v="130"/>
    <n v="0.625"/>
    <n v="0.13"/>
    <s v="9.9255e-05"/>
    <n v="0.99990000000000001"/>
    <s v="10.447844848008447"/>
    <s v="35.30739440446666"/>
    <s v="33.26297404350691"/>
    <s v="11.22922006478306"/>
    <n v="717928308"/>
    <x v="0"/>
    <n v="3.5533762999999998E-4"/>
    <x v="0"/>
  </r>
  <r>
    <n v="43"/>
    <n v="0"/>
    <n v="4"/>
    <n v="2"/>
    <n v="1"/>
    <n v="4"/>
    <n v="0"/>
    <n v="29"/>
    <n v="3"/>
    <n v="3"/>
    <n v="3"/>
    <n v="2778"/>
    <n v="1640"/>
    <n v="1138"/>
    <n v="0.82"/>
    <n v="4007"/>
    <n v="75"/>
    <n v="0.70499999999999996"/>
    <n v="0.59"/>
    <n v="3.1725999999999998E-4"/>
    <n v="0.99968000000000001"/>
    <n v="65.901495651422906"/>
    <s v="31.16334748253172"/>
    <s v="16.82396199023444"/>
    <s v="16.886550462541216"/>
    <n v="720363258"/>
    <x v="0"/>
    <n v="3.2101269999999999E-4"/>
    <x v="0"/>
  </r>
  <r>
    <n v="51"/>
    <n v="1"/>
    <n v="4"/>
    <n v="0"/>
    <n v="2"/>
    <n v="0"/>
    <n v="1"/>
    <n v="33"/>
    <n v="2"/>
    <n v="2"/>
    <n v="2"/>
    <n v="34516"/>
    <n v="1848"/>
    <n v="32668"/>
    <n v="0.77500000000000002"/>
    <n v="14149"/>
    <n v="103"/>
    <n v="0.68899999999999995"/>
    <n v="5.3999999999999999E-2"/>
    <n v="1.3370999999999999E-4"/>
    <n v="0.99987000000000004"/>
    <s v="35.196565770956376"/>
    <s v="49.97105453110959"/>
    <s v="15.931080621864302"/>
    <s v="25.22188603292325"/>
    <n v="716247708"/>
    <x v="0"/>
    <n v="3.8573547000000003E-4"/>
    <x v="0"/>
  </r>
  <r>
    <n v="50"/>
    <n v="1"/>
    <n v="1"/>
    <n v="3"/>
    <n v="1"/>
    <n v="4"/>
    <n v="0"/>
    <n v="35"/>
    <n v="2"/>
    <n v="1"/>
    <n v="3"/>
    <n v="3968"/>
    <n v="2264"/>
    <n v="1704"/>
    <n v="1.0980000000000001"/>
    <n v="12535"/>
    <n v="118"/>
    <n v="0.81499999999999995"/>
    <n v="0.57099999999999995"/>
    <s v="8.453e-05"/>
    <n v="0.99992000000000003"/>
    <s v="4.565817176544023"/>
    <n v="9.1938673684410492"/>
    <s v="72.24758456757797"/>
    <s v="6.705046953176917"/>
    <n v="780114558"/>
    <x v="0"/>
    <n v="3.6984833000000002E-4"/>
    <x v="0"/>
  </r>
  <r>
    <n v="41"/>
    <n v="0"/>
    <n v="2"/>
    <n v="1"/>
    <n v="1"/>
    <n v="1"/>
    <n v="0"/>
    <n v="33"/>
    <n v="1"/>
    <n v="3"/>
    <n v="3"/>
    <n v="1604"/>
    <n v="0"/>
    <n v="1604"/>
    <n v="0.64400000000000002"/>
    <n v="2264"/>
    <n v="47"/>
    <n v="0.51600000000000001"/>
    <n v="0"/>
    <n v="0.99772000000000005"/>
    <n v="2.27837E-3"/>
    <s v="30.971177757619287"/>
    <s v="3.859000787985742"/>
    <s v="7.827765387762366"/>
    <s v="13.645849068009165"/>
    <n v="778819083"/>
    <x v="1"/>
    <n v="0.99876772999999996"/>
    <x v="1"/>
  </r>
  <r>
    <n v="27"/>
    <n v="0"/>
    <n v="2"/>
    <n v="0"/>
    <n v="0"/>
    <n v="4"/>
    <n v="0"/>
    <n v="14"/>
    <n v="4"/>
    <n v="3"/>
    <n v="3"/>
    <n v="2549"/>
    <n v="2130"/>
    <n v="419"/>
    <n v="0.69299999999999995"/>
    <n v="2605"/>
    <n v="61"/>
    <n v="0.79400000000000004"/>
    <n v="0.83599999999999997"/>
    <n v="2.9410999999999999E-4"/>
    <n v="0.99970999999999999"/>
    <s v="38.13490619404494"/>
    <n v="64.148088308933595"/>
    <s v="19.14276386787388"/>
    <s v="14.945296281220974"/>
    <n v="720216108"/>
    <x v="0"/>
    <n v="4.2757455999999999E-4"/>
    <x v="0"/>
  </r>
  <r>
    <n v="41"/>
    <n v="1"/>
    <n v="3"/>
    <n v="3"/>
    <n v="1"/>
    <n v="3"/>
    <n v="0"/>
    <n v="35"/>
    <n v="6"/>
    <n v="2"/>
    <n v="1"/>
    <n v="8376"/>
    <n v="1165"/>
    <n v="7211"/>
    <n v="0.88800000000000001"/>
    <n v="4142"/>
    <n v="67"/>
    <n v="0.63400000000000001"/>
    <n v="0.13900000000000001"/>
    <s v="6.9242e-05"/>
    <n v="0.99992999999999999"/>
    <s v="31.631308155824176"/>
    <s v="15.964509218114674"/>
    <s v="102.97571768732386"/>
    <s v="6.741503905583837"/>
    <n v="795573333"/>
    <x v="0"/>
    <n v="3.4605444000000002E-4"/>
    <x v="0"/>
  </r>
  <r>
    <n v="42"/>
    <n v="0"/>
    <n v="1"/>
    <n v="2"/>
    <n v="1"/>
    <n v="4"/>
    <n v="0"/>
    <n v="36"/>
    <n v="2"/>
    <n v="3"/>
    <n v="2"/>
    <n v="1438.3"/>
    <n v="0"/>
    <n v="1438.3"/>
    <n v="0.66500000000000004"/>
    <n v="4511"/>
    <n v="76"/>
    <n v="0.76700000000000002"/>
    <n v="0"/>
    <n v="1.6882999999999999E-4"/>
    <n v="0.99983"/>
    <s v="35.55976852415952"/>
    <s v="86.48459659443587"/>
    <s v="40.084225607846015"/>
    <s v="11.687123967684183"/>
    <n v="718858683"/>
    <x v="0"/>
    <n v="6.9517245999999998E-4"/>
    <x v="0"/>
  </r>
  <r>
    <n v="44"/>
    <n v="1"/>
    <n v="4"/>
    <n v="3"/>
    <n v="2"/>
    <n v="0"/>
    <n v="0"/>
    <n v="37"/>
    <n v="5"/>
    <n v="3"/>
    <n v="3"/>
    <n v="8396"/>
    <n v="1672"/>
    <n v="6724"/>
    <n v="0.60199999999999998"/>
    <n v="1475"/>
    <n v="35"/>
    <n v="0.75"/>
    <n v="0.19900000000000001"/>
    <n v="3.0842E-4"/>
    <n v="0.99968999999999997"/>
    <s v="57.48954925150063"/>
    <s v="29.05302322034019"/>
    <n v="4.5677312293043497E-2"/>
    <s v="2.8704876313925616"/>
    <n v="767049258"/>
    <x v="0"/>
    <n v="1.0337284E-3"/>
    <x v="0"/>
  </r>
  <r>
    <n v="49"/>
    <n v="0"/>
    <n v="3"/>
    <n v="3"/>
    <n v="2"/>
    <n v="5"/>
    <n v="3"/>
    <n v="36"/>
    <n v="3"/>
    <n v="2"/>
    <n v="2"/>
    <n v="31631"/>
    <n v="0"/>
    <n v="31631"/>
    <n v="0.63200000000000001"/>
    <n v="3418"/>
    <n v="58"/>
    <n v="0.75800000000000001"/>
    <n v="0"/>
    <n v="1.0374000000000001E-4"/>
    <n v="0.99990000000000001"/>
    <s v="57.944196116686456"/>
    <s v="99.65936516253724"/>
    <s v="37.45167514415556"/>
    <s v="20.599617981729164"/>
    <n v="713389233"/>
    <x v="0"/>
    <n v="1.0303544E-3"/>
    <x v="0"/>
  </r>
  <r>
    <n v="52"/>
    <n v="0"/>
    <n v="1"/>
    <n v="2"/>
    <n v="1"/>
    <n v="4"/>
    <n v="0"/>
    <n v="38"/>
    <n v="3"/>
    <n v="1"/>
    <n v="3"/>
    <n v="3773"/>
    <n v="1291"/>
    <n v="2482"/>
    <n v="0.878"/>
    <n v="4697"/>
    <n v="75"/>
    <n v="0.66700000000000004"/>
    <n v="0.34200000000000003"/>
    <s v="8.6952e-05"/>
    <n v="0.99990999999999997"/>
    <s v="14.83461537514439"/>
    <s v="66.91240831363012"/>
    <s v="107.59866372714843"/>
    <s v="3.074577730037916"/>
    <n v="715824108"/>
    <x v="0"/>
    <n v="3.2101269999999999E-4"/>
    <x v="0"/>
  </r>
  <r>
    <n v="58"/>
    <n v="1"/>
    <n v="4"/>
    <n v="2"/>
    <n v="1"/>
    <n v="2"/>
    <n v="0"/>
    <n v="36"/>
    <n v="3"/>
    <n v="2"/>
    <n v="2"/>
    <n v="14607"/>
    <n v="1480"/>
    <n v="13127"/>
    <n v="0.34599999999999997"/>
    <n v="1393"/>
    <n v="38"/>
    <n v="0.46200000000000002"/>
    <n v="0.10100000000000001"/>
    <n v="1.1937E-4"/>
    <n v="0.99987999999999999"/>
    <s v="41.01578500423529"/>
    <s v="7.113820374717074"/>
    <s v="66.83682388256604"/>
    <s v="22.66624164638734"/>
    <n v="712973733"/>
    <x v="0"/>
    <n v="1.232702E-3"/>
    <x v="0"/>
  </r>
  <r>
    <n v="46"/>
    <n v="1"/>
    <n v="2"/>
    <n v="6"/>
    <n v="2"/>
    <n v="3"/>
    <n v="0"/>
    <n v="34"/>
    <n v="1"/>
    <n v="3"/>
    <n v="2"/>
    <n v="3841"/>
    <n v="1411"/>
    <n v="2430"/>
    <n v="0.78500000000000003"/>
    <n v="8444"/>
    <n v="81"/>
    <n v="0.68799999999999994"/>
    <n v="0.36699999999999999"/>
    <n v="1.9771E-4"/>
    <n v="0.99980000000000002"/>
    <s v="17.355503780472034"/>
    <s v="44.21261572441389"/>
    <s v="64.38284815458752"/>
    <s v="14.11795405122739"/>
    <n v="712053033"/>
    <x v="0"/>
    <n v="5.0494296000000004E-4"/>
    <x v="0"/>
  </r>
  <r>
    <n v="39"/>
    <n v="0"/>
    <n v="2"/>
    <n v="2"/>
    <n v="2"/>
    <n v="4"/>
    <n v="3"/>
    <n v="29"/>
    <n v="3"/>
    <n v="3"/>
    <n v="2"/>
    <n v="10024"/>
    <n v="913"/>
    <n v="9111"/>
    <n v="0.56799999999999995"/>
    <n v="3906"/>
    <n v="78"/>
    <n v="0.59199999999999997"/>
    <n v="9.0999999999999998E-2"/>
    <n v="1.6253E-4"/>
    <n v="0.99983999999999995"/>
    <s v="33.22607881986518"/>
    <s v="34.98985676525629"/>
    <s v="65.54329529558674"/>
    <s v="19.36162177848565"/>
    <n v="758340108"/>
    <x v="0"/>
    <n v="4.3232288000000002E-4"/>
    <x v="0"/>
  </r>
  <r>
    <n v="43"/>
    <n v="1"/>
    <n v="3"/>
    <n v="0"/>
    <n v="3"/>
    <n v="3"/>
    <n v="0"/>
    <n v="39"/>
    <n v="3"/>
    <n v="3"/>
    <n v="1"/>
    <n v="24850"/>
    <n v="1662"/>
    <n v="23188"/>
    <n v="0.69299999999999995"/>
    <n v="1226"/>
    <n v="25"/>
    <n v="0.92300000000000004"/>
    <n v="6.7000000000000004E-2"/>
    <n v="1.0944E-4"/>
    <n v="0.99988999999999995"/>
    <s v="16.37471797816548"/>
    <s v="6.464285458129899"/>
    <s v="88.68594231316655"/>
    <s v="15.271759650858264"/>
    <n v="821837958"/>
    <x v="0"/>
    <n v="1.1406993999999999E-3"/>
    <x v="0"/>
  </r>
  <r>
    <n v="44"/>
    <n v="0"/>
    <n v="3"/>
    <n v="1"/>
    <n v="1"/>
    <n v="5"/>
    <n v="0"/>
    <n v="40"/>
    <n v="2"/>
    <n v="1"/>
    <n v="1"/>
    <n v="7212"/>
    <n v="1008"/>
    <n v="6204"/>
    <n v="0.72699999999999998"/>
    <n v="5169"/>
    <n v="82"/>
    <n v="0.745"/>
    <n v="0.14000000000000001"/>
    <s v="4.9875e-05"/>
    <n v="0.99995000000000001"/>
    <s v="13.31888456127286"/>
    <n v="2.2967753462845102"/>
    <s v="129.27446267691707"/>
    <s v="15.409406625306504"/>
    <n v="824915208"/>
    <x v="0"/>
    <n v="3.2101269999999999E-4"/>
    <x v="0"/>
  </r>
  <r>
    <n v="36"/>
    <n v="1"/>
    <n v="2"/>
    <n v="2"/>
    <n v="1"/>
    <n v="2"/>
    <n v="0"/>
    <n v="17"/>
    <n v="5"/>
    <n v="2"/>
    <n v="3"/>
    <n v="3092"/>
    <n v="1825"/>
    <n v="1267"/>
    <n v="1.46"/>
    <n v="2883"/>
    <n v="61"/>
    <n v="0.48799999999999999"/>
    <n v="0.59"/>
    <n v="1.9143E-4"/>
    <n v="0.99980999999999998"/>
    <s v="25.06536398973225"/>
    <s v="15.063878963768184"/>
    <s v="28.804020255743534"/>
    <s v="27.385566824647977"/>
    <n v="710273658"/>
    <x v="0"/>
    <n v="3.8918421999999998E-4"/>
    <x v="0"/>
  </r>
  <r>
    <n v="44"/>
    <n v="1"/>
    <n v="1"/>
    <n v="5"/>
    <n v="1"/>
    <n v="3"/>
    <n v="0"/>
    <n v="29"/>
    <n v="4"/>
    <n v="3"/>
    <n v="3"/>
    <n v="13298"/>
    <n v="1694"/>
    <n v="11604"/>
    <n v="0.82399999999999995"/>
    <n v="3476"/>
    <n v="66"/>
    <n v="0.78400000000000003"/>
    <n v="0.127"/>
    <n v="2.9196000000000002E-4"/>
    <n v="0.99970999999999999"/>
    <s v="44.378314678090334"/>
    <s v="60.71613408497286"/>
    <s v="89.34921687442008"/>
    <s v="15.152163028090746"/>
    <n v="778949133"/>
    <x v="0"/>
    <n v="3.2101269999999999E-4"/>
    <x v="0"/>
  </r>
  <r>
    <n v="59"/>
    <n v="1"/>
    <n v="1"/>
    <n v="2"/>
    <n v="2"/>
    <n v="0"/>
    <n v="0"/>
    <n v="53"/>
    <n v="6"/>
    <n v="2"/>
    <n v="2"/>
    <n v="34516"/>
    <n v="0"/>
    <n v="34516"/>
    <n v="0.71099999999999997"/>
    <n v="4333"/>
    <n v="70"/>
    <n v="0.628"/>
    <n v="0"/>
    <n v="1.0684E-4"/>
    <n v="0.99988999999999995"/>
    <s v="4.861578811539273"/>
    <n v="77.261270123060896"/>
    <s v="87.89487558488749"/>
    <s v="9.173552285485624"/>
    <n v="785529708"/>
    <x v="0"/>
    <n v="7.686247E-4"/>
    <x v="0"/>
  </r>
  <r>
    <n v="46"/>
    <n v="1"/>
    <n v="4"/>
    <n v="2"/>
    <n v="2"/>
    <n v="3"/>
    <n v="0"/>
    <n v="26"/>
    <n v="4"/>
    <n v="3"/>
    <n v="0"/>
    <n v="1791"/>
    <n v="1337"/>
    <n v="454"/>
    <n v="0.76300000000000001"/>
    <n v="3592"/>
    <n v="46"/>
    <n v="0.91700000000000004"/>
    <n v="0.747"/>
    <s v="6.9589e-05"/>
    <n v="0.99992999999999999"/>
    <s v="39.39267912750581"/>
    <s v="22.772348478364982"/>
    <s v="81.38559148468596"/>
    <s v="2.4553940840606634"/>
    <n v="709423158"/>
    <x v="0"/>
    <n v="1.0055776999999999E-3"/>
    <x v="0"/>
  </r>
  <r>
    <n v="57"/>
    <n v="1"/>
    <n v="5"/>
    <n v="3"/>
    <n v="1"/>
    <n v="3"/>
    <n v="0"/>
    <n v="50"/>
    <n v="4"/>
    <n v="2"/>
    <n v="3"/>
    <n v="13427"/>
    <n v="0"/>
    <n v="13427"/>
    <n v="0.52100000000000002"/>
    <n v="1337"/>
    <n v="27"/>
    <n v="0.58799999999999997"/>
    <n v="0"/>
    <n v="1.9212999999999999E-4"/>
    <n v="0.99980999999999998"/>
    <s v="6.899790032091522"/>
    <s v="97.19359594020504"/>
    <s v="93.21244888627405"/>
    <s v="21.05390820724162"/>
    <n v="773270058"/>
    <x v="0"/>
    <n v="4.459518E-3"/>
    <x v="0"/>
  </r>
  <r>
    <n v="46"/>
    <n v="0"/>
    <n v="4"/>
    <n v="3"/>
    <n v="1"/>
    <n v="4"/>
    <n v="0"/>
    <n v="41"/>
    <n v="6"/>
    <n v="3"/>
    <n v="1"/>
    <n v="1438.3"/>
    <n v="0"/>
    <n v="1438.3"/>
    <n v="0.92100000000000004"/>
    <n v="4200"/>
    <n v="86"/>
    <n v="0.53600000000000003"/>
    <n v="0"/>
    <n v="1.106E-4"/>
    <n v="0.99988999999999995"/>
    <s v="16.914460982728823"/>
    <s v="39.887841387053584"/>
    <s v="21.583359015331304"/>
    <s v="13.809674386421015"/>
    <n v="815324433"/>
    <x v="0"/>
    <n v="7.4129109999999997E-4"/>
    <x v="0"/>
  </r>
  <r>
    <n v="38"/>
    <n v="1"/>
    <n v="3"/>
    <n v="3"/>
    <n v="2"/>
    <n v="3"/>
    <n v="0"/>
    <n v="29"/>
    <n v="2"/>
    <n v="1"/>
    <n v="3"/>
    <n v="3413"/>
    <n v="1801"/>
    <n v="1612"/>
    <n v="0.88"/>
    <n v="3831"/>
    <n v="45"/>
    <n v="0.66700000000000004"/>
    <n v="0.52800000000000002"/>
    <s v="9.3448e-05"/>
    <n v="0.99990999999999997"/>
    <s v="21.034380249994456"/>
    <s v="2.627108113138608"/>
    <s v="24.797904146317013"/>
    <s v="21.65076166640029"/>
    <n v="712572858"/>
    <x v="0"/>
    <n v="1.2277904E-3"/>
    <x v="0"/>
  </r>
  <r>
    <n v="43"/>
    <n v="0"/>
    <n v="3"/>
    <n v="6"/>
    <n v="1"/>
    <n v="4"/>
    <n v="0"/>
    <n v="31"/>
    <n v="4"/>
    <n v="3"/>
    <n v="2"/>
    <n v="5702"/>
    <n v="0"/>
    <n v="5702"/>
    <n v="0.77300000000000002"/>
    <n v="3928"/>
    <n v="75"/>
    <n v="0.74399999999999999"/>
    <n v="0"/>
    <n v="2.0515999999999999E-4"/>
    <n v="0.99978999999999996"/>
    <n v="23.022121358094399"/>
    <s v="34.360346548322084"/>
    <s v="44.29504643018933"/>
    <s v="9.893141217388218"/>
    <n v="771682533"/>
    <x v="0"/>
    <n v="6.9517245999999998E-4"/>
    <x v="0"/>
  </r>
  <r>
    <n v="61"/>
    <n v="0"/>
    <n v="1"/>
    <n v="2"/>
    <n v="2"/>
    <n v="4"/>
    <n v="0"/>
    <n v="36"/>
    <n v="3"/>
    <n v="2"/>
    <n v="2"/>
    <n v="3466"/>
    <n v="1444"/>
    <n v="2022"/>
    <n v="0.65300000000000002"/>
    <n v="15075"/>
    <n v="124"/>
    <n v="0.69899999999999995"/>
    <n v="0.41699999999999998"/>
    <n v="1.0684E-4"/>
    <n v="0.99988999999999995"/>
    <s v="18.33760720822195"/>
    <s v="17.84665349334133"/>
    <s v="20.29571574547405"/>
    <s v="16.101505349367496"/>
    <n v="711788583"/>
    <x v="0"/>
    <n v="3.4656386999999997E-4"/>
    <x v="0"/>
  </r>
  <r>
    <n v="37"/>
    <n v="1"/>
    <n v="4"/>
    <n v="2"/>
    <n v="1"/>
    <n v="2"/>
    <n v="0"/>
    <n v="30"/>
    <n v="5"/>
    <n v="3"/>
    <n v="2"/>
    <n v="2578"/>
    <n v="2517"/>
    <n v="61"/>
    <n v="0.89600000000000002"/>
    <n v="1830"/>
    <n v="64"/>
    <n v="0.52400000000000002"/>
    <n v="0.97599999999999998"/>
    <n v="1.8864000000000001E-4"/>
    <n v="0.99980999999999998"/>
    <s v="24.64100830705908"/>
    <s v="12.064983889912115"/>
    <n v="43.989718813975003"/>
    <s v="17.952704311612838"/>
    <n v="788370258"/>
    <x v="0"/>
    <n v="4.1515189999999998E-4"/>
    <x v="0"/>
  </r>
  <r>
    <n v="42"/>
    <n v="1"/>
    <n v="3"/>
    <n v="2"/>
    <n v="1"/>
    <n v="3"/>
    <n v="0"/>
    <n v="34"/>
    <n v="6"/>
    <n v="3"/>
    <n v="0"/>
    <n v="4562"/>
    <n v="2258"/>
    <n v="2304"/>
    <n v="0.86099999999999999"/>
    <n v="3740"/>
    <n v="55"/>
    <n v="0.83299999999999996"/>
    <n v="0.495"/>
    <s v="6.8853e-05"/>
    <n v="0.99992999999999999"/>
    <s v="9.385617586896098"/>
    <s v="39.48544365304829"/>
    <s v="13.62957228911527"/>
    <s v="1.5376105113016036"/>
    <n v="787593558"/>
    <x v="0"/>
    <n v="4.6176806999999998E-4"/>
    <x v="0"/>
  </r>
  <r>
    <n v="48"/>
    <n v="1"/>
    <n v="4"/>
    <n v="0"/>
    <n v="1"/>
    <n v="3"/>
    <n v="0"/>
    <n v="44"/>
    <n v="2"/>
    <n v="3"/>
    <n v="3"/>
    <n v="9524"/>
    <n v="1449"/>
    <n v="8075"/>
    <n v="0.55900000000000005"/>
    <n v="7527"/>
    <n v="58"/>
    <n v="0.65700000000000003"/>
    <n v="0.152"/>
    <n v="0.99677000000000004"/>
    <n v="3.2305599999999999E-3"/>
    <s v="37.03023674642433"/>
    <s v="24.832790505060327"/>
    <s v="139.68863266303742"/>
    <s v="6.985448704744503"/>
    <n v="827440458"/>
    <x v="1"/>
    <n v="0.98932220000000004"/>
    <x v="1"/>
  </r>
  <r>
    <n v="43"/>
    <n v="0"/>
    <n v="5"/>
    <n v="5"/>
    <n v="2"/>
    <n v="4"/>
    <n v="0"/>
    <n v="36"/>
    <n v="2"/>
    <n v="1"/>
    <n v="2"/>
    <n v="1855"/>
    <n v="907"/>
    <n v="948"/>
    <n v="0.81599999999999995"/>
    <n v="4191"/>
    <n v="81"/>
    <n v="0.76100000000000001"/>
    <n v="0.48899999999999999"/>
    <s v="5.8465e-05"/>
    <n v="0.99994000000000005"/>
    <s v="30.23684992069434"/>
    <s v="14.001454043563305"/>
    <s v="76.29500101207864"/>
    <s v="10.68957949782758"/>
    <n v="715335558"/>
    <x v="0"/>
    <n v="4.0989029999999999E-4"/>
    <x v="0"/>
  </r>
  <r>
    <n v="44"/>
    <n v="0"/>
    <n v="3"/>
    <n v="3"/>
    <n v="2"/>
    <n v="1"/>
    <n v="0"/>
    <n v="37"/>
    <n v="4"/>
    <n v="1"/>
    <n v="1"/>
    <n v="3410"/>
    <n v="1110"/>
    <n v="2300"/>
    <n v="0.63"/>
    <n v="5102"/>
    <n v="63"/>
    <n v="0.61499999999999999"/>
    <n v="0.32600000000000001"/>
    <s v="3.3505e-05"/>
    <n v="0.99997000000000003"/>
    <s v="8.538375575024384"/>
    <s v="13.712560859415968"/>
    <s v="76.81461365471978"/>
    <s v="12.37367150309882"/>
    <n v="812493033"/>
    <x v="0"/>
    <n v="3.5672840999999999E-4"/>
    <x v="0"/>
  </r>
  <r>
    <n v="54"/>
    <n v="0"/>
    <n v="1"/>
    <n v="5"/>
    <n v="1"/>
    <n v="1"/>
    <n v="0"/>
    <n v="44"/>
    <n v="5"/>
    <n v="2"/>
    <n v="3"/>
    <n v="5556"/>
    <n v="1711"/>
    <n v="3845"/>
    <n v="1.4339999999999999"/>
    <n v="1706"/>
    <n v="21"/>
    <n v="1.625"/>
    <n v="0.308"/>
    <n v="1.8474999999999999E-4"/>
    <n v="0.99982000000000004"/>
    <s v="12.129175268984469"/>
    <s v="11.113871702743156"/>
    <s v="77.29742842814697"/>
    <s v="6.308985589472555"/>
    <n v="716451183"/>
    <x v="0"/>
    <n v="9.8706899999999992E-4"/>
    <x v="0"/>
  </r>
  <r>
    <n v="41"/>
    <n v="1"/>
    <n v="3"/>
    <n v="3"/>
    <n v="2"/>
    <n v="2"/>
    <n v="0"/>
    <n v="33"/>
    <n v="4"/>
    <n v="1"/>
    <n v="3"/>
    <n v="9246"/>
    <n v="0"/>
    <n v="9246"/>
    <n v="0.65800000000000003"/>
    <n v="4611"/>
    <n v="91"/>
    <n v="0.56899999999999995"/>
    <n v="0"/>
    <s v="9.3448e-05"/>
    <n v="0.99990999999999997"/>
    <s v="58.71264350069004"/>
    <s v="107.29097428769776"/>
    <n v="97.740839013095098"/>
    <s v="3.279549240522876"/>
    <n v="713803158"/>
    <x v="0"/>
    <n v="7.387203E-4"/>
    <x v="0"/>
  </r>
  <r>
    <n v="65"/>
    <n v="1"/>
    <n v="1"/>
    <n v="3"/>
    <n v="2"/>
    <n v="4"/>
    <n v="0"/>
    <n v="54"/>
    <n v="3"/>
    <n v="1"/>
    <n v="3"/>
    <n v="4599"/>
    <n v="1438"/>
    <n v="3161"/>
    <n v="0.83199999999999996"/>
    <n v="4208"/>
    <n v="69"/>
    <n v="0.86499999999999999"/>
    <n v="0.313"/>
    <s v="8.453e-05"/>
    <n v="0.99992000000000003"/>
    <s v="19.449294091436325"/>
    <n v="27.002876090899999"/>
    <s v="33.49535104852128"/>
    <s v="4.465927713978441"/>
    <n v="709081683"/>
    <x v="0"/>
    <n v="3.2101269999999999E-4"/>
    <x v="0"/>
  </r>
  <r>
    <n v="44"/>
    <n v="1"/>
    <n v="2"/>
    <n v="2"/>
    <n v="1"/>
    <n v="1"/>
    <n v="0"/>
    <n v="36"/>
    <n v="3"/>
    <n v="1"/>
    <n v="2"/>
    <n v="4010"/>
    <n v="1247"/>
    <n v="2763"/>
    <n v="1.3759999999999999"/>
    <n v="1088"/>
    <n v="24"/>
    <n v="0.84599999999999997"/>
    <n v="0.311"/>
    <s v="5.5077e-05"/>
    <n v="0.99994000000000005"/>
    <s v="20.50378228132973"/>
    <s v="12.337902390886049"/>
    <s v="90.81633369060054"/>
    <s v="11.094168463842117"/>
    <n v="713061558"/>
    <x v="0"/>
    <n v="1.1077088000000001E-3"/>
    <x v="0"/>
  </r>
  <r>
    <n v="48"/>
    <n v="0"/>
    <n v="1"/>
    <n v="0"/>
    <n v="1"/>
    <n v="4"/>
    <n v="0"/>
    <n v="38"/>
    <n v="5"/>
    <n v="2"/>
    <n v="2"/>
    <n v="1832"/>
    <n v="748"/>
    <n v="1084"/>
    <n v="0.879"/>
    <n v="4376"/>
    <n v="87"/>
    <n v="0.81200000000000006"/>
    <n v="0.40799999999999997"/>
    <n v="1.0387000000000001E-4"/>
    <n v="0.99990000000000001"/>
    <s v="9.053696881008262"/>
    <s v="11.572130513100772"/>
    <s v="78.71702321746861"/>
    <n v="7.3660506113569397"/>
    <n v="718941183"/>
    <x v="0"/>
    <n v="5.4489190000000002E-4"/>
    <x v="0"/>
  </r>
  <r>
    <n v="48"/>
    <n v="0"/>
    <n v="2"/>
    <n v="6"/>
    <n v="1"/>
    <n v="5"/>
    <n v="0"/>
    <n v="38"/>
    <n v="6"/>
    <n v="2"/>
    <n v="3"/>
    <n v="4382"/>
    <n v="0"/>
    <n v="4382"/>
    <n v="0.71399999999999997"/>
    <n v="2446"/>
    <n v="34"/>
    <n v="0.41699999999999998"/>
    <n v="0"/>
    <n v="0.99526999999999999"/>
    <n v="4.7289599999999999E-3"/>
    <s v="4.216017659868944"/>
    <s v="8.649860910244204"/>
    <s v="1.6382446858309807"/>
    <s v="25.75494204831225"/>
    <n v="711253383"/>
    <x v="1"/>
    <n v="0.99873226999999998"/>
    <x v="1"/>
  </r>
  <r>
    <n v="56"/>
    <n v="1"/>
    <n v="2"/>
    <n v="5"/>
    <n v="0"/>
    <n v="1"/>
    <n v="0"/>
    <n v="45"/>
    <n v="3"/>
    <n v="1"/>
    <n v="3"/>
    <n v="6331"/>
    <n v="1420"/>
    <n v="4911"/>
    <n v="0.52900000000000003"/>
    <n v="3527"/>
    <n v="69"/>
    <n v="0.438"/>
    <n v="0.224"/>
    <s v="9.5249e-05"/>
    <n v="0.99990000000000001"/>
    <s v="0.1997419290171654"/>
    <s v="34.90698198647824"/>
    <s v="105.21530084926204"/>
    <s v="14.367017448062509"/>
    <n v="709887483"/>
    <x v="0"/>
    <n v="3.5747702000000001E-4"/>
    <x v="0"/>
  </r>
  <r>
    <n v="47"/>
    <n v="0"/>
    <n v="5"/>
    <n v="5"/>
    <n v="0"/>
    <n v="5"/>
    <n v="0"/>
    <n v="36"/>
    <n v="6"/>
    <n v="2"/>
    <n v="3"/>
    <n v="12581"/>
    <n v="1235"/>
    <n v="11346"/>
    <n v="0.61099999999999999"/>
    <n v="4427"/>
    <n v="76"/>
    <n v="1.3029999999999999"/>
    <n v="9.8000000000000004E-2"/>
    <n v="2.0321E-4"/>
    <n v="0.99980000000000002"/>
    <s v="8.168510793067695"/>
    <s v="29.75824637364681"/>
    <s v="57.59192633509431"/>
    <n v="8.1780981058915394"/>
    <n v="779404383"/>
    <x v="0"/>
    <n v="3.2101269999999999E-4"/>
    <x v="0"/>
  </r>
  <r>
    <n v="58"/>
    <n v="0"/>
    <n v="1"/>
    <n v="6"/>
    <n v="1"/>
    <n v="1"/>
    <n v="3"/>
    <n v="53"/>
    <n v="1"/>
    <n v="3"/>
    <n v="3"/>
    <n v="15928"/>
    <n v="1527"/>
    <n v="14401"/>
    <n v="0.83799999999999997"/>
    <n v="14678"/>
    <n v="125"/>
    <n v="0.71199999999999997"/>
    <n v="9.6000000000000002E-2"/>
    <n v="2.8202000000000001E-4"/>
    <n v="0.99972000000000005"/>
    <s v="40.10577379270471"/>
    <s v="20.86930625081763"/>
    <s v="0.4629547779698877"/>
    <s v="18.452497746986527"/>
    <n v="817951083"/>
    <x v="0"/>
    <n v="3.4656386999999997E-4"/>
    <x v="0"/>
  </r>
  <r>
    <n v="50"/>
    <n v="1"/>
    <n v="0"/>
    <n v="3"/>
    <n v="1"/>
    <n v="3"/>
    <n v="0"/>
    <n v="30"/>
    <n v="3"/>
    <n v="4"/>
    <n v="2"/>
    <n v="4252"/>
    <n v="0"/>
    <n v="4252"/>
    <n v="0.47799999999999998"/>
    <n v="1598"/>
    <n v="45"/>
    <n v="0.32400000000000001"/>
    <n v="0"/>
    <n v="1.8134E-4"/>
    <n v="0.99982000000000004"/>
    <s v="1.1701535553248117"/>
    <s v="21.35633327467429"/>
    <s v="19.751398962575195"/>
    <s v="9.326168265729171"/>
    <n v="778399008"/>
    <x v="0"/>
    <n v="4.5874009999999996E-3"/>
    <x v="0"/>
  </r>
  <r>
    <n v="45"/>
    <n v="0"/>
    <n v="2"/>
    <n v="3"/>
    <n v="1"/>
    <n v="4"/>
    <n v="0"/>
    <n v="36"/>
    <n v="1"/>
    <n v="2"/>
    <n v="2"/>
    <n v="1457"/>
    <n v="828"/>
    <n v="629"/>
    <n v="0.85199999999999998"/>
    <n v="5401"/>
    <n v="93"/>
    <n v="0.66100000000000003"/>
    <n v="0.56799999999999995"/>
    <n v="1.1065000000000001E-4"/>
    <n v="0.99988999999999995"/>
    <s v="54.97956544259881"/>
    <s v="12.72081675744876"/>
    <s v="53.887359565829904"/>
    <s v="6.683659726395753"/>
    <n v="711944733"/>
    <x v="0"/>
    <n v="5.8162999999999997E-4"/>
    <x v="0"/>
  </r>
  <r>
    <n v="51"/>
    <n v="0"/>
    <n v="2"/>
    <n v="2"/>
    <n v="1"/>
    <n v="5"/>
    <n v="0"/>
    <n v="34"/>
    <n v="2"/>
    <n v="3"/>
    <n v="2"/>
    <n v="7551"/>
    <n v="0"/>
    <n v="7551"/>
    <n v="0.89400000000000002"/>
    <n v="2977"/>
    <n v="46"/>
    <n v="0.39400000000000002"/>
    <n v="0"/>
    <n v="0.99446999999999997"/>
    <n v="5.5300000000000002E-3"/>
    <s v="31.305535057330623"/>
    <s v="21.309670665211105"/>
    <s v="16.024041810944905"/>
    <s v="16.75365953631942"/>
    <n v="719150658"/>
    <x v="1"/>
    <n v="0.99867486999999999"/>
    <x v="1"/>
  </r>
  <r>
    <n v="32"/>
    <n v="1"/>
    <n v="1"/>
    <n v="3"/>
    <n v="1"/>
    <n v="5"/>
    <n v="0"/>
    <n v="22"/>
    <n v="3"/>
    <n v="1"/>
    <n v="4"/>
    <n v="16912"/>
    <n v="1590"/>
    <n v="15322"/>
    <n v="1.274"/>
    <n v="2413"/>
    <n v="41"/>
    <n v="0.70799999999999996"/>
    <n v="9.4E-2"/>
    <n v="1.4421E-4"/>
    <n v="0.99985999999999997"/>
    <s v="8.362159928780265"/>
    <n v="59.9850079813626"/>
    <s v="48.00403523710307"/>
    <n v="13.5812287886517"/>
    <n v="721311333"/>
    <x v="0"/>
    <n v="1.1616185000000001E-3"/>
    <x v="0"/>
  </r>
  <r>
    <n v="40"/>
    <n v="0"/>
    <n v="4"/>
    <n v="4"/>
    <n v="1"/>
    <n v="5"/>
    <n v="0"/>
    <n v="29"/>
    <n v="5"/>
    <n v="3"/>
    <n v="1"/>
    <n v="8823"/>
    <n v="0"/>
    <n v="8823"/>
    <n v="0.81200000000000006"/>
    <n v="4453"/>
    <n v="84"/>
    <n v="0.78700000000000003"/>
    <n v="0"/>
    <n v="1.3386E-4"/>
    <n v="0.99987000000000004"/>
    <s v="25.95264901935723"/>
    <s v="3.953974093865586"/>
    <s v="4.485147381935724"/>
    <n v="2.4894402702418401"/>
    <n v="717094758"/>
    <x v="0"/>
    <n v="6.9517245999999998E-4"/>
    <x v="0"/>
  </r>
  <r>
    <n v="42"/>
    <n v="0"/>
    <n v="3"/>
    <n v="2"/>
    <n v="1"/>
    <n v="4"/>
    <n v="0"/>
    <n v="37"/>
    <n v="4"/>
    <n v="2"/>
    <n v="1"/>
    <n v="2730"/>
    <n v="1303"/>
    <n v="1427"/>
    <n v="1.3080000000000001"/>
    <n v="4750"/>
    <n v="76"/>
    <n v="0.9"/>
    <n v="0.47699999999999998"/>
    <s v="7.1226e-05"/>
    <n v="0.99992999999999999"/>
    <s v="11.236180648734384"/>
    <s v="37.12866364667916"/>
    <s v="63.866257129256205"/>
    <s v="5.458536390877833"/>
    <n v="818791833"/>
    <x v="0"/>
    <n v="3.221314E-4"/>
    <x v="0"/>
  </r>
  <r>
    <n v="44"/>
    <n v="0"/>
    <n v="1"/>
    <n v="2"/>
    <n v="1"/>
    <n v="4"/>
    <n v="0"/>
    <n v="36"/>
    <n v="3"/>
    <n v="3"/>
    <n v="3"/>
    <n v="2568"/>
    <n v="1603"/>
    <n v="965"/>
    <n v="0.432"/>
    <n v="3616"/>
    <n v="85"/>
    <n v="0.54500000000000004"/>
    <n v="0.624"/>
    <n v="2.8394999999999999E-4"/>
    <n v="0.99972000000000005"/>
    <n v="5.5570733143346303"/>
    <s v="62.92353439363068"/>
    <s v="57.37125351755925"/>
    <s v="16.105165857161996"/>
    <n v="717151383"/>
    <x v="0"/>
    <n v="3.2914013999999999E-4"/>
    <x v="0"/>
  </r>
  <r>
    <n v="47"/>
    <n v="0"/>
    <n v="3"/>
    <n v="4"/>
    <n v="3"/>
    <n v="1"/>
    <n v="0"/>
    <n v="36"/>
    <n v="6"/>
    <n v="1"/>
    <n v="2"/>
    <n v="3979"/>
    <n v="1319"/>
    <n v="2660"/>
    <n v="0.85"/>
    <n v="4598"/>
    <n v="67"/>
    <n v="0.63400000000000001"/>
    <n v="0.33100000000000002"/>
    <s v="6.7249e-05"/>
    <n v="0.99992999999999999"/>
    <s v="62.29918978049815"/>
    <s v="87.23073852477626"/>
    <s v="97.04425055120971"/>
    <s v="3.908353188846672"/>
    <n v="790017858"/>
    <x v="0"/>
    <n v="3.2914013999999999E-4"/>
    <x v="0"/>
  </r>
  <r>
    <n v="48"/>
    <n v="0"/>
    <n v="4"/>
    <n v="6"/>
    <n v="3"/>
    <n v="4"/>
    <n v="0"/>
    <n v="36"/>
    <n v="4"/>
    <n v="3"/>
    <n v="2"/>
    <n v="2406"/>
    <n v="1744"/>
    <n v="662"/>
    <n v="0.69399999999999995"/>
    <n v="4748"/>
    <n v="88"/>
    <n v="0.69199999999999995"/>
    <n v="0.72499999999999998"/>
    <n v="2.0735E-4"/>
    <n v="0.99978999999999996"/>
    <s v="34.03125797447196"/>
    <s v="12.779068277137371"/>
    <s v="16.062542520726414"/>
    <n v="9.7155079874773396"/>
    <n v="708689958"/>
    <x v="0"/>
    <n v="3.2101269999999999E-4"/>
    <x v="0"/>
  </r>
  <r>
    <n v="40"/>
    <n v="0"/>
    <n v="2"/>
    <n v="6"/>
    <n v="1"/>
    <n v="5"/>
    <n v="0"/>
    <n v="28"/>
    <n v="5"/>
    <n v="5"/>
    <n v="2"/>
    <n v="14999"/>
    <n v="1123"/>
    <n v="13876"/>
    <n v="0.53900000000000003"/>
    <n v="3441"/>
    <n v="69"/>
    <n v="0.46800000000000003"/>
    <n v="7.4999999999999997E-2"/>
    <n v="2.2083000000000001E-4"/>
    <n v="0.99978"/>
    <s v="14.215595103623595"/>
    <s v="41.29023014023827"/>
    <s v="28.643333915237054"/>
    <n v="8.6144294738743898"/>
    <n v="821755233"/>
    <x v="0"/>
    <n v="3.8696135999999998E-4"/>
    <x v="0"/>
  </r>
  <r>
    <n v="43"/>
    <n v="0"/>
    <n v="2"/>
    <n v="6"/>
    <n v="3"/>
    <n v="4"/>
    <n v="0"/>
    <n v="36"/>
    <n v="4"/>
    <n v="3"/>
    <n v="3"/>
    <n v="1780"/>
    <n v="1541"/>
    <n v="239"/>
    <n v="0.83899999999999997"/>
    <n v="5008"/>
    <n v="93"/>
    <n v="0.72199999999999998"/>
    <n v="0.86599999999999999"/>
    <n v="3.3251E-4"/>
    <n v="0.99966999999999995"/>
    <s v="26.310169814112665"/>
    <s v="1.5890058566833656"/>
    <s v="62.01887438468694"/>
    <s v="19.52880769779776"/>
    <n v="716485308"/>
    <x v="0"/>
    <n v="3.2101269999999999E-4"/>
    <x v="0"/>
  </r>
  <r>
    <n v="35"/>
    <n v="0"/>
    <n v="2"/>
    <n v="6"/>
    <n v="1"/>
    <n v="4"/>
    <n v="0"/>
    <n v="22"/>
    <n v="1"/>
    <n v="1"/>
    <n v="1"/>
    <n v="3616"/>
    <n v="1155"/>
    <n v="2461"/>
    <n v="0.72699999999999998"/>
    <n v="15391"/>
    <n v="94"/>
    <n v="0.59299999999999997"/>
    <n v="0.31900000000000001"/>
    <s v="3.6508e-05"/>
    <n v="0.99995999999999996"/>
    <n v="82.439876859490795"/>
    <s v="23.386542383721693"/>
    <s v="45.904322277678325"/>
    <s v="14.925673991349033"/>
    <n v="709807383"/>
    <x v="0"/>
    <n v="3.5533762999999998E-4"/>
    <x v="0"/>
  </r>
  <r>
    <n v="40"/>
    <n v="1"/>
    <n v="4"/>
    <n v="2"/>
    <n v="1"/>
    <n v="2"/>
    <n v="0"/>
    <n v="35"/>
    <n v="5"/>
    <n v="4"/>
    <n v="1"/>
    <n v="9974"/>
    <n v="2185"/>
    <n v="7789"/>
    <n v="0.85199999999999998"/>
    <n v="4680"/>
    <n v="87"/>
    <n v="0.67300000000000004"/>
    <n v="0.219"/>
    <n v="1.3749000000000001E-4"/>
    <n v="0.99985999999999997"/>
    <s v="13.98599543776449"/>
    <s v="20.34873675266808"/>
    <s v="2.585920240963298"/>
    <s v="28.69701709847489"/>
    <n v="803418783"/>
    <x v="0"/>
    <n v="3.2101269999999999E-4"/>
    <x v="0"/>
  </r>
  <r>
    <n v="43"/>
    <n v="0"/>
    <n v="4"/>
    <n v="5"/>
    <n v="1"/>
    <n v="4"/>
    <n v="0"/>
    <n v="36"/>
    <n v="5"/>
    <n v="3"/>
    <n v="3"/>
    <n v="3006"/>
    <n v="879"/>
    <n v="2127"/>
    <n v="0.75900000000000001"/>
    <n v="5125"/>
    <n v="87"/>
    <n v="0.74"/>
    <n v="0.29199999999999998"/>
    <n v="3.2620000000000001E-4"/>
    <n v="0.99966999999999995"/>
    <s v="12.169378793514865"/>
    <n v="11.067511694422601"/>
    <s v="119.66848645112456"/>
    <n v="18.621844307397001"/>
    <n v="715058433"/>
    <x v="0"/>
    <n v="4.2162873000000002E-4"/>
    <x v="0"/>
  </r>
  <r>
    <n v="51"/>
    <n v="1"/>
    <n v="2"/>
    <n v="2"/>
    <n v="1"/>
    <n v="2"/>
    <n v="0"/>
    <n v="40"/>
    <n v="3"/>
    <n v="3"/>
    <n v="3"/>
    <n v="3750"/>
    <n v="1801"/>
    <n v="1949"/>
    <n v="0.88900000000000001"/>
    <n v="17995"/>
    <n v="116"/>
    <n v="0.65700000000000003"/>
    <n v="0.48"/>
    <n v="3.0250999999999998E-4"/>
    <n v="0.99970000000000003"/>
    <s v="6.418129975436163"/>
    <s v="26.405539002232583"/>
    <n v="67.950623960266299"/>
    <s v="26.04528703882693"/>
    <n v="717642633"/>
    <x v="0"/>
    <n v="3.4777042999999998E-4"/>
    <x v="0"/>
  </r>
  <r>
    <n v="40"/>
    <n v="0"/>
    <n v="3"/>
    <n v="2"/>
    <n v="2"/>
    <n v="4"/>
    <n v="0"/>
    <n v="27"/>
    <n v="5"/>
    <n v="3"/>
    <n v="4"/>
    <n v="6587"/>
    <n v="824"/>
    <n v="5763"/>
    <n v="1.262"/>
    <n v="4160"/>
    <n v="70"/>
    <n v="0.84199999999999997"/>
    <n v="0.125"/>
    <n v="5.3543000000000004E-4"/>
    <n v="0.99946000000000002"/>
    <s v="0.4568008657984407"/>
    <s v="48.67539576585092"/>
    <s v="24.835242866246155"/>
    <s v="4.896293220070031"/>
    <n v="717804783"/>
    <x v="0"/>
    <n v="5.3652590000000003E-4"/>
    <x v="0"/>
  </r>
  <r>
    <n v="59"/>
    <n v="0"/>
    <n v="0"/>
    <n v="6"/>
    <n v="1"/>
    <n v="4"/>
    <n v="0"/>
    <n v="36"/>
    <n v="4"/>
    <n v="1"/>
    <n v="2"/>
    <n v="1438.3"/>
    <n v="0"/>
    <n v="1438.3"/>
    <n v="0.622"/>
    <n v="4155"/>
    <n v="62"/>
    <n v="0.63200000000000001"/>
    <n v="0"/>
    <s v="5.1951e-05"/>
    <n v="0.99995000000000001"/>
    <s v="22.69072071664793"/>
    <s v="83.81944110504924"/>
    <s v="39.51680671345341"/>
    <s v="3.995499910466073"/>
    <n v="716364408"/>
    <x v="0"/>
    <n v="8.3301717E-4"/>
    <x v="0"/>
  </r>
  <r>
    <n v="38"/>
    <n v="1"/>
    <n v="2"/>
    <n v="6"/>
    <n v="0"/>
    <n v="1"/>
    <n v="0"/>
    <n v="28"/>
    <n v="3"/>
    <n v="3"/>
    <n v="4"/>
    <n v="11209"/>
    <n v="1165"/>
    <n v="10044"/>
    <n v="0.96599999999999997"/>
    <n v="4614"/>
    <n v="96"/>
    <n v="0.71399999999999997"/>
    <n v="0.104"/>
    <n v="5.6716000000000004E-4"/>
    <n v="0.99943000000000004"/>
    <s v="7.202279537239187"/>
    <s v="64.23256406739137"/>
    <s v="6.529664886274264"/>
    <n v="7.8812592183995296"/>
    <n v="716431833"/>
    <x v="0"/>
    <n v="3.3750932000000002E-4"/>
    <x v="0"/>
  </r>
  <r>
    <n v="59"/>
    <n v="0"/>
    <n v="1"/>
    <n v="6"/>
    <n v="1"/>
    <n v="4"/>
    <n v="0"/>
    <n v="52"/>
    <n v="6"/>
    <n v="3"/>
    <n v="3"/>
    <n v="2308"/>
    <n v="2094"/>
    <n v="214"/>
    <n v="0.72199999999999998"/>
    <n v="4869"/>
    <n v="77"/>
    <n v="0.75"/>
    <n v="0.90700000000000003"/>
    <n v="3.1210999999999999E-4"/>
    <n v="0.99968999999999997"/>
    <s v="21.299579374585417"/>
    <s v="6.340833462102026"/>
    <s v="118.36567495939252"/>
    <s v="9.716295379413118"/>
    <n v="790164408"/>
    <x v="0"/>
    <n v="3.2101269999999999E-4"/>
    <x v="0"/>
  </r>
  <r>
    <n v="42"/>
    <n v="0"/>
    <n v="3"/>
    <n v="3"/>
    <n v="1"/>
    <n v="1"/>
    <n v="0"/>
    <n v="30"/>
    <n v="5"/>
    <n v="3"/>
    <n v="2"/>
    <n v="1456"/>
    <n v="0"/>
    <n v="1456"/>
    <n v="0.69399999999999995"/>
    <n v="2843"/>
    <n v="42"/>
    <n v="0.5"/>
    <n v="0"/>
    <n v="0.99451999999999996"/>
    <n v="5.4799999999999996E-3"/>
    <s v="35.759641952009986"/>
    <s v="48.09886280456133"/>
    <s v="85.36115518911436"/>
    <s v="19.34092687825056"/>
    <n v="719868183"/>
    <x v="1"/>
    <n v="0.99869054999999995"/>
    <x v="1"/>
  </r>
  <r>
    <n v="39"/>
    <n v="1"/>
    <n v="4"/>
    <n v="2"/>
    <n v="2"/>
    <n v="2"/>
    <n v="1"/>
    <n v="34"/>
    <n v="3"/>
    <n v="3"/>
    <n v="2"/>
    <n v="34516"/>
    <n v="542"/>
    <n v="33974"/>
    <n v="0.86599999999999999"/>
    <n v="3899"/>
    <n v="78"/>
    <n v="0.85699999999999998"/>
    <n v="1.6E-2"/>
    <n v="2.1733000000000001E-4"/>
    <n v="0.99978"/>
    <s v="20.869922078707752"/>
    <s v="11.557184168450664"/>
    <s v="170.12946147534305"/>
    <s v="9.682721417666125"/>
    <n v="806170158"/>
    <x v="0"/>
    <n v="7.1049936000000004E-4"/>
    <x v="0"/>
  </r>
  <r>
    <n v="43"/>
    <n v="0"/>
    <n v="4"/>
    <n v="2"/>
    <n v="3"/>
    <n v="4"/>
    <n v="0"/>
    <n v="34"/>
    <n v="5"/>
    <n v="3"/>
    <n v="3"/>
    <n v="1971"/>
    <n v="979"/>
    <n v="992"/>
    <n v="1.024"/>
    <n v="5446"/>
    <n v="75"/>
    <n v="0.97399999999999998"/>
    <n v="0.497"/>
    <n v="3.1725999999999998E-4"/>
    <n v="0.99968000000000001"/>
    <s v="5.338728624069521"/>
    <s v="40.80091825874749"/>
    <s v="20.178901715060125"/>
    <s v="6.185677486920272"/>
    <n v="714702033"/>
    <x v="0"/>
    <n v="6.6811154999999996E-4"/>
    <x v="0"/>
  </r>
  <r>
    <n v="38"/>
    <n v="1"/>
    <n v="3"/>
    <n v="6"/>
    <n v="1"/>
    <n v="3"/>
    <n v="0"/>
    <n v="22"/>
    <n v="2"/>
    <n v="2"/>
    <n v="1"/>
    <n v="3224"/>
    <n v="0"/>
    <n v="3224"/>
    <n v="0.76100000000000001"/>
    <n v="3738"/>
    <n v="63"/>
    <n v="0.65800000000000003"/>
    <n v="0"/>
    <s v="7.8291e-05"/>
    <n v="0.99992000000000003"/>
    <s v="25.156314819310527"/>
    <s v="19.127302016914555"/>
    <s v="138.19632356817053"/>
    <s v="10.354676779286828"/>
    <n v="712323183"/>
    <x v="0"/>
    <n v="8.1245880000000001E-4"/>
    <x v="0"/>
  </r>
  <r>
    <n v="31"/>
    <n v="0"/>
    <n v="0"/>
    <n v="2"/>
    <n v="1"/>
    <n v="4"/>
    <n v="0"/>
    <n v="26"/>
    <n v="3"/>
    <n v="1"/>
    <n v="1"/>
    <n v="3540"/>
    <n v="1173"/>
    <n v="2367"/>
    <n v="1.1060000000000001"/>
    <n v="1912"/>
    <n v="45"/>
    <n v="0.66700000000000004"/>
    <n v="0.33100000000000002"/>
    <s v="2.8501e-05"/>
    <n v="0.99997000000000003"/>
    <s v="54.66875153248041"/>
    <s v="59.56142536579348"/>
    <s v="2.1689755627050094"/>
    <s v="9.883000864094164"/>
    <n v="809290308"/>
    <x v="0"/>
    <n v="1.0641386000000001E-3"/>
    <x v="0"/>
  </r>
  <r>
    <n v="42"/>
    <n v="0"/>
    <n v="3"/>
    <n v="0"/>
    <n v="2"/>
    <n v="5"/>
    <n v="3"/>
    <n v="31"/>
    <n v="3"/>
    <n v="2"/>
    <n v="2"/>
    <n v="34516"/>
    <n v="919"/>
    <n v="33597"/>
    <n v="0.91900000000000004"/>
    <n v="3415"/>
    <n v="79"/>
    <n v="0.75600000000000001"/>
    <n v="2.7E-2"/>
    <n v="1.0375E-4"/>
    <n v="0.99990000000000001"/>
    <s v="1.5356052700942782"/>
    <s v="4.148762504176168"/>
    <s v="27.25474655402668"/>
    <s v="0.4003714058640793"/>
    <n v="718949433"/>
    <x v="0"/>
    <n v="4.7965648E-4"/>
    <x v="0"/>
  </r>
  <r>
    <n v="56"/>
    <n v="0"/>
    <n v="1"/>
    <n v="6"/>
    <n v="1"/>
    <n v="1"/>
    <n v="0"/>
    <n v="49"/>
    <n v="2"/>
    <n v="2"/>
    <n v="2"/>
    <n v="2604"/>
    <n v="1395"/>
    <n v="1209"/>
    <n v="0.52800000000000002"/>
    <n v="4498"/>
    <n v="85"/>
    <n v="0.7"/>
    <n v="0.53600000000000003"/>
    <n v="1.1743000000000001E-4"/>
    <n v="0.99987999999999999"/>
    <s v="16.900712864049595"/>
    <n v="21.450686738113198"/>
    <s v="10.141040610261197"/>
    <s v="4.442798571660649"/>
    <n v="746453583"/>
    <x v="0"/>
    <n v="3.2101269999999999E-4"/>
    <x v="0"/>
  </r>
  <r>
    <n v="50"/>
    <n v="1"/>
    <n v="1"/>
    <n v="5"/>
    <n v="1"/>
    <n v="1"/>
    <n v="0"/>
    <n v="36"/>
    <n v="5"/>
    <n v="1"/>
    <n v="4"/>
    <n v="2071"/>
    <n v="1035"/>
    <n v="1036"/>
    <n v="0.754"/>
    <n v="4092"/>
    <n v="74"/>
    <n v="0.94699999999999995"/>
    <n v="0.5"/>
    <n v="1.5252000000000001E-4"/>
    <n v="0.99985000000000002"/>
    <s v="0.6982042931294504"/>
    <s v="87.55523055342904"/>
    <s v="79.05484658482396"/>
    <s v="18.692056370812075"/>
    <n v="711608958"/>
    <x v="0"/>
    <n v="3.2101269999999999E-4"/>
    <x v="0"/>
  </r>
  <r>
    <n v="56"/>
    <n v="1"/>
    <n v="4"/>
    <n v="6"/>
    <n v="1"/>
    <n v="3"/>
    <n v="0"/>
    <n v="49"/>
    <n v="3"/>
    <n v="4"/>
    <n v="2"/>
    <n v="4310"/>
    <n v="2229"/>
    <n v="2081"/>
    <n v="0.64300000000000002"/>
    <n v="1645"/>
    <n v="33"/>
    <n v="0.94099999999999995"/>
    <n v="0.51700000000000002"/>
    <n v="2.5057999999999998E-4"/>
    <n v="0.99975000000000003"/>
    <s v="31.61033308255749"/>
    <s v="26.89927807056517"/>
    <s v="138.70120876765893"/>
    <s v="12.280309623234016"/>
    <n v="765055833"/>
    <x v="0"/>
    <n v="1.0249399E-3"/>
    <x v="0"/>
  </r>
  <r>
    <n v="49"/>
    <n v="1"/>
    <n v="4"/>
    <n v="4"/>
    <n v="1"/>
    <n v="0"/>
    <n v="3"/>
    <n v="41"/>
    <n v="2"/>
    <n v="3"/>
    <n v="2"/>
    <n v="34516"/>
    <n v="0"/>
    <n v="34516"/>
    <n v="0.66300000000000003"/>
    <n v="13376"/>
    <n v="129"/>
    <n v="0.72"/>
    <n v="0"/>
    <n v="2.0055999999999999E-4"/>
    <n v="0.99980000000000002"/>
    <s v="23.247138946718987"/>
    <n v="46.4546024309575"/>
    <s v="133.26657267144964"/>
    <s v="11.55301576262682"/>
    <n v="716106108"/>
    <x v="0"/>
    <n v="7.5047980000000002E-4"/>
    <x v="0"/>
  </r>
  <r>
    <n v="53"/>
    <n v="0"/>
    <n v="4"/>
    <n v="0"/>
    <n v="1"/>
    <n v="4"/>
    <n v="0"/>
    <n v="36"/>
    <n v="4"/>
    <n v="1"/>
    <n v="3"/>
    <n v="2972"/>
    <n v="2160"/>
    <n v="812"/>
    <n v="0.95599999999999996"/>
    <n v="2552"/>
    <n v="62"/>
    <n v="0.67600000000000005"/>
    <n v="0.72699999999999998"/>
    <s v="9.4455e-05"/>
    <n v="0.99990999999999997"/>
    <n v="25.4455828160553"/>
    <s v="47.216781934829626"/>
    <s v="24.933431002217016"/>
    <s v="9.900711834783053"/>
    <n v="711310908"/>
    <x v="0"/>
    <n v="4.1877070000000003E-4"/>
    <x v="0"/>
  </r>
  <r>
    <n v="57"/>
    <n v="1"/>
    <n v="2"/>
    <n v="5"/>
    <n v="2"/>
    <n v="1"/>
    <n v="0"/>
    <n v="52"/>
    <n v="5"/>
    <n v="3"/>
    <n v="4"/>
    <n v="12291"/>
    <n v="2289"/>
    <n v="10002"/>
    <n v="0.68500000000000005"/>
    <n v="1683"/>
    <n v="50"/>
    <n v="0.47099999999999997"/>
    <n v="0.186"/>
    <n v="5.3054999999999997E-4"/>
    <n v="0.99946999999999997"/>
    <s v="25.10106274046372"/>
    <s v="66.42721840369082"/>
    <s v="142.5546012028741"/>
    <s v="14.360279258697076"/>
    <n v="808169358"/>
    <x v="0"/>
    <n v="1.0163307E-3"/>
    <x v="0"/>
  </r>
  <r>
    <n v="55"/>
    <n v="0"/>
    <n v="2"/>
    <n v="5"/>
    <n v="1"/>
    <n v="5"/>
    <n v="0"/>
    <n v="35"/>
    <n v="3"/>
    <n v="3"/>
    <n v="0"/>
    <n v="3025"/>
    <n v="2376"/>
    <n v="649"/>
    <n v="1.252"/>
    <n v="1277"/>
    <n v="23"/>
    <n v="1.875"/>
    <n v="0.78500000000000003"/>
    <s v="6.8225e-05"/>
    <n v="0.99992999999999999"/>
    <s v="87.08895122365158"/>
    <s v="13.941288864758082"/>
    <s v="32.135687702317945"/>
    <n v="6.9955809148685294E-2"/>
    <n v="709346133"/>
    <x v="0"/>
    <n v="1.0249399E-3"/>
    <x v="0"/>
  </r>
  <r>
    <n v="41"/>
    <n v="0"/>
    <n v="3"/>
    <n v="6"/>
    <n v="1"/>
    <n v="4"/>
    <n v="0"/>
    <n v="34"/>
    <n v="3"/>
    <n v="6"/>
    <n v="2"/>
    <n v="2679"/>
    <n v="2214"/>
    <n v="465"/>
    <n v="1.036"/>
    <n v="4682"/>
    <n v="81"/>
    <n v="0.84099999999999997"/>
    <n v="0.82599999999999996"/>
    <n v="1.6195000000000001E-4"/>
    <n v="0.99983999999999995"/>
    <s v="48.77902941328534"/>
    <n v="53.382486428628802"/>
    <s v="76.57231632299073"/>
    <s v="30.51854713761981"/>
    <n v="721505358"/>
    <x v="0"/>
    <n v="3.221314E-4"/>
    <x v="0"/>
  </r>
  <r>
    <n v="47"/>
    <n v="0"/>
    <n v="4"/>
    <n v="4"/>
    <n v="2"/>
    <n v="1"/>
    <n v="0"/>
    <n v="36"/>
    <n v="6"/>
    <n v="3"/>
    <n v="3"/>
    <n v="2896"/>
    <n v="0"/>
    <n v="2896"/>
    <n v="0.96099999999999997"/>
    <n v="4970"/>
    <n v="85"/>
    <n v="0.88900000000000001"/>
    <n v="0"/>
    <n v="3.7329000000000003E-4"/>
    <n v="0.99963000000000002"/>
    <s v="21.692196985158947"/>
    <s v="16.605138955241085"/>
    <s v="0.9971460688554556"/>
    <s v="0.4005333001711981"/>
    <n v="779791908"/>
    <x v="0"/>
    <n v="7.4699510000000001E-4"/>
    <x v="0"/>
  </r>
  <r>
    <n v="50"/>
    <n v="0"/>
    <n v="4"/>
    <n v="5"/>
    <n v="2"/>
    <n v="1"/>
    <n v="0"/>
    <n v="22"/>
    <n v="5"/>
    <n v="2"/>
    <n v="3"/>
    <n v="7853"/>
    <n v="1343"/>
    <n v="6510"/>
    <n v="0.49099999999999999"/>
    <n v="1814"/>
    <n v="37"/>
    <n v="0.37"/>
    <n v="0.17100000000000001"/>
    <n v="2.0642999999999999E-4"/>
    <n v="0.99978999999999996"/>
    <s v="49.81016763306014"/>
    <s v="111.63936344344437"/>
    <s v="12.333779087464618"/>
    <s v="14.47863585207299"/>
    <n v="720868683"/>
    <x v="0"/>
    <n v="1.1982243E-3"/>
    <x v="0"/>
  </r>
  <r>
    <n v="46"/>
    <n v="1"/>
    <n v="3"/>
    <n v="5"/>
    <n v="1"/>
    <n v="4"/>
    <n v="0"/>
    <n v="38"/>
    <n v="4"/>
    <n v="3"/>
    <n v="1"/>
    <n v="7958"/>
    <n v="1559"/>
    <n v="6399"/>
    <n v="0.72599999999999998"/>
    <n v="4962"/>
    <n v="72"/>
    <n v="0.71399999999999997"/>
    <n v="0.19600000000000001"/>
    <n v="1.1574E-4"/>
    <n v="0.99987999999999999"/>
    <s v="43.757637298745735"/>
    <s v="2.154970324654677"/>
    <s v="26.578475210326012"/>
    <s v="15.166533076898222"/>
    <n v="711546333"/>
    <x v="0"/>
    <n v="3.2101269999999999E-4"/>
    <x v="0"/>
  </r>
  <r>
    <n v="54"/>
    <n v="1"/>
    <n v="2"/>
    <n v="3"/>
    <n v="1"/>
    <n v="3"/>
    <n v="0"/>
    <n v="49"/>
    <n v="3"/>
    <n v="1"/>
    <n v="4"/>
    <n v="14015"/>
    <n v="2065"/>
    <n v="11950"/>
    <n v="0.70399999999999996"/>
    <n v="1903"/>
    <n v="49"/>
    <n v="0.63300000000000001"/>
    <n v="0.14699999999999999"/>
    <n v="1.5363E-4"/>
    <n v="0.99985000000000002"/>
    <s v="6.473157850404718"/>
    <s v="20.001513256983525"/>
    <s v="143.88858520646406"/>
    <s v="7.363393043831346"/>
    <n v="804663258"/>
    <x v="0"/>
    <n v="9.6788229999999998E-4"/>
    <x v="0"/>
  </r>
  <r>
    <n v="49"/>
    <n v="0"/>
    <n v="3"/>
    <n v="2"/>
    <n v="1"/>
    <n v="4"/>
    <n v="0"/>
    <n v="38"/>
    <n v="6"/>
    <n v="3"/>
    <n v="2"/>
    <n v="2185"/>
    <n v="0"/>
    <n v="2185"/>
    <n v="0.72699999999999998"/>
    <n v="715"/>
    <n v="20"/>
    <n v="0.81799999999999995"/>
    <n v="0"/>
    <n v="0.99467000000000005"/>
    <n v="5.3299999999999997E-3"/>
    <s v="15.190809693620617"/>
    <s v="27.66888820152034"/>
    <s v="38.41578252431052"/>
    <s v="20.284941395559898"/>
    <n v="710940183"/>
    <x v="1"/>
    <n v="0.99831795999999995"/>
    <x v="1"/>
  </r>
  <r>
    <n v="44"/>
    <n v="1"/>
    <n v="2"/>
    <n v="5"/>
    <n v="0"/>
    <n v="2"/>
    <n v="0"/>
    <n v="38"/>
    <n v="2"/>
    <n v="1"/>
    <n v="2"/>
    <n v="16553"/>
    <n v="0"/>
    <n v="16553"/>
    <n v="0.48799999999999999"/>
    <n v="4797"/>
    <n v="82"/>
    <n v="0.90700000000000003"/>
    <n v="0"/>
    <s v="5.663e-05"/>
    <n v="0.99994000000000005"/>
    <s v="1.697498852996727"/>
    <s v="11.03877425962386"/>
    <s v="2.894906708022278"/>
    <s v="3.399375609320749"/>
    <n v="799020258"/>
    <x v="0"/>
    <n v="6.9517245999999998E-4"/>
    <x v="0"/>
  </r>
  <r>
    <n v="59"/>
    <n v="0"/>
    <n v="0"/>
    <n v="2"/>
    <n v="3"/>
    <n v="5"/>
    <n v="0"/>
    <n v="49"/>
    <n v="2"/>
    <n v="3"/>
    <n v="2"/>
    <n v="9076"/>
    <n v="0"/>
    <n v="9076"/>
    <n v="0.89900000000000002"/>
    <n v="3048"/>
    <n v="53"/>
    <n v="0.65600000000000003"/>
    <n v="0"/>
    <n v="0.99356"/>
    <n v="6.4400000000000004E-3"/>
    <s v="14.522031386705953"/>
    <s v="18.048805439842077"/>
    <s v="67.40680821815334"/>
    <s v="17.985688537457534"/>
    <n v="716354883"/>
    <x v="1"/>
    <n v="0.99747556000000004"/>
    <x v="1"/>
  </r>
  <r>
    <n v="41"/>
    <n v="0"/>
    <n v="2"/>
    <n v="3"/>
    <n v="1"/>
    <n v="4"/>
    <n v="0"/>
    <n v="24"/>
    <n v="1"/>
    <n v="1"/>
    <n v="1"/>
    <n v="7207"/>
    <n v="1645"/>
    <n v="5562"/>
    <n v="0.96899999999999997"/>
    <n v="13730"/>
    <n v="96"/>
    <n v="0.745"/>
    <n v="0.22800000000000001"/>
    <s v="3.2288e-05"/>
    <n v="0.99997000000000003"/>
    <s v="42.32740334907493"/>
    <s v="2.581602088226796"/>
    <s v="125.85639450635972"/>
    <s v="2.5475593955821894"/>
    <n v="779514558"/>
    <x v="0"/>
    <n v="3.6437239999999999E-4"/>
    <x v="0"/>
  </r>
  <r>
    <n v="52"/>
    <n v="0"/>
    <n v="1"/>
    <n v="4"/>
    <n v="2"/>
    <n v="1"/>
    <n v="0"/>
    <n v="48"/>
    <n v="1"/>
    <n v="5"/>
    <n v="3"/>
    <n v="1766"/>
    <n v="0"/>
    <n v="1766"/>
    <n v="0.76900000000000002"/>
    <n v="4643"/>
    <n v="76"/>
    <n v="0.61699999999999999"/>
    <n v="0"/>
    <n v="3.7315999999999998E-4"/>
    <n v="0.99963000000000002"/>
    <s v="16.448845835855497"/>
    <s v="21.387289928316672"/>
    <s v="100.1072021779216"/>
    <n v="7.6579747055795705E-2"/>
    <n v="823149483"/>
    <x v="0"/>
    <n v="7.1276520000000004E-4"/>
    <x v="0"/>
  </r>
  <r>
    <n v="49"/>
    <n v="0"/>
    <n v="2"/>
    <n v="0"/>
    <n v="1"/>
    <n v="4"/>
    <n v="0"/>
    <n v="35"/>
    <n v="3"/>
    <n v="3"/>
    <n v="4"/>
    <n v="3283"/>
    <n v="1856"/>
    <n v="1427"/>
    <n v="1.103"/>
    <n v="4498"/>
    <n v="64"/>
    <n v="0.82899999999999996"/>
    <n v="0.56499999999999995"/>
    <n v="5.0168000000000001E-4"/>
    <n v="0.99950000000000006"/>
    <s v="32.547671089143265"/>
    <s v="4.611263786774175"/>
    <s v="119.86780383857852"/>
    <s v="3.2376196921510028"/>
    <n v="718460958"/>
    <x v="0"/>
    <n v="3.3055364999999998E-4"/>
    <x v="0"/>
  </r>
  <r>
    <n v="48"/>
    <n v="1"/>
    <n v="3"/>
    <n v="2"/>
    <n v="1"/>
    <n v="1"/>
    <n v="0"/>
    <n v="30"/>
    <n v="3"/>
    <n v="1"/>
    <n v="3"/>
    <n v="3235"/>
    <n v="2517"/>
    <n v="718"/>
    <n v="1.091"/>
    <n v="1637"/>
    <n v="43"/>
    <n v="0.87"/>
    <n v="0.77800000000000002"/>
    <s v="9.6126e-05"/>
    <n v="0.99990000000000001"/>
    <s v="27.07062037762582"/>
    <s v="13.887278574185403"/>
    <s v="67.83837966456167"/>
    <s v="11.935612011621668"/>
    <n v="716487408"/>
    <x v="0"/>
    <n v="1.0648312999999999E-3"/>
    <x v="0"/>
  </r>
  <r>
    <n v="46"/>
    <n v="1"/>
    <n v="3"/>
    <n v="0"/>
    <n v="2"/>
    <n v="0"/>
    <n v="0"/>
    <n v="30"/>
    <n v="5"/>
    <n v="1"/>
    <n v="2"/>
    <n v="27378"/>
    <n v="1893"/>
    <n v="25485"/>
    <n v="0.432"/>
    <n v="3934"/>
    <n v="78"/>
    <n v="0.59199999999999997"/>
    <n v="6.9000000000000006E-2"/>
    <s v="5.5564e-05"/>
    <n v="0.99994000000000005"/>
    <s v="2.5078239807232325"/>
    <s v="17.074560984030448"/>
    <s v="40.55384311514644"/>
    <s v="6.639437087043571"/>
    <n v="715537383"/>
    <x v="0"/>
    <n v="3.6634394000000002E-4"/>
    <x v="0"/>
  </r>
  <r>
    <n v="44"/>
    <n v="1"/>
    <n v="3"/>
    <n v="3"/>
    <n v="1"/>
    <n v="3"/>
    <n v="0"/>
    <n v="36"/>
    <n v="3"/>
    <n v="3"/>
    <n v="2"/>
    <n v="22243"/>
    <n v="1377"/>
    <n v="20866"/>
    <n v="0.56699999999999995"/>
    <n v="3200"/>
    <n v="91"/>
    <n v="0.71699999999999997"/>
    <n v="6.2E-2"/>
    <n v="1.8144999999999999E-4"/>
    <n v="0.99982000000000004"/>
    <s v="14.239876578565314"/>
    <s v="32.98709823854181"/>
    <s v="111.65723288402856"/>
    <s v="19.522422731929616"/>
    <n v="713535033"/>
    <x v="0"/>
    <n v="3.5729867999999997E-4"/>
    <x v="0"/>
  </r>
  <r>
    <n v="47"/>
    <n v="1"/>
    <n v="4"/>
    <n v="0"/>
    <n v="0"/>
    <n v="1"/>
    <n v="0"/>
    <n v="36"/>
    <n v="5"/>
    <n v="1"/>
    <n v="1"/>
    <n v="5570"/>
    <n v="1858"/>
    <n v="3712"/>
    <n v="0.78300000000000003"/>
    <n v="4129"/>
    <n v="72"/>
    <n v="0.63600000000000001"/>
    <n v="0.33400000000000002"/>
    <s v="3.3866e-05"/>
    <n v="0.99997000000000003"/>
    <s v="11.989763693622873"/>
    <s v="51.97995066469214"/>
    <s v="47.80363532984503"/>
    <s v="5.1449724112610085"/>
    <n v="719535558"/>
    <x v="0"/>
    <n v="3.2914013999999999E-4"/>
    <x v="0"/>
  </r>
  <r>
    <n v="44"/>
    <n v="0"/>
    <n v="2"/>
    <n v="3"/>
    <n v="2"/>
    <n v="4"/>
    <n v="0"/>
    <n v="36"/>
    <n v="5"/>
    <n v="3"/>
    <n v="4"/>
    <n v="8685"/>
    <n v="0"/>
    <n v="8685"/>
    <n v="0.66600000000000004"/>
    <n v="2473"/>
    <n v="56"/>
    <n v="0.6"/>
    <n v="0"/>
    <n v="5.0162999999999998E-4"/>
    <n v="0.99950000000000006"/>
    <s v="10.54858703209664"/>
    <s v="43.06604881339514"/>
    <s v="45.08206555939054"/>
    <s v="24.325979938090445"/>
    <n v="710641008"/>
    <x v="0"/>
    <n v="1.7643119000000001E-3"/>
    <x v="0"/>
  </r>
  <r>
    <n v="51"/>
    <n v="1"/>
    <n v="3"/>
    <n v="2"/>
    <n v="2"/>
    <n v="3"/>
    <n v="1"/>
    <n v="36"/>
    <n v="4"/>
    <n v="3"/>
    <n v="3"/>
    <n v="34516"/>
    <n v="2201"/>
    <n v="32315"/>
    <n v="0.97799999999999998"/>
    <n v="8614"/>
    <n v="63"/>
    <n v="0.75"/>
    <n v="6.4000000000000001E-2"/>
    <n v="0.99724000000000002"/>
    <n v="2.7565799999999998E-3"/>
    <s v="1.0071024365413068"/>
    <s v="55.469856196405935"/>
    <s v="54.22064701032332"/>
    <s v="12.215829038847076"/>
    <n v="710047533"/>
    <x v="1"/>
    <n v="0.99024873999999996"/>
    <x v="1"/>
  </r>
  <r>
    <n v="31"/>
    <n v="1"/>
    <n v="0"/>
    <n v="5"/>
    <n v="0"/>
    <n v="1"/>
    <n v="0"/>
    <n v="21"/>
    <n v="6"/>
    <n v="2"/>
    <n v="2"/>
    <n v="2621"/>
    <n v="1461"/>
    <n v="1160"/>
    <n v="0.77500000000000002"/>
    <n v="2718"/>
    <n v="71"/>
    <n v="0.77500000000000002"/>
    <n v="0.55700000000000005"/>
    <n v="1.0043E-4"/>
    <n v="0.99990000000000001"/>
    <s v="16.73467066367211"/>
    <s v="28.982991880455984"/>
    <n v="14.102168542554899"/>
    <s v="6.830786926262299"/>
    <n v="721378008"/>
    <x v="0"/>
    <n v="3.8193256000000001E-4"/>
    <x v="0"/>
  </r>
  <r>
    <n v="45"/>
    <n v="1"/>
    <n v="2"/>
    <n v="0"/>
    <n v="0"/>
    <n v="3"/>
    <n v="0"/>
    <n v="39"/>
    <n v="3"/>
    <n v="4"/>
    <n v="4"/>
    <n v="34516"/>
    <n v="0"/>
    <n v="34516"/>
    <n v="1.014"/>
    <n v="1041"/>
    <n v="27"/>
    <n v="0.35"/>
    <n v="0"/>
    <n v="0.99834999999999996"/>
    <n v="1.6457900000000001E-3"/>
    <s v="17.219423508202347"/>
    <s v="31.39362341968908"/>
    <s v="53.93422056395765"/>
    <s v="4.085167276628279"/>
    <n v="791856033"/>
    <x v="1"/>
    <n v="0.99834334999999996"/>
    <x v="1"/>
  </r>
  <r>
    <n v="43"/>
    <n v="0"/>
    <n v="4"/>
    <n v="3"/>
    <n v="3"/>
    <n v="4"/>
    <n v="0"/>
    <n v="39"/>
    <n v="3"/>
    <n v="3"/>
    <n v="3"/>
    <n v="2786"/>
    <n v="1793"/>
    <n v="993"/>
    <n v="0.80300000000000005"/>
    <n v="3646"/>
    <n v="68"/>
    <n v="0.65900000000000003"/>
    <n v="0.64400000000000002"/>
    <n v="3.0842E-4"/>
    <n v="0.99968999999999997"/>
    <s v="12.579409298374216"/>
    <s v="4.241851826924626"/>
    <s v="51.041022998707874"/>
    <n v="16.466154919524001"/>
    <n v="828343083"/>
    <x v="0"/>
    <n v="3.2101269999999999E-4"/>
    <x v="0"/>
  </r>
  <r>
    <n v="35"/>
    <n v="0"/>
    <n v="1"/>
    <n v="0"/>
    <n v="3"/>
    <n v="5"/>
    <n v="0"/>
    <n v="29"/>
    <n v="4"/>
    <n v="3"/>
    <n v="3"/>
    <n v="1438.3"/>
    <n v="966"/>
    <n v="472.3"/>
    <n v="0.871"/>
    <n v="5249"/>
    <n v="81"/>
    <n v="0.76100000000000001"/>
    <n v="0.67200000000000004"/>
    <n v="2.7607E-4"/>
    <n v="0.99972000000000005"/>
    <s v="4.259826114955383"/>
    <s v="15.912366276632929"/>
    <s v="75.82706805264023"/>
    <s v="7.453454260196049"/>
    <n v="710423358"/>
    <x v="0"/>
    <n v="4.9430229999999995E-4"/>
    <x v="0"/>
  </r>
  <r>
    <n v="57"/>
    <n v="0"/>
    <n v="0"/>
    <n v="3"/>
    <n v="0"/>
    <n v="4"/>
    <n v="0"/>
    <n v="36"/>
    <n v="5"/>
    <n v="1"/>
    <n v="3"/>
    <n v="3532"/>
    <n v="869"/>
    <n v="2663"/>
    <n v="1.038"/>
    <n v="4297"/>
    <n v="64"/>
    <n v="0.77800000000000002"/>
    <n v="0.246"/>
    <s v="7.7279e-05"/>
    <n v="0.99992000000000003"/>
    <s v="35.35272435042164"/>
    <n v="41.610509771933799"/>
    <s v="16.131082703724914"/>
    <s v="9.388579466863773"/>
    <n v="710335983"/>
    <x v="0"/>
    <n v="4.4585185E-4"/>
    <x v="0"/>
  </r>
  <r>
    <n v="52"/>
    <n v="0"/>
    <n v="2"/>
    <n v="2"/>
    <n v="1"/>
    <n v="4"/>
    <n v="0"/>
    <n v="43"/>
    <n v="5"/>
    <n v="2"/>
    <n v="2"/>
    <n v="8203"/>
    <n v="654"/>
    <n v="7549"/>
    <n v="0.58799999999999997"/>
    <n v="2910"/>
    <n v="63"/>
    <n v="0.90900000000000003"/>
    <n v="0.08"/>
    <n v="1.1382E-4"/>
    <n v="0.99988999999999995"/>
    <s v="30.70566805058437"/>
    <n v="72.183400188083993"/>
    <s v="15.006056753778568"/>
    <s v="1.666554166848327"/>
    <n v="719493858"/>
    <x v="0"/>
    <n v="7.1235160000000005E-4"/>
    <x v="0"/>
  </r>
  <r>
    <n v="42"/>
    <n v="1"/>
    <n v="3"/>
    <n v="2"/>
    <n v="1"/>
    <n v="1"/>
    <n v="0"/>
    <n v="34"/>
    <n v="3"/>
    <n v="2"/>
    <n v="3"/>
    <n v="1640"/>
    <n v="1444"/>
    <n v="196"/>
    <n v="0.42299999999999999"/>
    <n v="1360"/>
    <n v="33"/>
    <n v="0.222"/>
    <n v="0.88"/>
    <n v="0.99499000000000004"/>
    <n v="5.0099999999999997E-3"/>
    <n v="3.2768103949343401"/>
    <s v="43.606936855804506"/>
    <s v="89.18459263114418"/>
    <s v="6.515159348507384"/>
    <n v="719099583"/>
    <x v="1"/>
    <n v="0.99480959999999996"/>
    <x v="1"/>
  </r>
  <r>
    <n v="48"/>
    <n v="0"/>
    <n v="4"/>
    <n v="3"/>
    <n v="2"/>
    <n v="1"/>
    <n v="0"/>
    <n v="38"/>
    <n v="6"/>
    <n v="1"/>
    <n v="3"/>
    <n v="8135"/>
    <n v="0"/>
    <n v="8135"/>
    <n v="1.373"/>
    <n v="1716"/>
    <n v="29"/>
    <n v="0.81200000000000006"/>
    <n v="0"/>
    <s v="9.4447e-05"/>
    <n v="0.99990999999999997"/>
    <s v="3.626865167462865"/>
    <s v="35.45879093245259"/>
    <s v="22.921478358764823"/>
    <s v="4.388069577073693"/>
    <n v="713539833"/>
    <x v="0"/>
    <n v="3.6010389999999999E-3"/>
    <x v="0"/>
  </r>
  <r>
    <n v="55"/>
    <n v="0"/>
    <n v="2"/>
    <n v="0"/>
    <n v="1"/>
    <n v="4"/>
    <n v="0"/>
    <n v="36"/>
    <n v="6"/>
    <n v="3"/>
    <n v="4"/>
    <n v="2967"/>
    <n v="2129"/>
    <n v="838"/>
    <n v="1.075"/>
    <n v="2177"/>
    <n v="59"/>
    <n v="0.78800000000000003"/>
    <n v="0.71799999999999997"/>
    <n v="5.0168000000000001E-4"/>
    <n v="0.99950000000000006"/>
    <s v="19.06066432541439"/>
    <s v="70.03094984831371"/>
    <s v="25.036879093454047"/>
    <s v="21.144850917956344"/>
    <n v="713309583"/>
    <x v="0"/>
    <n v="4.3536200000000001E-4"/>
    <x v="0"/>
  </r>
  <r>
    <n v="55"/>
    <n v="1"/>
    <n v="1"/>
    <n v="3"/>
    <n v="1"/>
    <n v="2"/>
    <n v="0"/>
    <n v="46"/>
    <n v="6"/>
    <n v="1"/>
    <n v="3"/>
    <n v="5381"/>
    <n v="0"/>
    <n v="5381"/>
    <n v="0.746"/>
    <n v="1910"/>
    <n v="38"/>
    <n v="1"/>
    <n v="0"/>
    <s v="8.453e-05"/>
    <n v="0.99992000000000003"/>
    <s v="16.189061917305484"/>
    <s v="42.216496683893006"/>
    <s v="158.87034860158357"/>
    <s v="10.162872673998365"/>
    <n v="714111333"/>
    <x v="0"/>
    <n v="3.3136427000000001E-3"/>
    <x v="0"/>
  </r>
  <r>
    <n v="44"/>
    <n v="0"/>
    <n v="3"/>
    <n v="2"/>
    <n v="1"/>
    <n v="4"/>
    <n v="0"/>
    <n v="33"/>
    <n v="3"/>
    <n v="2"/>
    <n v="2"/>
    <n v="1621"/>
    <n v="0"/>
    <n v="1621"/>
    <n v="0.60299999999999998"/>
    <n v="3764"/>
    <n v="76"/>
    <n v="0.52"/>
    <n v="0"/>
    <n v="1.1811000000000001E-4"/>
    <n v="0.99987999999999999"/>
    <s v="13.655813659983298"/>
    <s v="42.466460983632416"/>
    <s v="47.113427025281545"/>
    <s v="6.452091435921312"/>
    <n v="717346833"/>
    <x v="0"/>
    <n v="7.387203E-4"/>
    <x v="0"/>
  </r>
  <r>
    <n v="41"/>
    <n v="0"/>
    <n v="5"/>
    <n v="4"/>
    <n v="1"/>
    <n v="4"/>
    <n v="0"/>
    <n v="33"/>
    <n v="3"/>
    <n v="1"/>
    <n v="2"/>
    <n v="6519"/>
    <n v="851"/>
    <n v="5668"/>
    <n v="0.67900000000000005"/>
    <n v="3088"/>
    <n v="65"/>
    <n v="0.71099999999999997"/>
    <n v="0.13100000000000001"/>
    <s v="6.6908e-05"/>
    <n v="0.99992999999999999"/>
    <s v="17.96130028915868"/>
    <s v="11.433508933248604"/>
    <s v="93.05054490437176"/>
    <s v="13.430461338661962"/>
    <n v="713267133"/>
    <x v="0"/>
    <n v="5.4577656999999999E-4"/>
    <x v="0"/>
  </r>
  <r>
    <n v="44"/>
    <n v="0"/>
    <n v="3"/>
    <n v="3"/>
    <n v="2"/>
    <n v="4"/>
    <n v="0"/>
    <n v="36"/>
    <n v="2"/>
    <n v="3"/>
    <n v="3"/>
    <n v="2228"/>
    <n v="0"/>
    <n v="2228"/>
    <n v="0.68600000000000005"/>
    <n v="2523"/>
    <n v="45"/>
    <n v="0.60699999999999998"/>
    <n v="0"/>
    <n v="0.99673"/>
    <n v="3.2652800000000002E-3"/>
    <s v="4.634303779679562"/>
    <s v="10.088406072304494"/>
    <s v="19.814731897903364"/>
    <s v="21.54474200053956"/>
    <n v="711637458"/>
    <x v="1"/>
    <n v="0.99854653999999998"/>
    <x v="1"/>
  </r>
  <r>
    <n v="54"/>
    <n v="0"/>
    <n v="3"/>
    <n v="6"/>
    <n v="2"/>
    <n v="1"/>
    <n v="0"/>
    <n v="41"/>
    <n v="1"/>
    <n v="3"/>
    <n v="2"/>
    <n v="4440"/>
    <n v="0"/>
    <n v="4440"/>
    <n v="0.63900000000000001"/>
    <n v="3720"/>
    <n v="89"/>
    <n v="0.89400000000000002"/>
    <n v="0"/>
    <n v="2.0515999999999999E-4"/>
    <n v="0.99978999999999996"/>
    <s v="28.01453236403379"/>
    <s v="3.302937679171422"/>
    <s v="102.28672541692248"/>
    <s v="4.768544822542434"/>
    <n v="718510983"/>
    <x v="0"/>
    <n v="6.9517245999999998E-4"/>
    <x v="0"/>
  </r>
  <r>
    <n v="42"/>
    <n v="1"/>
    <n v="3"/>
    <n v="1"/>
    <n v="2"/>
    <n v="2"/>
    <n v="0"/>
    <n v="35"/>
    <n v="3"/>
    <n v="3"/>
    <n v="3"/>
    <n v="11328"/>
    <n v="1369"/>
    <n v="9959"/>
    <n v="0.58499999999999996"/>
    <n v="1829"/>
    <n v="42"/>
    <n v="0.312"/>
    <n v="0.121"/>
    <n v="0.99780000000000002"/>
    <n v="2.1958400000000001E-3"/>
    <s v="19.477921926960335"/>
    <s v="35.266611887619035"/>
    <s v="15.964114938310464"/>
    <s v="1.6472188871722115"/>
    <n v="712751133"/>
    <x v="1"/>
    <n v="0.99480959999999996"/>
    <x v="1"/>
  </r>
  <r>
    <n v="61"/>
    <n v="1"/>
    <n v="2"/>
    <n v="5"/>
    <n v="1"/>
    <n v="2"/>
    <n v="0"/>
    <n v="48"/>
    <n v="4"/>
    <n v="1"/>
    <n v="2"/>
    <n v="18571"/>
    <n v="0"/>
    <n v="18571"/>
    <n v="0.59399999999999997"/>
    <n v="15802"/>
    <n v="118"/>
    <n v="0.68600000000000005"/>
    <n v="0"/>
    <s v="5.663e-05"/>
    <n v="0.99994000000000005"/>
    <s v="3.5704303951833776"/>
    <s v="40.93992986521896"/>
    <n v="96.4191202853074"/>
    <s v="21.506550863300635"/>
    <n v="713315433"/>
    <x v="0"/>
    <n v="7.5047980000000002E-4"/>
    <x v="0"/>
  </r>
  <r>
    <n v="54"/>
    <n v="0"/>
    <n v="3"/>
    <n v="2"/>
    <n v="2"/>
    <n v="1"/>
    <n v="0"/>
    <n v="39"/>
    <n v="3"/>
    <n v="4"/>
    <n v="1"/>
    <n v="4036"/>
    <n v="1329"/>
    <n v="2707"/>
    <n v="0.73799999999999999"/>
    <n v="5315"/>
    <n v="82"/>
    <n v="0.70799999999999996"/>
    <n v="0.32900000000000001"/>
    <n v="1.3603000000000001E-4"/>
    <n v="0.99985999999999997"/>
    <s v="54.247284560191126"/>
    <n v="6.56617052874536"/>
    <s v="75.64673028583583"/>
    <s v="7.174427430513646"/>
    <n v="711717258"/>
    <x v="0"/>
    <n v="3.4800241999999998E-4"/>
    <x v="0"/>
  </r>
  <r>
    <n v="55"/>
    <n v="1"/>
    <n v="3"/>
    <n v="1"/>
    <n v="1"/>
    <n v="0"/>
    <n v="0"/>
    <n v="40"/>
    <n v="4"/>
    <n v="3"/>
    <n v="1"/>
    <n v="12875"/>
    <n v="1119"/>
    <n v="11756"/>
    <n v="0.40100000000000002"/>
    <n v="1624"/>
    <n v="40"/>
    <n v="0.42899999999999999"/>
    <n v="8.6999999999999994E-2"/>
    <n v="1.6289000000000001E-4"/>
    <n v="0.99983999999999995"/>
    <s v="19.75533052679389"/>
    <s v="51.480334595572224"/>
    <s v="30.468466573236626"/>
    <s v="7.481277571819684"/>
    <n v="780094008"/>
    <x v="0"/>
    <n v="1.2325711E-3"/>
    <x v="0"/>
  </r>
  <r>
    <n v="53"/>
    <n v="1"/>
    <n v="2"/>
    <n v="6"/>
    <n v="1"/>
    <n v="2"/>
    <n v="0"/>
    <n v="46"/>
    <n v="3"/>
    <n v="2"/>
    <n v="3"/>
    <n v="6658"/>
    <n v="1761"/>
    <n v="4897"/>
    <n v="0.48899999999999999"/>
    <n v="1309"/>
    <n v="40"/>
    <n v="0.6"/>
    <n v="0.26400000000000001"/>
    <n v="2.1042000000000001E-4"/>
    <n v="0.99978999999999996"/>
    <s v="8.772320640062363"/>
    <s v="49.15610680238101"/>
    <s v="14.850943451552574"/>
    <s v="2.8356945403583382"/>
    <n v="714700158"/>
    <x v="0"/>
    <n v="1.0903810999999999E-3"/>
    <x v="0"/>
  </r>
  <r>
    <n v="51"/>
    <n v="1"/>
    <n v="2"/>
    <n v="1"/>
    <n v="2"/>
    <n v="1"/>
    <n v="0"/>
    <n v="40"/>
    <n v="3"/>
    <n v="2"/>
    <n v="0"/>
    <n v="6103"/>
    <n v="0"/>
    <n v="6103"/>
    <n v="0.53200000000000003"/>
    <n v="3203"/>
    <n v="64"/>
    <n v="0.82899999999999996"/>
    <n v="0"/>
    <s v="6.0759e-05"/>
    <n v="0.99994000000000005"/>
    <s v="56.63665084714811"/>
    <s v="16.07016233222071"/>
    <s v="63.00840980191121"/>
    <s v="3.121176079123912"/>
    <n v="708423933"/>
    <x v="0"/>
    <n v="7.8814493999999999E-4"/>
    <x v="0"/>
  </r>
  <r>
    <n v="57"/>
    <n v="1"/>
    <n v="1"/>
    <n v="3"/>
    <n v="1"/>
    <n v="3"/>
    <n v="0"/>
    <n v="36"/>
    <n v="3"/>
    <n v="2"/>
    <n v="2"/>
    <n v="6543"/>
    <n v="2260"/>
    <n v="4283"/>
    <n v="0.44800000000000001"/>
    <n v="1519"/>
    <n v="31"/>
    <n v="0.63200000000000001"/>
    <n v="0.34499999999999997"/>
    <n v="1.0386E-4"/>
    <n v="0.99990000000000001"/>
    <s v="13.091504369708405"/>
    <s v="45.62273057325258"/>
    <s v="60.67323930082105"/>
    <n v="7.2827934933916296"/>
    <n v="718199133"/>
    <x v="0"/>
    <n v="1.0903810999999999E-3"/>
    <x v="0"/>
  </r>
  <r>
    <n v="49"/>
    <n v="0"/>
    <n v="2"/>
    <n v="2"/>
    <n v="1"/>
    <n v="4"/>
    <n v="0"/>
    <n v="38"/>
    <n v="3"/>
    <n v="4"/>
    <n v="2"/>
    <n v="1438.3"/>
    <n v="0"/>
    <n v="1438.3"/>
    <n v="0.58399999999999996"/>
    <n v="4497"/>
    <n v="79"/>
    <n v="0.61199999999999999"/>
    <n v="0"/>
    <n v="2.1738000000000001E-4"/>
    <n v="0.99978"/>
    <s v="15.245018367787011"/>
    <s v="2.1091216794011736"/>
    <s v="29.20775851024818"/>
    <s v="14.142771731940574"/>
    <n v="716982483"/>
    <x v="0"/>
    <n v="7.1276520000000004E-4"/>
    <x v="0"/>
  </r>
  <r>
    <n v="57"/>
    <n v="1"/>
    <n v="2"/>
    <n v="6"/>
    <n v="2"/>
    <n v="3"/>
    <n v="0"/>
    <n v="38"/>
    <n v="6"/>
    <n v="1"/>
    <n v="3"/>
    <n v="23008"/>
    <n v="2280"/>
    <n v="20728"/>
    <n v="0.67400000000000004"/>
    <n v="1302"/>
    <n v="36"/>
    <n v="0.63600000000000001"/>
    <n v="9.9000000000000005E-2"/>
    <n v="1.0183000000000001E-4"/>
    <n v="0.99990000000000001"/>
    <s v="34.93723671360339"/>
    <s v="43.12386326756365"/>
    <s v="60.27086716734583"/>
    <s v="10.992321881010607"/>
    <n v="794496033"/>
    <x v="0"/>
    <n v="1.0598798E-3"/>
    <x v="0"/>
  </r>
  <r>
    <n v="48"/>
    <n v="1"/>
    <n v="3"/>
    <n v="2"/>
    <n v="2"/>
    <n v="2"/>
    <n v="0"/>
    <n v="36"/>
    <n v="2"/>
    <n v="1"/>
    <n v="1"/>
    <n v="15618"/>
    <n v="0"/>
    <n v="15618"/>
    <n v="0.70599999999999996"/>
    <n v="7549"/>
    <n v="77"/>
    <n v="0.63800000000000001"/>
    <n v="0"/>
    <s v="3.4465e-05"/>
    <n v="0.99997000000000003"/>
    <n v="19.947305758233401"/>
    <s v="45.070010006085056"/>
    <s v="40.64351442323589"/>
    <s v="22.21736246917615"/>
    <n v="716288208"/>
    <x v="0"/>
    <n v="1.2396318E-3"/>
    <x v="0"/>
  </r>
  <r>
    <n v="50"/>
    <n v="1"/>
    <n v="1"/>
    <n v="2"/>
    <n v="1"/>
    <n v="3"/>
    <n v="0"/>
    <n v="30"/>
    <n v="6"/>
    <n v="2"/>
    <n v="3"/>
    <n v="9771"/>
    <n v="1776"/>
    <n v="7995"/>
    <n v="0.46"/>
    <n v="2778"/>
    <n v="53"/>
    <n v="0.47199999999999998"/>
    <n v="0.182"/>
    <n v="1.7969000000000001E-4"/>
    <n v="0.99982000000000004"/>
    <s v="22.417664766599422"/>
    <s v="56.44186589076925"/>
    <s v="14.790627032309851"/>
    <s v="20.64773036216357"/>
    <n v="719474583"/>
    <x v="0"/>
    <n v="9.6559990000000002E-4"/>
    <x v="0"/>
  </r>
  <r>
    <n v="37"/>
    <n v="0"/>
    <n v="3"/>
    <n v="2"/>
    <n v="0"/>
    <n v="4"/>
    <n v="0"/>
    <n v="24"/>
    <n v="3"/>
    <n v="3"/>
    <n v="4"/>
    <n v="3727"/>
    <n v="995"/>
    <n v="2732"/>
    <n v="0.74299999999999999"/>
    <n v="14786"/>
    <n v="101"/>
    <n v="0.65600000000000003"/>
    <n v="0.26700000000000002"/>
    <n v="5.3543000000000004E-4"/>
    <n v="0.99946000000000002"/>
    <s v="63.69360665663548"/>
    <s v="2.892473525276498"/>
    <s v="31.43411820692921"/>
    <s v="22.421585815013344"/>
    <n v="720633558"/>
    <x v="0"/>
    <n v="3.4656386999999997E-4"/>
    <x v="0"/>
  </r>
  <r>
    <n v="43"/>
    <n v="1"/>
    <n v="1"/>
    <n v="3"/>
    <n v="2"/>
    <n v="2"/>
    <n v="0"/>
    <n v="31"/>
    <n v="5"/>
    <n v="3"/>
    <n v="2"/>
    <n v="2834"/>
    <n v="1720"/>
    <n v="1114"/>
    <n v="0.62"/>
    <n v="4581"/>
    <n v="70"/>
    <n v="0.59099999999999997"/>
    <n v="0.60699999999999998"/>
    <n v="1.6412999999999999E-4"/>
    <n v="0.99983999999999995"/>
    <s v="1.6632596024478836"/>
    <s v="130.53551792594482"/>
    <s v="23.912532846846435"/>
    <s v="5.705049245992748"/>
    <n v="711567333"/>
    <x v="0"/>
    <n v="3.2914013999999999E-4"/>
    <x v="0"/>
  </r>
  <r>
    <n v="34"/>
    <n v="0"/>
    <n v="2"/>
    <n v="0"/>
    <n v="1"/>
    <n v="4"/>
    <n v="0"/>
    <n v="36"/>
    <n v="1"/>
    <n v="3"/>
    <n v="2"/>
    <n v="1696"/>
    <n v="0"/>
    <n v="1696"/>
    <n v="0.78200000000000003"/>
    <n v="2325"/>
    <n v="56"/>
    <n v="0.55600000000000005"/>
    <n v="0"/>
    <n v="0.99431999999999998"/>
    <n v="5.6800000000000002E-3"/>
    <s v="49.70925781351131"/>
    <s v="85.77967645536569"/>
    <n v="90.5659554342798"/>
    <s v="10.13115662310726"/>
    <n v="715146558"/>
    <x v="1"/>
    <n v="0.99659469999999994"/>
    <x v="1"/>
  </r>
  <r>
    <n v="49"/>
    <n v="0"/>
    <n v="0"/>
    <n v="1"/>
    <n v="3"/>
    <n v="4"/>
    <n v="0"/>
    <n v="37"/>
    <n v="5"/>
    <n v="2"/>
    <n v="3"/>
    <n v="1749"/>
    <n v="0"/>
    <n v="1749"/>
    <n v="1.006"/>
    <n v="2510"/>
    <n v="38"/>
    <n v="0.40699999999999997"/>
    <n v="0"/>
    <n v="0.99580999999999997"/>
    <n v="4.1881100000000001E-3"/>
    <s v="34.524404294582155"/>
    <s v="1.4823521152475512"/>
    <s v="44.358447935952206"/>
    <n v="24.964847821573201"/>
    <n v="708916083"/>
    <x v="1"/>
    <n v="0.99873226999999998"/>
    <x v="1"/>
  </r>
  <r>
    <n v="48"/>
    <n v="1"/>
    <n v="3"/>
    <n v="6"/>
    <n v="1"/>
    <n v="3"/>
    <n v="0"/>
    <n v="41"/>
    <n v="5"/>
    <n v="2"/>
    <n v="2"/>
    <n v="5848"/>
    <n v="950"/>
    <n v="4898"/>
    <n v="0.72599999999999998"/>
    <n v="1961"/>
    <n v="51"/>
    <n v="0.54500000000000004"/>
    <n v="0.16200000000000001"/>
    <n v="1.2982E-4"/>
    <n v="0.99987000000000004"/>
    <s v="22.506170335535472"/>
    <s v="1.988746017251685"/>
    <s v="108.6658605238942"/>
    <s v="16.067397452619186"/>
    <n v="717098208"/>
    <x v="0"/>
    <n v="1.2318991000000001E-3"/>
    <x v="0"/>
  </r>
  <r>
    <n v="53"/>
    <n v="1"/>
    <n v="0"/>
    <n v="2"/>
    <n v="2"/>
    <n v="3"/>
    <n v="0"/>
    <n v="42"/>
    <n v="5"/>
    <n v="4"/>
    <n v="1"/>
    <n v="2664"/>
    <n v="2037"/>
    <n v="627"/>
    <n v="0.85"/>
    <n v="1286"/>
    <n v="29"/>
    <n v="0.93300000000000005"/>
    <n v="0.76500000000000001"/>
    <n v="1.125E-4"/>
    <n v="0.99988999999999995"/>
    <s v="38.03131627966374"/>
    <s v="18.62355127442052"/>
    <s v="94.56389865177306"/>
    <s v="11.95481005859926"/>
    <n v="789140283"/>
    <x v="0"/>
    <n v="9.8706899999999992E-4"/>
    <x v="0"/>
  </r>
  <r>
    <n v="53"/>
    <n v="1"/>
    <n v="2"/>
    <n v="0"/>
    <n v="2"/>
    <n v="0"/>
    <n v="1"/>
    <n v="36"/>
    <n v="2"/>
    <n v="1"/>
    <n v="1"/>
    <n v="34516"/>
    <n v="1051"/>
    <n v="33465"/>
    <n v="0.86299999999999999"/>
    <n v="8938"/>
    <n v="114"/>
    <n v="0.67600000000000005"/>
    <n v="0.03"/>
    <s v="3.7203e-05"/>
    <n v="0.99995999999999996"/>
    <s v="2.722787326239609"/>
    <s v="36.381192827512464"/>
    <s v="3.4805013045679063"/>
    <s v="2.0575561945487726"/>
    <n v="717757608"/>
    <x v="0"/>
    <n v="4.1022256E-4"/>
    <x v="0"/>
  </r>
  <r>
    <n v="52"/>
    <n v="1"/>
    <n v="2"/>
    <n v="3"/>
    <n v="2"/>
    <n v="3"/>
    <n v="0"/>
    <n v="44"/>
    <n v="3"/>
    <n v="2"/>
    <n v="4"/>
    <n v="28186"/>
    <n v="1308"/>
    <n v="26878"/>
    <n v="0.67900000000000005"/>
    <n v="2853"/>
    <n v="64"/>
    <n v="0.73"/>
    <n v="4.5999999999999999E-2"/>
    <n v="3.1745999999999999E-4"/>
    <n v="0.99968000000000001"/>
    <s v="77.02800682043177"/>
    <s v="7.485959107259423"/>
    <s v="85.75488873991529"/>
    <n v="22.841351252030801"/>
    <n v="720879708"/>
    <x v="0"/>
    <n v="4.4693416999999999E-4"/>
    <x v="0"/>
  </r>
  <r>
    <n v="53"/>
    <n v="1"/>
    <n v="3"/>
    <n v="2"/>
    <n v="2"/>
    <n v="3"/>
    <n v="3"/>
    <n v="39"/>
    <n v="1"/>
    <n v="2"/>
    <n v="3"/>
    <n v="34516"/>
    <n v="1198"/>
    <n v="33318"/>
    <n v="0.61499999999999999"/>
    <n v="4826"/>
    <n v="70"/>
    <n v="0.66700000000000004"/>
    <n v="3.5000000000000003E-2"/>
    <n v="1.7949E-4"/>
    <n v="0.99982000000000004"/>
    <n v="40.030731797362897"/>
    <s v="15.250148315633751"/>
    <s v="24.222977087196195"/>
    <s v="3.121835798142793"/>
    <n v="770774133"/>
    <x v="0"/>
    <n v="3.5729867999999997E-4"/>
    <x v="0"/>
  </r>
  <r>
    <n v="37"/>
    <n v="1"/>
    <n v="2"/>
    <n v="0"/>
    <n v="0"/>
    <n v="1"/>
    <n v="0"/>
    <n v="24"/>
    <n v="3"/>
    <n v="3"/>
    <n v="4"/>
    <n v="8120"/>
    <n v="2098"/>
    <n v="6022"/>
    <n v="0.82599999999999996"/>
    <n v="3161"/>
    <n v="54"/>
    <n v="0.68799999999999994"/>
    <n v="0.25800000000000001"/>
    <n v="5.0168000000000001E-4"/>
    <n v="0.99950000000000006"/>
    <s v="2.667025364136548"/>
    <s v="6.348022549526004"/>
    <s v="21.25057291894409"/>
    <s v="1.4599379648782875"/>
    <n v="771335358"/>
    <x v="0"/>
    <n v="5.4915379999999998E-4"/>
    <x v="0"/>
  </r>
  <r>
    <n v="54"/>
    <n v="0"/>
    <n v="2"/>
    <n v="3"/>
    <n v="1"/>
    <n v="1"/>
    <n v="0"/>
    <n v="36"/>
    <n v="3"/>
    <n v="3"/>
    <n v="3"/>
    <n v="3892"/>
    <n v="0"/>
    <n v="3892"/>
    <n v="0.73799999999999999"/>
    <n v="4318"/>
    <n v="74"/>
    <n v="0.76200000000000001"/>
    <n v="0"/>
    <n v="2.9408E-4"/>
    <n v="0.99970999999999999"/>
    <s v="6.676588768511687"/>
    <s v="56.51504466706393"/>
    <s v="72.45564376585018"/>
    <s v="1.0300062053849883"/>
    <n v="713937558"/>
    <x v="0"/>
    <n v="6.9517245999999998E-4"/>
    <x v="0"/>
  </r>
  <r>
    <n v="47"/>
    <n v="1"/>
    <n v="2"/>
    <n v="2"/>
    <n v="2"/>
    <n v="0"/>
    <n v="0"/>
    <n v="41"/>
    <n v="3"/>
    <n v="2"/>
    <n v="4"/>
    <n v="10614"/>
    <n v="784"/>
    <n v="9830"/>
    <n v="0.73"/>
    <n v="4601"/>
    <n v="77"/>
    <n v="0.63800000000000001"/>
    <n v="7.3999999999999996E-2"/>
    <n v="3.2655999999999999E-4"/>
    <n v="0.99966999999999995"/>
    <s v="17.030527597768053"/>
    <s v="8.207092242466706"/>
    <s v="30.10128746186643"/>
    <s v="1.9752813700783332"/>
    <n v="793543758"/>
    <x v="0"/>
    <n v="5.8341917000000003E-4"/>
    <x v="0"/>
  </r>
  <r>
    <n v="30"/>
    <n v="1"/>
    <n v="2"/>
    <n v="6"/>
    <n v="0"/>
    <n v="0"/>
    <n v="0"/>
    <n v="14"/>
    <n v="3"/>
    <n v="2"/>
    <n v="3"/>
    <n v="1548"/>
    <n v="0"/>
    <n v="1548"/>
    <n v="0.82799999999999996"/>
    <n v="2611"/>
    <n v="64"/>
    <n v="0.45500000000000002"/>
    <n v="0"/>
    <n v="2.1042000000000001E-4"/>
    <n v="0.99978999999999996"/>
    <s v="6.125454189869446"/>
    <n v="39.4255532790907"/>
    <s v="81.02531573371884"/>
    <s v="5.5759580898494745"/>
    <n v="718563483"/>
    <x v="0"/>
    <n v="1.0494072000000001E-3"/>
    <x v="0"/>
  </r>
  <r>
    <n v="50"/>
    <n v="0"/>
    <n v="2"/>
    <n v="3"/>
    <n v="1"/>
    <n v="4"/>
    <n v="0"/>
    <n v="36"/>
    <n v="6"/>
    <n v="2"/>
    <n v="1"/>
    <n v="1438.3"/>
    <n v="0"/>
    <n v="1438.3"/>
    <n v="0.90900000000000003"/>
    <n v="4697"/>
    <n v="82"/>
    <n v="0.90700000000000003"/>
    <n v="0"/>
    <s v="6.6728e-05"/>
    <n v="0.99992999999999999"/>
    <s v="22.29878581822839"/>
    <n v="8.1465218685026404"/>
    <s v="27.922311076517055"/>
    <s v="3.290206203082012"/>
    <n v="779926608"/>
    <x v="0"/>
    <n v="7.1297199999999998E-4"/>
    <x v="0"/>
  </r>
  <r>
    <n v="45"/>
    <n v="0"/>
    <n v="4"/>
    <n v="5"/>
    <n v="1"/>
    <n v="4"/>
    <n v="0"/>
    <n v="37"/>
    <n v="3"/>
    <n v="3"/>
    <n v="1"/>
    <n v="3196"/>
    <n v="1817"/>
    <n v="1379"/>
    <n v="0.73099999999999998"/>
    <n v="13300"/>
    <n v="104"/>
    <n v="0.67700000000000005"/>
    <n v="0.56899999999999995"/>
    <n v="1.1697E-4"/>
    <n v="0.99987999999999999"/>
    <s v="19.186720606806745"/>
    <s v="51.04643701905584"/>
    <s v="74.85281606174195"/>
    <s v="8.807356144623219"/>
    <n v="710141208"/>
    <x v="0"/>
    <n v="3.4656386999999997E-4"/>
    <x v="0"/>
  </r>
  <r>
    <n v="61"/>
    <n v="0"/>
    <n v="1"/>
    <n v="2"/>
    <n v="3"/>
    <n v="1"/>
    <n v="3"/>
    <n v="48"/>
    <n v="2"/>
    <n v="3"/>
    <n v="3"/>
    <n v="15698"/>
    <n v="2000"/>
    <n v="13698"/>
    <n v="0.749"/>
    <n v="12980"/>
    <n v="82"/>
    <n v="0.64"/>
    <n v="0.127"/>
    <n v="2.5657000000000002E-4"/>
    <n v="0.99973999999999996"/>
    <s v="1.812373277417025"/>
    <s v="12.741147018860577"/>
    <s v="21.191832141257557"/>
    <s v="10.178523765783249"/>
    <n v="710758683"/>
    <x v="0"/>
    <n v="3.5533762999999998E-4"/>
    <x v="0"/>
  </r>
  <r>
    <n v="41"/>
    <n v="1"/>
    <n v="4"/>
    <n v="6"/>
    <n v="1"/>
    <n v="3"/>
    <n v="0"/>
    <n v="32"/>
    <n v="2"/>
    <n v="1"/>
    <n v="3"/>
    <n v="28687"/>
    <n v="1607"/>
    <n v="27080"/>
    <n v="0.748"/>
    <n v="7523"/>
    <n v="90"/>
    <n v="0.63600000000000001"/>
    <n v="5.6000000000000001E-2"/>
    <n v="1.0679E-4"/>
    <n v="0.99988999999999995"/>
    <s v="33.98457891150182"/>
    <s v="35.64610809260575"/>
    <n v="66.320157102797594"/>
    <s v="2.324953266815887"/>
    <n v="718694658"/>
    <x v="0"/>
    <n v="4.2060707000000003E-4"/>
    <x v="0"/>
  </r>
  <r>
    <n v="45"/>
    <n v="1"/>
    <n v="3"/>
    <n v="2"/>
    <n v="1"/>
    <n v="3"/>
    <n v="3"/>
    <n v="36"/>
    <n v="6"/>
    <n v="2"/>
    <n v="3"/>
    <n v="34516"/>
    <n v="0"/>
    <n v="34516"/>
    <n v="0.53400000000000003"/>
    <n v="3530"/>
    <n v="68"/>
    <n v="0.65900000000000003"/>
    <n v="0"/>
    <n v="1.7949E-4"/>
    <n v="0.99982000000000004"/>
    <s v="48.23361408553737"/>
    <s v="73.84657396675925"/>
    <s v="44.438340629900615"/>
    <s v="11.047715433155622"/>
    <n v="719688408"/>
    <x v="0"/>
    <n v="7.4965424999999997E-4"/>
    <x v="0"/>
  </r>
  <r>
    <n v="50"/>
    <n v="0"/>
    <n v="2"/>
    <n v="3"/>
    <n v="1"/>
    <n v="5"/>
    <n v="0"/>
    <n v="40"/>
    <n v="2"/>
    <n v="3"/>
    <n v="2"/>
    <n v="19962"/>
    <n v="0"/>
    <n v="19962"/>
    <n v="0.98399999999999999"/>
    <n v="14703"/>
    <n v="119"/>
    <n v="0.85899999999999999"/>
    <n v="0"/>
    <n v="1.7485999999999999E-4"/>
    <n v="0.99983"/>
    <s v="12.521416361608097"/>
    <s v="21.891361576510047"/>
    <s v="43.59299705774454"/>
    <s v="21.92528042873867"/>
    <n v="714425283"/>
    <x v="0"/>
    <n v="8.064217E-4"/>
    <x v="0"/>
  </r>
  <r>
    <n v="65"/>
    <n v="1"/>
    <n v="0"/>
    <n v="5"/>
    <n v="2"/>
    <n v="4"/>
    <n v="0"/>
    <n v="54"/>
    <n v="3"/>
    <n v="1"/>
    <n v="5"/>
    <n v="2644"/>
    <n v="1691"/>
    <n v="953"/>
    <n v="0.755"/>
    <n v="3495"/>
    <n v="70"/>
    <n v="0.628"/>
    <n v="0.64"/>
    <n v="2.4127999999999999E-4"/>
    <n v="0.99975999999999998"/>
    <s v="10.842007657493475"/>
    <s v="17.76217973625589"/>
    <s v="126.9863878814656"/>
    <n v="5.7389098277407804"/>
    <n v="789193383"/>
    <x v="0"/>
    <n v="3.2914013999999999E-4"/>
    <x v="0"/>
  </r>
  <r>
    <n v="53"/>
    <n v="0"/>
    <n v="3"/>
    <n v="0"/>
    <n v="1"/>
    <n v="4"/>
    <n v="0"/>
    <n v="43"/>
    <n v="3"/>
    <n v="2"/>
    <n v="2"/>
    <n v="3573"/>
    <n v="0"/>
    <n v="3573"/>
    <n v="0.84199999999999997"/>
    <n v="2562"/>
    <n v="36"/>
    <n v="0.44"/>
    <n v="0"/>
    <n v="0.99136999999999997"/>
    <n v="8.6300000000000005E-3"/>
    <s v="35.09786909460894"/>
    <s v="32.845669526054415"/>
    <s v="104.10264586000196"/>
    <s v="21.276284597728097"/>
    <n v="789358908"/>
    <x v="1"/>
    <n v="0.99876772999999996"/>
    <x v="1"/>
  </r>
  <r>
    <n v="49"/>
    <n v="0"/>
    <n v="2"/>
    <n v="5"/>
    <n v="1"/>
    <n v="4"/>
    <n v="0"/>
    <n v="36"/>
    <n v="3"/>
    <n v="4"/>
    <n v="1"/>
    <n v="2505"/>
    <n v="0"/>
    <n v="2505"/>
    <n v="0.62"/>
    <n v="4109"/>
    <n v="61"/>
    <n v="0.74299999999999999"/>
    <n v="0"/>
    <n v="1.3479E-4"/>
    <n v="0.99987000000000004"/>
    <s v="19.284435302377027"/>
    <s v="51.34385858359256"/>
    <s v="20.176070127075956"/>
    <s v="12.85702513027938"/>
    <n v="720408708"/>
    <x v="0"/>
    <n v="8.1245880000000001E-4"/>
    <x v="0"/>
  </r>
  <r>
    <n v="37"/>
    <n v="0"/>
    <n v="3"/>
    <n v="3"/>
    <n v="1"/>
    <n v="5"/>
    <n v="0"/>
    <n v="36"/>
    <n v="6"/>
    <n v="3"/>
    <n v="4"/>
    <n v="11948"/>
    <n v="1281"/>
    <n v="10667"/>
    <n v="1.159"/>
    <n v="2792"/>
    <n v="51"/>
    <n v="0.88900000000000001"/>
    <n v="0.107"/>
    <n v="5.2052000000000001E-4"/>
    <n v="0.99948000000000004"/>
    <s v="18.88586732406996"/>
    <s v="39.26081708892264"/>
    <s v="1.9738691014299747"/>
    <n v="9.5462638951089502"/>
    <n v="713195808"/>
    <x v="0"/>
    <n v="8.3735959999999996E-4"/>
    <x v="0"/>
  </r>
  <r>
    <n v="44"/>
    <n v="1"/>
    <n v="3"/>
    <n v="2"/>
    <n v="0"/>
    <n v="2"/>
    <n v="0"/>
    <n v="37"/>
    <n v="5"/>
    <n v="2"/>
    <n v="3"/>
    <n v="3290"/>
    <n v="0"/>
    <n v="3290"/>
    <n v="0.84099999999999997"/>
    <n v="4780"/>
    <n v="84"/>
    <n v="0.61499999999999999"/>
    <n v="0"/>
    <n v="1.9864000000000001E-4"/>
    <n v="0.99980000000000002"/>
    <s v="23.37640459381624"/>
    <s v="10.762021168236116"/>
    <s v="41.64487786610562"/>
    <s v="0.1103778749208667"/>
    <n v="748827033"/>
    <x v="0"/>
    <n v="7.2847964000000002E-4"/>
    <x v="0"/>
  </r>
  <r>
    <n v="53"/>
    <n v="0"/>
    <n v="3"/>
    <n v="2"/>
    <n v="1"/>
    <n v="4"/>
    <n v="0"/>
    <n v="36"/>
    <n v="6"/>
    <n v="4"/>
    <n v="0"/>
    <n v="3319"/>
    <n v="913"/>
    <n v="2406"/>
    <n v="0.61199999999999999"/>
    <n v="4560"/>
    <n v="84"/>
    <n v="1.0489999999999999"/>
    <n v="0.27500000000000002"/>
    <s v="8.3212e-05"/>
    <n v="0.99992000000000003"/>
    <s v="27.09493609971788"/>
    <s v="0.8675211915848398"/>
    <s v="154.33553241944844"/>
    <s v="23.937764916844287"/>
    <n v="716313858"/>
    <x v="0"/>
    <n v="4.0989029999999999E-4"/>
    <x v="0"/>
  </r>
  <r>
    <n v="64"/>
    <n v="0"/>
    <n v="0"/>
    <n v="2"/>
    <n v="2"/>
    <n v="5"/>
    <n v="0"/>
    <n v="56"/>
    <n v="3"/>
    <n v="2"/>
    <n v="4"/>
    <n v="4100"/>
    <n v="863"/>
    <n v="3237"/>
    <n v="0.99199999999999999"/>
    <n v="3593"/>
    <n v="51"/>
    <n v="0.82099999999999995"/>
    <n v="0.21"/>
    <n v="2.8024000000000001E-4"/>
    <n v="0.99972000000000005"/>
    <s v="42.11680305934252"/>
    <s v="72.45483989649526"/>
    <s v="71.55188860647603"/>
    <s v="12.444587225914606"/>
    <n v="813380058"/>
    <x v="0"/>
    <n v="1.3570931E-3"/>
    <x v="0"/>
  </r>
  <r>
    <n v="46"/>
    <n v="1"/>
    <n v="1"/>
    <n v="5"/>
    <n v="1"/>
    <n v="2"/>
    <n v="0"/>
    <n v="27"/>
    <n v="1"/>
    <n v="3"/>
    <n v="1"/>
    <n v="13056"/>
    <n v="1890"/>
    <n v="11166"/>
    <n v="0.71299999999999997"/>
    <n v="14280"/>
    <n v="102"/>
    <n v="0.67200000000000004"/>
    <n v="0.14499999999999999"/>
    <n v="1.0469E-4"/>
    <n v="0.99990000000000001"/>
    <s v="45.01614968163842"/>
    <s v="2.5719933318898245"/>
    <s v="197.31855819902103"/>
    <s v="22.593386719080463"/>
    <n v="779067408"/>
    <x v="0"/>
    <n v="3.4656386999999997E-4"/>
    <x v="0"/>
  </r>
  <r>
    <n v="52"/>
    <n v="1"/>
    <n v="1"/>
    <n v="3"/>
    <n v="2"/>
    <n v="0"/>
    <n v="0"/>
    <n v="38"/>
    <n v="3"/>
    <n v="1"/>
    <n v="2"/>
    <n v="19709"/>
    <n v="1924"/>
    <n v="17785"/>
    <n v="0.46800000000000003"/>
    <n v="3000"/>
    <n v="64"/>
    <n v="0.64100000000000001"/>
    <n v="9.8000000000000004E-2"/>
    <s v="5.0256e-05"/>
    <n v="0.99995000000000001"/>
    <s v="4.996223106772019"/>
    <s v="4.920024452027954"/>
    <n v="54.732299050644698"/>
    <s v="1.8807081255541287"/>
    <n v="720301458"/>
    <x v="0"/>
    <n v="3.9545717000000002E-4"/>
    <x v="0"/>
  </r>
  <r>
    <n v="57"/>
    <n v="0"/>
    <n v="2"/>
    <n v="6"/>
    <n v="1"/>
    <n v="4"/>
    <n v="0"/>
    <n v="45"/>
    <n v="4"/>
    <n v="2"/>
    <n v="0"/>
    <n v="2494"/>
    <n v="1639"/>
    <n v="855"/>
    <n v="0.85799999999999998"/>
    <n v="1555"/>
    <n v="39"/>
    <n v="0.625"/>
    <n v="0.65700000000000003"/>
    <s v="4.6151e-05"/>
    <n v="0.99995000000000001"/>
    <s v="61.19761642439619"/>
    <s v="51.821452966785984"/>
    <s v="98.53551585032385"/>
    <s v="8.251663899662333"/>
    <n v="787480158"/>
    <x v="0"/>
    <n v="1.0598798E-3"/>
    <x v="0"/>
  </r>
  <r>
    <n v="53"/>
    <n v="1"/>
    <n v="1"/>
    <n v="2"/>
    <n v="1"/>
    <n v="3"/>
    <n v="0"/>
    <n v="40"/>
    <n v="4"/>
    <n v="3"/>
    <n v="3"/>
    <n v="4186"/>
    <n v="0"/>
    <n v="4186"/>
    <n v="0.88800000000000001"/>
    <n v="4590"/>
    <n v="69"/>
    <n v="0.81599999999999995"/>
    <n v="0"/>
    <n v="2.8394999999999999E-4"/>
    <n v="0.99972000000000005"/>
    <s v="21.87683206082316"/>
    <s v="80.51558421348768"/>
    <s v="0.8458203225987374"/>
    <s v="6.651084822597538"/>
    <n v="715974783"/>
    <x v="0"/>
    <n v="8.0553500000000002E-4"/>
    <x v="0"/>
  </r>
  <r>
    <n v="56"/>
    <n v="1"/>
    <n v="1"/>
    <n v="0"/>
    <n v="0"/>
    <n v="3"/>
    <n v="0"/>
    <n v="36"/>
    <n v="3"/>
    <n v="3"/>
    <n v="3"/>
    <n v="34516"/>
    <n v="1477"/>
    <n v="33039"/>
    <n v="1.234"/>
    <n v="2395"/>
    <n v="50"/>
    <n v="0.72399999999999998"/>
    <n v="4.2999999999999997E-2"/>
    <n v="2.7607E-4"/>
    <n v="0.99972000000000005"/>
    <s v="3.022888379460027"/>
    <s v="7.776209443447068"/>
    <s v="104.81350948551484"/>
    <s v="10.480898885767044"/>
    <n v="712607583"/>
    <x v="0"/>
    <n v="1.0371458E-3"/>
    <x v="0"/>
  </r>
  <r>
    <n v="53"/>
    <n v="1"/>
    <n v="3"/>
    <n v="5"/>
    <n v="1"/>
    <n v="3"/>
    <n v="0"/>
    <n v="36"/>
    <n v="3"/>
    <n v="3"/>
    <n v="1"/>
    <n v="11450"/>
    <n v="2129"/>
    <n v="9321"/>
    <n v="0.95599999999999996"/>
    <n v="2197"/>
    <n v="45"/>
    <n v="0.95699999999999996"/>
    <n v="0.186"/>
    <n v="1.1574E-4"/>
    <n v="0.99987999999999999"/>
    <n v="10.581801707648999"/>
    <s v="67.96166354366454"/>
    <s v="175.9297313528118"/>
    <n v="8.9167109067541297"/>
    <n v="715310208"/>
    <x v="0"/>
    <n v="1.2830065999999999E-3"/>
    <x v="0"/>
  </r>
  <r>
    <n v="54"/>
    <n v="1"/>
    <n v="4"/>
    <n v="3"/>
    <n v="2"/>
    <n v="3"/>
    <n v="0"/>
    <n v="39"/>
    <n v="1"/>
    <n v="3"/>
    <n v="3"/>
    <n v="7773"/>
    <n v="2465"/>
    <n v="5308"/>
    <n v="0.78800000000000003"/>
    <n v="4272"/>
    <n v="69"/>
    <n v="1.0289999999999999"/>
    <n v="0.317"/>
    <n v="3.0842E-4"/>
    <n v="0.99968999999999997"/>
    <s v="39.72116329706716"/>
    <s v="40.06428137904947"/>
    <s v="104.97885849327396"/>
    <s v="13.761796958509429"/>
    <n v="721167783"/>
    <x v="0"/>
    <n v="3.4692350000000002E-4"/>
    <x v="0"/>
  </r>
  <r>
    <n v="48"/>
    <n v="0"/>
    <n v="4"/>
    <n v="2"/>
    <n v="2"/>
    <n v="5"/>
    <n v="0"/>
    <n v="40"/>
    <n v="4"/>
    <n v="4"/>
    <n v="4"/>
    <n v="11692"/>
    <n v="648"/>
    <n v="11044"/>
    <n v="1.2649999999999999"/>
    <n v="2997"/>
    <n v="56"/>
    <n v="0.86699999999999999"/>
    <n v="5.5E-2"/>
    <n v="6.5393999999999999E-4"/>
    <n v="0.99934999999999996"/>
    <s v="22.653881813780547"/>
    <s v="60.56451615036991"/>
    <s v="27.93601433737381"/>
    <s v="6.693566805805917"/>
    <n v="712500933"/>
    <x v="0"/>
    <n v="1.0722026E-3"/>
    <x v="0"/>
  </r>
  <r>
    <n v="36"/>
    <n v="0"/>
    <n v="2"/>
    <n v="5"/>
    <n v="1"/>
    <n v="4"/>
    <n v="0"/>
    <n v="31"/>
    <n v="3"/>
    <n v="2"/>
    <n v="1"/>
    <n v="2754"/>
    <n v="1798"/>
    <n v="956"/>
    <n v="0.76900000000000002"/>
    <n v="3937"/>
    <n v="70"/>
    <n v="0.628"/>
    <n v="0.65300000000000002"/>
    <s v="7.0576e-05"/>
    <n v="0.99992999999999999"/>
    <s v="22.68975522429128"/>
    <s v="39.48615921663212"/>
    <s v="15.702402931989232"/>
    <s v="23.72320571222023"/>
    <n v="818930808"/>
    <x v="0"/>
    <n v="3.2914013999999999E-4"/>
    <x v="0"/>
  </r>
  <r>
    <n v="43"/>
    <n v="1"/>
    <n v="1"/>
    <n v="3"/>
    <n v="1"/>
    <n v="2"/>
    <n v="0"/>
    <n v="31"/>
    <n v="2"/>
    <n v="3"/>
    <n v="3"/>
    <n v="3764"/>
    <n v="1780"/>
    <n v="1984"/>
    <n v="0.79"/>
    <n v="4898"/>
    <n v="80"/>
    <n v="0.66700000000000004"/>
    <n v="0.47299999999999998"/>
    <n v="2.7604000000000002E-4"/>
    <n v="0.99972000000000005"/>
    <s v="2.600819846331898"/>
    <n v="8.2802365873442092"/>
    <s v="46.90455793931336"/>
    <s v="1.077651850198368"/>
    <n v="710971908"/>
    <x v="0"/>
    <n v="3.2101269999999999E-4"/>
    <x v="0"/>
  </r>
  <r>
    <n v="54"/>
    <n v="0"/>
    <n v="1"/>
    <n v="2"/>
    <n v="1"/>
    <n v="4"/>
    <n v="0"/>
    <n v="50"/>
    <n v="3"/>
    <n v="3"/>
    <n v="3"/>
    <n v="3173"/>
    <n v="2517"/>
    <n v="656"/>
    <n v="0.61899999999999999"/>
    <n v="2763"/>
    <n v="51"/>
    <n v="0.82099999999999995"/>
    <n v="0.79300000000000004"/>
    <n v="0.99648999999999999"/>
    <n v="3.5083800000000002E-3"/>
    <s v="7.503125336994793"/>
    <s v="33.913361477952854"/>
    <s v="57.42435931331784"/>
    <s v="25.08702173706896"/>
    <n v="714789033"/>
    <x v="1"/>
    <n v="0.99399599999999999"/>
    <x v="1"/>
  </r>
  <r>
    <n v="50"/>
    <n v="0"/>
    <n v="2"/>
    <n v="5"/>
    <n v="2"/>
    <n v="1"/>
    <n v="0"/>
    <n v="35"/>
    <n v="4"/>
    <n v="3"/>
    <n v="1"/>
    <n v="2784"/>
    <n v="2458"/>
    <n v="326"/>
    <n v="0.79800000000000004"/>
    <n v="4904"/>
    <n v="81"/>
    <n v="0.8"/>
    <n v="0.88300000000000001"/>
    <n v="1.1153E-4"/>
    <n v="0.99988999999999995"/>
    <n v="4.5042865570899604"/>
    <s v="85.00755355211109"/>
    <s v="50.60409587093379"/>
    <s v="12.444108688238208"/>
    <n v="789240258"/>
    <x v="0"/>
    <n v="3.2101269999999999E-4"/>
    <x v="0"/>
  </r>
  <r>
    <n v="40"/>
    <n v="1"/>
    <n v="2"/>
    <n v="5"/>
    <n v="1"/>
    <n v="2"/>
    <n v="0"/>
    <n v="29"/>
    <n v="3"/>
    <n v="2"/>
    <n v="2"/>
    <n v="6332"/>
    <n v="318"/>
    <n v="6014"/>
    <n v="0.78300000000000003"/>
    <n v="2505"/>
    <n v="43"/>
    <n v="0.53600000000000003"/>
    <n v="0.05"/>
    <n v="0.99153000000000002"/>
    <n v="8.4700000000000001E-3"/>
    <s v="18.39959127283691"/>
    <s v="89.16700226728227"/>
    <s v="58.474045771889934"/>
    <s v="13.110353979394247"/>
    <n v="719685408"/>
    <x v="1"/>
    <n v="0.99870159999999997"/>
    <x v="1"/>
  </r>
  <r>
    <n v="35"/>
    <n v="1"/>
    <n v="3"/>
    <n v="1"/>
    <n v="2"/>
    <n v="1"/>
    <n v="0"/>
    <n v="23"/>
    <n v="4"/>
    <n v="3"/>
    <n v="2"/>
    <n v="2148"/>
    <n v="1545"/>
    <n v="603"/>
    <n v="0.68200000000000005"/>
    <n v="2167"/>
    <n v="65"/>
    <n v="0.51200000000000001"/>
    <n v="0.71899999999999997"/>
    <n v="2.7008000000000002E-4"/>
    <n v="0.99973000000000001"/>
    <s v="11.81596252289113"/>
    <s v="4.161525512011378"/>
    <n v="4.5875820239048197"/>
    <s v="21.238331346059507"/>
    <n v="780598383"/>
    <x v="0"/>
    <n v="4.1443894999999999E-4"/>
    <x v="0"/>
  </r>
  <r>
    <n v="55"/>
    <n v="0"/>
    <n v="3"/>
    <n v="2"/>
    <n v="1"/>
    <n v="5"/>
    <n v="0"/>
    <n v="36"/>
    <n v="3"/>
    <n v="2"/>
    <n v="0"/>
    <n v="4861"/>
    <n v="1123"/>
    <n v="3738"/>
    <n v="0.93799999999999994"/>
    <n v="1556"/>
    <n v="40"/>
    <n v="0.53800000000000003"/>
    <n v="0.23100000000000001"/>
    <s v="4.3568e-05"/>
    <n v="0.99995999999999996"/>
    <s v="11.038095198184042"/>
    <s v="11.593914371114804"/>
    <n v="98.646862849948306"/>
    <s v="13.054969789687275"/>
    <n v="714648933"/>
    <x v="0"/>
    <n v="1.0903810999999999E-3"/>
    <x v="0"/>
  </r>
  <r>
    <n v="44"/>
    <n v="0"/>
    <n v="3"/>
    <n v="0"/>
    <n v="1"/>
    <n v="1"/>
    <n v="0"/>
    <n v="34"/>
    <n v="3"/>
    <n v="1"/>
    <n v="2"/>
    <n v="3256"/>
    <n v="1013"/>
    <n v="2243"/>
    <n v="0.98799999999999999"/>
    <n v="5079"/>
    <n v="81"/>
    <n v="0.84099999999999997"/>
    <n v="0.311"/>
    <s v="5.5564e-05"/>
    <n v="0.99994000000000005"/>
    <s v="22.329270945080044"/>
    <s v="18.741952142351035"/>
    <s v="79.90850191279351"/>
    <s v="9.322660602083744"/>
    <n v="780390108"/>
    <x v="0"/>
    <n v="3.221314E-4"/>
    <x v="0"/>
  </r>
  <r>
    <n v="42"/>
    <n v="1"/>
    <n v="4"/>
    <n v="3"/>
    <n v="2"/>
    <n v="2"/>
    <n v="0"/>
    <n v="33"/>
    <n v="5"/>
    <n v="1"/>
    <n v="3"/>
    <n v="9442"/>
    <n v="838"/>
    <n v="8604"/>
    <n v="0.65400000000000003"/>
    <n v="3157"/>
    <n v="63"/>
    <n v="0.85299999999999998"/>
    <n v="8.8999999999999996E-2"/>
    <s v="9.4447e-05"/>
    <n v="0.99990999999999997"/>
    <s v="14.42895531392356"/>
    <s v="1.0588434421743298"/>
    <s v="69.31491581147232"/>
    <n v="9.7767650115634499"/>
    <n v="713896533"/>
    <x v="0"/>
    <n v="5.4593163000000002E-4"/>
    <x v="0"/>
  </r>
  <r>
    <n v="44"/>
    <n v="0"/>
    <n v="4"/>
    <n v="1"/>
    <n v="1"/>
    <n v="5"/>
    <n v="0"/>
    <n v="36"/>
    <n v="5"/>
    <n v="2"/>
    <n v="4"/>
    <n v="8667"/>
    <n v="1775"/>
    <n v="6892"/>
    <n v="0.72899999999999998"/>
    <n v="3939"/>
    <n v="69"/>
    <n v="0.53300000000000003"/>
    <n v="0.20499999999999999"/>
    <n v="4.9554000000000004E-4"/>
    <n v="0.99950000000000006"/>
    <s v="6.688725682400822"/>
    <n v="65.0506386853029"/>
    <s v="0.6943678616478247"/>
    <s v="8.454459783968394"/>
    <n v="714857508"/>
    <x v="0"/>
    <n v="3.2914013999999999E-4"/>
    <x v="0"/>
  </r>
  <r>
    <n v="32"/>
    <n v="0"/>
    <n v="0"/>
    <n v="3"/>
    <n v="0"/>
    <n v="5"/>
    <n v="0"/>
    <n v="25"/>
    <n v="5"/>
    <n v="3"/>
    <n v="1"/>
    <n v="12268"/>
    <n v="1165"/>
    <n v="11103"/>
    <n v="0.83199999999999996"/>
    <n v="4905"/>
    <n v="82"/>
    <n v="0.82199999999999995"/>
    <n v="9.5000000000000001E-2"/>
    <s v="9.0493e-05"/>
    <n v="0.99990999999999997"/>
    <s v="16.270334425143904"/>
    <s v="47.64746589917007"/>
    <s v="4.174835063678037"/>
    <s v="9.956591995610314"/>
    <n v="742572558"/>
    <x v="0"/>
    <n v="3.3022385E-4"/>
    <x v="0"/>
  </r>
  <r>
    <n v="50"/>
    <n v="0"/>
    <n v="2"/>
    <n v="6"/>
    <n v="0"/>
    <n v="4"/>
    <n v="0"/>
    <n v="36"/>
    <n v="3"/>
    <n v="2"/>
    <n v="4"/>
    <n v="2855"/>
    <n v="527"/>
    <n v="2328"/>
    <n v="0.67800000000000005"/>
    <n v="3645"/>
    <n v="69"/>
    <n v="0.60499999999999998"/>
    <n v="0.185"/>
    <n v="3.5893999999999998E-4"/>
    <n v="0.99963999999999997"/>
    <s v="19.58339257231998"/>
    <s v="29.091154260536698"/>
    <s v="187.99454389793704"/>
    <s v="0.6094414441170191"/>
    <n v="719314683"/>
    <x v="0"/>
    <n v="6.9059774999999997E-4"/>
    <x v="0"/>
  </r>
  <r>
    <n v="33"/>
    <n v="0"/>
    <n v="4"/>
    <n v="2"/>
    <n v="2"/>
    <n v="4"/>
    <n v="0"/>
    <n v="22"/>
    <n v="5"/>
    <n v="1"/>
    <n v="2"/>
    <n v="2001"/>
    <n v="1217"/>
    <n v="784"/>
    <n v="0.77500000000000002"/>
    <n v="3162"/>
    <n v="99"/>
    <n v="0.70699999999999996"/>
    <n v="0.60799999999999998"/>
    <s v="5.7762e-05"/>
    <n v="0.99994000000000005"/>
    <s v="21.570776863421127"/>
    <s v="14.45047823608324"/>
    <s v="1.7130953545876877"/>
    <s v="3.1254647956163835"/>
    <n v="710268858"/>
    <x v="0"/>
    <n v="3.2101269999999999E-4"/>
    <x v="0"/>
  </r>
  <r>
    <n v="43"/>
    <n v="0"/>
    <n v="3"/>
    <n v="1"/>
    <n v="1"/>
    <n v="5"/>
    <n v="0"/>
    <n v="38"/>
    <n v="3"/>
    <n v="4"/>
    <n v="2"/>
    <n v="1947"/>
    <n v="0"/>
    <n v="1947"/>
    <n v="0.83799999999999997"/>
    <n v="2119"/>
    <n v="52"/>
    <n v="1"/>
    <n v="0"/>
    <n v="3.2639000000000002E-4"/>
    <n v="0.99966999999999995"/>
    <s v="26.650387542429463"/>
    <s v="56.28466749828468"/>
    <s v="148.77020453691577"/>
    <s v="28.591696367164133"/>
    <n v="718627458"/>
    <x v="0"/>
    <n v="2.6911665000000002E-3"/>
    <x v="0"/>
  </r>
  <r>
    <n v="49"/>
    <n v="0"/>
    <n v="5"/>
    <n v="3"/>
    <n v="1"/>
    <n v="4"/>
    <n v="0"/>
    <n v="36"/>
    <n v="4"/>
    <n v="2"/>
    <n v="3"/>
    <n v="2598"/>
    <n v="1848"/>
    <n v="750"/>
    <n v="0.54700000000000004"/>
    <n v="4396"/>
    <n v="78"/>
    <n v="0.81399999999999995"/>
    <n v="0.71099999999999997"/>
    <n v="1.9212999999999999E-4"/>
    <n v="0.99980999999999998"/>
    <s v="10.554612232913826"/>
    <s v="5.403379525576525"/>
    <s v="23.27740654548016"/>
    <s v="3.485567362953079"/>
    <n v="719911458"/>
    <x v="0"/>
    <n v="3.2101269999999999E-4"/>
    <x v="0"/>
  </r>
  <r>
    <n v="34"/>
    <n v="1"/>
    <n v="5"/>
    <n v="2"/>
    <n v="1"/>
    <n v="2"/>
    <n v="0"/>
    <n v="27"/>
    <n v="5"/>
    <n v="2"/>
    <n v="2"/>
    <n v="2501"/>
    <n v="1909"/>
    <n v="592"/>
    <n v="0.95599999999999996"/>
    <n v="1850"/>
    <n v="34"/>
    <n v="1.125"/>
    <n v="0.76300000000000001"/>
    <n v="1.1751E-4"/>
    <n v="0.99987999999999999"/>
    <s v="2.8316674236288457"/>
    <s v="19.712469301453908"/>
    <s v="21.045364421964408"/>
    <n v="3.9084768235423999"/>
    <n v="719916408"/>
    <x v="0"/>
    <n v="9.8706899999999992E-4"/>
    <x v="0"/>
  </r>
  <r>
    <n v="41"/>
    <n v="0"/>
    <n v="1"/>
    <n v="6"/>
    <n v="0"/>
    <n v="4"/>
    <n v="0"/>
    <n v="30"/>
    <n v="5"/>
    <n v="2"/>
    <n v="4"/>
    <n v="2758"/>
    <n v="1675"/>
    <n v="1083"/>
    <n v="0.88200000000000001"/>
    <n v="3820"/>
    <n v="72"/>
    <n v="0.63600000000000001"/>
    <n v="0.60699999999999998"/>
    <n v="3.3691999999999999E-4"/>
    <n v="0.99965999999999999"/>
    <s v="36.90406126708773"/>
    <n v="21.053225053079998"/>
    <s v="2.911370513886337"/>
    <s v="21.851948915841565"/>
    <n v="719346708"/>
    <x v="0"/>
    <n v="3.2914013999999999E-4"/>
    <x v="0"/>
  </r>
  <r>
    <n v="39"/>
    <n v="0"/>
    <n v="3"/>
    <n v="4"/>
    <n v="3"/>
    <n v="5"/>
    <n v="0"/>
    <n v="26"/>
    <n v="6"/>
    <n v="1"/>
    <n v="4"/>
    <n v="3209"/>
    <n v="2517"/>
    <n v="692"/>
    <n v="0.43099999999999999"/>
    <n v="1292"/>
    <n v="37"/>
    <n v="0.76200000000000001"/>
    <n v="0.78400000000000003"/>
    <n v="1.9296E-4"/>
    <n v="0.99980999999999998"/>
    <s v="12.55460322962879"/>
    <s v="63.41198494390895"/>
    <s v="2.935652408111036"/>
    <n v="5.9312579917408303"/>
    <n v="719514783"/>
    <x v="0"/>
    <n v="1.0739613999999999E-3"/>
    <x v="0"/>
  </r>
  <r>
    <n v="41"/>
    <n v="1"/>
    <n v="3"/>
    <n v="1"/>
    <n v="2"/>
    <n v="3"/>
    <n v="0"/>
    <n v="29"/>
    <n v="2"/>
    <n v="2"/>
    <n v="3"/>
    <n v="24001"/>
    <n v="1629"/>
    <n v="22372"/>
    <n v="0.96499999999999997"/>
    <n v="9102"/>
    <n v="75"/>
    <n v="0.97399999999999998"/>
    <n v="6.8000000000000005E-2"/>
    <n v="0.99653000000000003"/>
    <n v="3.4659199999999999E-3"/>
    <s v="35.06106774770336"/>
    <s v="71.22674269284846"/>
    <s v="87.56542451191667"/>
    <s v="11.217205373759596"/>
    <n v="719582058"/>
    <x v="1"/>
    <n v="0.99024873999999996"/>
    <x v="1"/>
  </r>
  <r>
    <n v="53"/>
    <n v="1"/>
    <n v="3"/>
    <n v="3"/>
    <n v="2"/>
    <n v="2"/>
    <n v="0"/>
    <n v="45"/>
    <n v="4"/>
    <n v="1"/>
    <n v="0"/>
    <n v="15583"/>
    <n v="0"/>
    <n v="15583"/>
    <n v="0.873"/>
    <n v="3938"/>
    <n v="69"/>
    <n v="1.091"/>
    <n v="0"/>
    <s v="2.0494e-05"/>
    <n v="0.99997999999999998"/>
    <s v="42.485808996281456"/>
    <s v="1.363046016818323"/>
    <s v="60.13577809590154"/>
    <s v="6.153092013041969"/>
    <n v="767523933"/>
    <x v="0"/>
    <n v="7.6618145000000005E-4"/>
    <x v="0"/>
  </r>
  <r>
    <n v="38"/>
    <n v="0"/>
    <n v="4"/>
    <n v="2"/>
    <n v="1"/>
    <n v="1"/>
    <n v="0"/>
    <n v="33"/>
    <n v="4"/>
    <n v="3"/>
    <n v="1"/>
    <n v="4047"/>
    <n v="0"/>
    <n v="4047"/>
    <n v="0.64800000000000002"/>
    <n v="2134"/>
    <n v="34"/>
    <n v="0.47799999999999998"/>
    <n v="0"/>
    <n v="0.99129"/>
    <n v="8.7100000000000007E-3"/>
    <s v="3.405065745371081"/>
    <s v="52.59889053338531"/>
    <s v="116.56600042172396"/>
    <s v="12.795335879479032"/>
    <n v="806914158"/>
    <x v="1"/>
    <n v="0.99873226999999998"/>
    <x v="1"/>
  </r>
  <r>
    <n v="57"/>
    <n v="1"/>
    <n v="2"/>
    <n v="5"/>
    <n v="3"/>
    <n v="3"/>
    <n v="0"/>
    <n v="36"/>
    <n v="5"/>
    <n v="3"/>
    <n v="3"/>
    <n v="4316"/>
    <n v="0"/>
    <n v="4316"/>
    <n v="0.36299999999999999"/>
    <n v="1920"/>
    <n v="53"/>
    <n v="0.47199999999999998"/>
    <n v="0"/>
    <n v="0.99680000000000002"/>
    <n v="3.2037400000000001E-3"/>
    <s v="29.62952860347696"/>
    <s v="85.94663791427008"/>
    <s v="72.50502917023769"/>
    <s v="1.6464404619369444"/>
    <n v="713930433"/>
    <x v="1"/>
    <n v="0.99799347000000005"/>
    <x v="1"/>
  </r>
  <r>
    <n v="48"/>
    <n v="1"/>
    <n v="2"/>
    <n v="6"/>
    <n v="3"/>
    <n v="3"/>
    <n v="0"/>
    <n v="35"/>
    <n v="5"/>
    <n v="2"/>
    <n v="4"/>
    <n v="5039"/>
    <n v="0"/>
    <n v="5039"/>
    <n v="0.75700000000000001"/>
    <n v="1390"/>
    <n v="23"/>
    <n v="0.76900000000000002"/>
    <n v="0"/>
    <n v="3.5893999999999998E-4"/>
    <n v="0.99963999999999997"/>
    <s v="18.51537411500253"/>
    <n v="9.0266870790530298"/>
    <s v="7.044012024168527"/>
    <s v="8.011346567127552"/>
    <n v="719518308"/>
    <x v="0"/>
    <n v="3.6896945E-3"/>
    <x v="0"/>
  </r>
  <r>
    <n v="53"/>
    <n v="1"/>
    <n v="1"/>
    <n v="3"/>
    <n v="2"/>
    <n v="3"/>
    <n v="0"/>
    <n v="38"/>
    <n v="6"/>
    <n v="2"/>
    <n v="2"/>
    <n v="8154"/>
    <n v="996"/>
    <n v="7158"/>
    <n v="0.59399999999999997"/>
    <n v="1379"/>
    <n v="26"/>
    <n v="1"/>
    <n v="0.122"/>
    <n v="1.0386E-4"/>
    <n v="0.99990000000000001"/>
    <s v="7.792325879355011"/>
    <s v="33.14330191433614"/>
    <s v="2.750147242743696"/>
    <s v="4.969159515291734"/>
    <n v="780106908"/>
    <x v="0"/>
    <n v="9.8706899999999992E-4"/>
    <x v="0"/>
  </r>
  <r>
    <n v="51"/>
    <n v="1"/>
    <n v="2"/>
    <n v="2"/>
    <n v="2"/>
    <n v="0"/>
    <n v="0"/>
    <n v="40"/>
    <n v="4"/>
    <n v="3"/>
    <n v="3"/>
    <n v="26308"/>
    <n v="0"/>
    <n v="26308"/>
    <n v="0.64700000000000002"/>
    <n v="3278"/>
    <n v="53"/>
    <n v="0.82799999999999996"/>
    <n v="0"/>
    <n v="3.0250999999999998E-4"/>
    <n v="0.99970000000000003"/>
    <n v="42.7782659664324"/>
    <s v="11.442348857679436"/>
    <s v="29.84976800698438"/>
    <s v="0.8039619621725591"/>
    <n v="716639058"/>
    <x v="0"/>
    <n v="2.119264E-3"/>
    <x v="0"/>
  </r>
  <r>
    <n v="27"/>
    <n v="1"/>
    <n v="0"/>
    <n v="2"/>
    <n v="2"/>
    <n v="4"/>
    <n v="0"/>
    <n v="13"/>
    <n v="2"/>
    <n v="2"/>
    <n v="4"/>
    <n v="3585"/>
    <n v="2420"/>
    <n v="1165"/>
    <n v="0.81200000000000006"/>
    <n v="15656"/>
    <n v="124"/>
    <n v="0.746"/>
    <n v="0.67500000000000004"/>
    <n v="2.8024000000000001E-4"/>
    <n v="0.99972000000000005"/>
    <s v="15.197738969855902"/>
    <s v="38.09481104608592"/>
    <n v="76.276320794096506"/>
    <s v="16.69864405328856"/>
    <n v="780118158"/>
    <x v="0"/>
    <n v="3.4656386999999997E-4"/>
    <x v="0"/>
  </r>
  <r>
    <n v="41"/>
    <n v="1"/>
    <n v="1"/>
    <n v="5"/>
    <n v="2"/>
    <n v="3"/>
    <n v="0"/>
    <n v="31"/>
    <n v="6"/>
    <n v="2"/>
    <n v="4"/>
    <n v="2404"/>
    <n v="1887"/>
    <n v="517"/>
    <n v="0.59199999999999997"/>
    <n v="4489"/>
    <n v="75"/>
    <n v="0.74399999999999999"/>
    <n v="0.78500000000000003"/>
    <n v="3.1516999999999998E-4"/>
    <n v="0.99968000000000001"/>
    <s v="49.42849299278674"/>
    <s v="28.002176718987428"/>
    <s v="5.375355854814001"/>
    <s v="7.446343555549237"/>
    <n v="772655733"/>
    <x v="0"/>
    <n v="3.2101269999999999E-4"/>
    <x v="0"/>
  </r>
  <r>
    <n v="51"/>
    <n v="1"/>
    <n v="3"/>
    <n v="3"/>
    <n v="1"/>
    <n v="3"/>
    <n v="0"/>
    <n v="47"/>
    <n v="2"/>
    <n v="4"/>
    <n v="3"/>
    <n v="4041"/>
    <n v="0"/>
    <n v="4041"/>
    <n v="0.67"/>
    <n v="8219"/>
    <n v="84"/>
    <n v="0.90900000000000003"/>
    <n v="0"/>
    <n v="0.99729999999999996"/>
    <n v="2.7033199999999999E-3"/>
    <s v="29.39783649484688"/>
    <s v="19.04237124593335"/>
    <s v="23.572189840449436"/>
    <s v="18.915060117810324"/>
    <n v="822084333"/>
    <x v="1"/>
    <n v="0.99200250000000001"/>
    <x v="1"/>
  </r>
  <r>
    <n v="47"/>
    <n v="0"/>
    <n v="3"/>
    <n v="4"/>
    <n v="2"/>
    <n v="1"/>
    <n v="0"/>
    <n v="36"/>
    <n v="6"/>
    <n v="5"/>
    <n v="0"/>
    <n v="3114"/>
    <n v="1059"/>
    <n v="2055"/>
    <n v="0.78"/>
    <n v="4342"/>
    <n v="62"/>
    <n v="0.77100000000000002"/>
    <n v="0.34"/>
    <s v="9.0491e-05"/>
    <n v="0.99990999999999997"/>
    <s v="21.901539532539275"/>
    <s v="38.42841000331018"/>
    <s v="121.49336248895176"/>
    <s v="4.903614459748453"/>
    <n v="772133808"/>
    <x v="0"/>
    <n v="3.479205E-4"/>
    <x v="0"/>
  </r>
  <r>
    <n v="52"/>
    <n v="0"/>
    <n v="0"/>
    <n v="0"/>
    <n v="1"/>
    <n v="1"/>
    <n v="0"/>
    <n v="45"/>
    <n v="4"/>
    <n v="2"/>
    <n v="1"/>
    <n v="4597"/>
    <n v="1905"/>
    <n v="2692"/>
    <n v="0.90600000000000003"/>
    <n v="4932"/>
    <n v="67"/>
    <n v="0.91400000000000003"/>
    <n v="0.41399999999999998"/>
    <s v="5.7266e-05"/>
    <n v="0.99994000000000005"/>
    <s v="21.792153030308693"/>
    <s v="14.13941472002182"/>
    <s v="88.44149512946028"/>
    <s v="3.044032403830986"/>
    <n v="749211483"/>
    <x v="0"/>
    <n v="3.3750932000000002E-4"/>
    <x v="0"/>
  </r>
  <r>
    <n v="54"/>
    <n v="0"/>
    <n v="1"/>
    <n v="0"/>
    <n v="1"/>
    <n v="5"/>
    <n v="0"/>
    <n v="43"/>
    <n v="3"/>
    <n v="3"/>
    <n v="2"/>
    <n v="5839"/>
    <n v="2130"/>
    <n v="3709"/>
    <n v="0.68700000000000006"/>
    <n v="1640"/>
    <n v="44"/>
    <n v="0.33300000000000002"/>
    <n v="0.36499999999999999"/>
    <n v="1.6415000000000001E-4"/>
    <n v="0.99983999999999995"/>
    <s v="0.2177362578314693"/>
    <s v="24.403717200425188"/>
    <s v="29.690141313700373"/>
    <s v="15.423437626952447"/>
    <n v="771976683"/>
    <x v="0"/>
    <n v="1.232702E-3"/>
    <x v="0"/>
  </r>
  <r>
    <n v="44"/>
    <n v="1"/>
    <n v="4"/>
    <n v="1"/>
    <n v="3"/>
    <n v="0"/>
    <n v="0"/>
    <n v="32"/>
    <n v="3"/>
    <n v="2"/>
    <n v="3"/>
    <n v="34516"/>
    <n v="1356"/>
    <n v="33160"/>
    <n v="1.169"/>
    <n v="1531"/>
    <n v="48"/>
    <n v="0.65500000000000003"/>
    <n v="3.9E-2"/>
    <n v="2.9051000000000001E-4"/>
    <n v="0.99970999999999999"/>
    <s v="27.46761857277872"/>
    <s v="2.990617727781803"/>
    <s v="63.01460634762499"/>
    <s v="2.860884733878561"/>
    <n v="789079758"/>
    <x v="0"/>
    <n v="1.1835846999999999E-3"/>
    <x v="0"/>
  </r>
  <r>
    <n v="43"/>
    <n v="0"/>
    <n v="3"/>
    <n v="6"/>
    <n v="1"/>
    <n v="1"/>
    <n v="0"/>
    <n v="32"/>
    <n v="3"/>
    <n v="2"/>
    <n v="4"/>
    <n v="4391"/>
    <n v="0"/>
    <n v="4391"/>
    <n v="0.75700000000000001"/>
    <n v="4741"/>
    <n v="78"/>
    <n v="0.81399999999999995"/>
    <n v="0"/>
    <n v="3.7246000000000002E-4"/>
    <n v="0.99963000000000002"/>
    <s v="4.492995005607591"/>
    <s v="61.02139400767864"/>
    <s v="74.31705749872755"/>
    <s v="14.806384237326302"/>
    <n v="713094483"/>
    <x v="0"/>
    <n v="6.9517245999999998E-4"/>
    <x v="0"/>
  </r>
  <r>
    <n v="43"/>
    <n v="0"/>
    <n v="3"/>
    <n v="3"/>
    <n v="1"/>
    <n v="4"/>
    <n v="3"/>
    <n v="31"/>
    <n v="3"/>
    <n v="3"/>
    <n v="4"/>
    <n v="13608"/>
    <n v="1190"/>
    <n v="12418"/>
    <n v="0.55300000000000005"/>
    <n v="3118"/>
    <n v="76"/>
    <n v="0.76700000000000002"/>
    <n v="8.6999999999999994E-2"/>
    <n v="4.7034000000000003E-4"/>
    <n v="0.99953000000000003"/>
    <s v="35.90616549131192"/>
    <n v="65.026026956332004"/>
    <s v="1.3808362792279607"/>
    <s v="4.199871870745756"/>
    <n v="708290208"/>
    <x v="0"/>
    <n v="3.5923626000000002E-4"/>
    <x v="0"/>
  </r>
  <r>
    <n v="65"/>
    <n v="1"/>
    <n v="1"/>
    <n v="3"/>
    <n v="1"/>
    <n v="1"/>
    <n v="0"/>
    <n v="53"/>
    <n v="3"/>
    <n v="3"/>
    <n v="3"/>
    <n v="3506"/>
    <n v="1604"/>
    <n v="1902"/>
    <n v="0.57399999999999995"/>
    <n v="1953"/>
    <n v="61"/>
    <n v="0.64900000000000002"/>
    <n v="0.45800000000000002"/>
    <n v="2.7604000000000002E-4"/>
    <n v="0.99972000000000005"/>
    <s v="19.197551414091595"/>
    <s v="51.95623552957183"/>
    <s v="151.01421728591333"/>
    <s v="23.61617022422643"/>
    <n v="709662708"/>
    <x v="0"/>
    <n v="4.1642736E-4"/>
    <x v="0"/>
  </r>
  <r>
    <n v="45"/>
    <n v="1"/>
    <n v="5"/>
    <n v="3"/>
    <n v="0"/>
    <n v="0"/>
    <n v="0"/>
    <n v="36"/>
    <n v="2"/>
    <n v="3"/>
    <n v="2"/>
    <n v="5287"/>
    <n v="0"/>
    <n v="5287"/>
    <n v="0.84099999999999997"/>
    <n v="8392"/>
    <n v="69"/>
    <n v="0.68300000000000005"/>
    <n v="0"/>
    <n v="0.99448999999999999"/>
    <n v="5.5100000000000001E-3"/>
    <s v="18.99986739798541"/>
    <s v="13.106229248168486"/>
    <s v="97.23717488041392"/>
    <n v="9.2884779168805292"/>
    <n v="714608583"/>
    <x v="1"/>
    <n v="0.995197"/>
    <x v="1"/>
  </r>
  <r>
    <n v="38"/>
    <n v="0"/>
    <n v="1"/>
    <n v="0"/>
    <n v="3"/>
    <n v="4"/>
    <n v="0"/>
    <n v="32"/>
    <n v="2"/>
    <n v="3"/>
    <n v="3"/>
    <n v="2609"/>
    <n v="1259"/>
    <n v="1350"/>
    <n v="0.871"/>
    <n v="8677"/>
    <n v="96"/>
    <n v="0.627"/>
    <n v="0.48299999999999998"/>
    <n v="2.7607E-4"/>
    <n v="0.99972000000000005"/>
    <s v="47.926494879344126"/>
    <s v="41.05226629912944"/>
    <n v="40.666079651477098"/>
    <s v="7.821317509225557"/>
    <n v="718388733"/>
    <x v="0"/>
    <n v="3.7789578000000003E-4"/>
    <x v="0"/>
  </r>
  <r>
    <n v="51"/>
    <n v="1"/>
    <n v="1"/>
    <n v="2"/>
    <n v="2"/>
    <n v="2"/>
    <n v="0"/>
    <n v="45"/>
    <n v="3"/>
    <n v="2"/>
    <n v="3"/>
    <n v="3228"/>
    <n v="2517"/>
    <n v="711"/>
    <n v="0.94899999999999995"/>
    <n v="1349"/>
    <n v="33"/>
    <n v="1.357"/>
    <n v="0.78"/>
    <n v="1.7969000000000001E-4"/>
    <n v="0.99982000000000004"/>
    <s v="44.20044562667045"/>
    <s v="48.19016704502148"/>
    <s v="63.13265592587472"/>
    <s v="18.40726425537925"/>
    <n v="793473033"/>
    <x v="0"/>
    <n v="1.0648312999999999E-3"/>
    <x v="0"/>
  </r>
  <r>
    <n v="40"/>
    <n v="1"/>
    <n v="3"/>
    <n v="2"/>
    <n v="1"/>
    <n v="2"/>
    <n v="0"/>
    <n v="36"/>
    <n v="4"/>
    <n v="4"/>
    <n v="4"/>
    <n v="2223"/>
    <n v="597"/>
    <n v="1626"/>
    <n v="0.57199999999999995"/>
    <n v="3331"/>
    <n v="67"/>
    <n v="0.67500000000000004"/>
    <n v="0.26900000000000002"/>
    <n v="6.4703000000000004E-4"/>
    <n v="0.99934999999999996"/>
    <s v="28.619773978942447"/>
    <s v="21.40250760045932"/>
    <s v="59.659915226418335"/>
    <s v="15.864215735098805"/>
    <n v="715174983"/>
    <x v="0"/>
    <n v="8.1708374999999995E-4"/>
    <x v="0"/>
  </r>
  <r>
    <n v="60"/>
    <n v="0"/>
    <n v="2"/>
    <n v="3"/>
    <n v="2"/>
    <n v="4"/>
    <n v="0"/>
    <n v="54"/>
    <n v="1"/>
    <n v="6"/>
    <n v="2"/>
    <n v="8141"/>
    <n v="1811"/>
    <n v="6330"/>
    <n v="1.0429999999999999"/>
    <n v="5043"/>
    <n v="53"/>
    <n v="0.432"/>
    <n v="0.222"/>
    <n v="0.99280999999999997"/>
    <n v="7.1900000000000002E-3"/>
    <s v="28.01773748939024"/>
    <n v="22.644450155856202"/>
    <n v="88.226571054413299"/>
    <s v="18.377284514252658"/>
    <n v="769152783"/>
    <x v="1"/>
    <n v="0.99354494000000004"/>
    <x v="1"/>
  </r>
  <r>
    <n v="39"/>
    <n v="0"/>
    <n v="1"/>
    <n v="2"/>
    <n v="2"/>
    <n v="1"/>
    <n v="0"/>
    <n v="33"/>
    <n v="6"/>
    <n v="3"/>
    <n v="2"/>
    <n v="2255"/>
    <n v="1258"/>
    <n v="997"/>
    <n v="0.96"/>
    <n v="4309"/>
    <n v="79"/>
    <n v="0.83699999999999997"/>
    <n v="0.55800000000000005"/>
    <n v="1.6882999999999999E-4"/>
    <n v="0.99983"/>
    <s v="20.19781345082579"/>
    <s v="46.52041529600005"/>
    <s v="11.711304450211824"/>
    <n v="7.2582774550811804"/>
    <n v="768412608"/>
    <x v="0"/>
    <n v="3.221314E-4"/>
    <x v="0"/>
  </r>
  <r>
    <n v="42"/>
    <n v="1"/>
    <n v="3"/>
    <n v="3"/>
    <n v="2"/>
    <n v="2"/>
    <n v="0"/>
    <n v="36"/>
    <n v="4"/>
    <n v="4"/>
    <n v="3"/>
    <n v="3337"/>
    <n v="795"/>
    <n v="2542"/>
    <n v="0.52400000000000002"/>
    <n v="3951"/>
    <n v="68"/>
    <n v="0.61899999999999999"/>
    <n v="0.23799999999999999"/>
    <n v="3.6877999999999998E-4"/>
    <n v="0.99963000000000002"/>
    <s v="50.34045852952576"/>
    <s v="8.519721504035457"/>
    <s v="74.11927186440118"/>
    <s v="5.353838137696499"/>
    <n v="708597558"/>
    <x v="0"/>
    <n v="5.3897389999999997E-4"/>
    <x v="0"/>
  </r>
  <r>
    <n v="38"/>
    <n v="1"/>
    <n v="2"/>
    <n v="3"/>
    <n v="1"/>
    <n v="2"/>
    <n v="0"/>
    <n v="33"/>
    <n v="6"/>
    <n v="3"/>
    <n v="4"/>
    <n v="5940"/>
    <n v="1101"/>
    <n v="4839"/>
    <n v="0.94199999999999995"/>
    <n v="1872"/>
    <n v="34"/>
    <n v="1.125"/>
    <n v="0.185"/>
    <n v="5.0162999999999998E-4"/>
    <n v="0.99950000000000006"/>
    <s v="30.049611598060974"/>
    <s v="28.354291685709143"/>
    <s v="106.1408509859768"/>
    <s v="1.979130012791908"/>
    <n v="716866308"/>
    <x v="0"/>
    <n v="9.8706899999999992E-4"/>
    <x v="0"/>
  </r>
  <r>
    <n v="39"/>
    <n v="1"/>
    <n v="1"/>
    <n v="3"/>
    <n v="1"/>
    <n v="0"/>
    <n v="0"/>
    <n v="34"/>
    <n v="4"/>
    <n v="2"/>
    <n v="2"/>
    <n v="3250"/>
    <n v="1698"/>
    <n v="1552"/>
    <n v="0.76700000000000002"/>
    <n v="2006"/>
    <n v="58"/>
    <n v="0.56799999999999995"/>
    <n v="0.52200000000000002"/>
    <n v="1.0386E-4"/>
    <n v="0.99990000000000001"/>
    <s v="10.22551295505764"/>
    <s v="15.861684178992462"/>
    <s v="26.85512224543903"/>
    <s v="1.1688937365514582"/>
    <n v="820622433"/>
    <x v="0"/>
    <n v="4.6903219999999999E-4"/>
    <x v="0"/>
  </r>
  <r>
    <n v="40"/>
    <n v="0"/>
    <n v="3"/>
    <n v="5"/>
    <n v="1"/>
    <n v="4"/>
    <n v="0"/>
    <n v="33"/>
    <n v="1"/>
    <n v="1"/>
    <n v="1"/>
    <n v="8712"/>
    <n v="991"/>
    <n v="7721"/>
    <n v="0.61499999999999999"/>
    <n v="14512"/>
    <n v="115"/>
    <n v="0.76900000000000002"/>
    <n v="0.114"/>
    <s v="3.5437e-05"/>
    <n v="0.99995999999999996"/>
    <s v="23.89243842416241"/>
    <s v="15.176321630188047"/>
    <s v="15.50066298257953"/>
    <s v="13.874860659935402"/>
    <n v="778563858"/>
    <x v="0"/>
    <n v="3.4656386999999997E-4"/>
    <x v="0"/>
  </r>
  <r>
    <n v="46"/>
    <n v="0"/>
    <n v="4"/>
    <n v="3"/>
    <n v="2"/>
    <n v="4"/>
    <n v="0"/>
    <n v="28"/>
    <n v="6"/>
    <n v="3"/>
    <n v="4"/>
    <n v="3206"/>
    <n v="0"/>
    <n v="3206"/>
    <n v="1.0649999999999999"/>
    <n v="3253"/>
    <n v="72"/>
    <n v="0.53200000000000003"/>
    <n v="0"/>
    <n v="5.2607999999999995E-4"/>
    <n v="0.99946999999999997"/>
    <n v="3.3522223944122"/>
    <s v="21.98545850797356"/>
    <s v="14.634783773551126"/>
    <s v="4.614826570139604"/>
    <n v="779449308"/>
    <x v="0"/>
    <n v="7.7666439999999996E-4"/>
    <x v="0"/>
  </r>
  <r>
    <n v="35"/>
    <n v="0"/>
    <n v="3"/>
    <n v="0"/>
    <n v="2"/>
    <n v="4"/>
    <n v="0"/>
    <n v="25"/>
    <n v="4"/>
    <n v="3"/>
    <n v="2"/>
    <n v="3611"/>
    <n v="2517"/>
    <n v="1094"/>
    <n v="0.53700000000000003"/>
    <n v="2178"/>
    <n v="45"/>
    <n v="0.55200000000000005"/>
    <n v="0.69699999999999995"/>
    <n v="0.99451999999999996"/>
    <n v="5.4799999999999996E-3"/>
    <s v="2.659959688673003"/>
    <n v="17.8798431566678"/>
    <s v="61.042611888737966"/>
    <s v="12.894666981367898"/>
    <n v="714213708"/>
    <x v="1"/>
    <n v="0.99535625999999999"/>
    <x v="1"/>
  </r>
  <r>
    <n v="52"/>
    <n v="0"/>
    <n v="1"/>
    <n v="2"/>
    <n v="2"/>
    <n v="4"/>
    <n v="0"/>
    <n v="36"/>
    <n v="1"/>
    <n v="3"/>
    <n v="3"/>
    <n v="6616"/>
    <n v="831"/>
    <n v="5785"/>
    <n v="0.70699999999999996"/>
    <n v="9065"/>
    <n v="85"/>
    <n v="0.73499999999999999"/>
    <n v="0.126"/>
    <n v="2.8394999999999999E-4"/>
    <n v="0.99972000000000005"/>
    <n v="8.4373419738632602"/>
    <s v="7.245955968338491"/>
    <s v="106.57830670931372"/>
    <s v="2.765331219336475"/>
    <n v="717140733"/>
    <x v="0"/>
    <n v="5.6219359999999999E-4"/>
    <x v="0"/>
  </r>
  <r>
    <n v="49"/>
    <n v="0"/>
    <n v="3"/>
    <n v="2"/>
    <n v="2"/>
    <n v="5"/>
    <n v="0"/>
    <n v="38"/>
    <n v="1"/>
    <n v="2"/>
    <n v="4"/>
    <n v="11025"/>
    <n v="0"/>
    <n v="11025"/>
    <n v="0.501"/>
    <n v="1902"/>
    <n v="28"/>
    <n v="0.27300000000000002"/>
    <n v="0"/>
    <n v="0.99705999999999995"/>
    <n v="2.9414100000000002E-3"/>
    <s v="14.839187643112924"/>
    <s v="20.316806703302863"/>
    <s v="2.5566337357277398"/>
    <s v="3.6172175862964977"/>
    <n v="713980383"/>
    <x v="1"/>
    <n v="0.99842569999999997"/>
    <x v="1"/>
  </r>
  <r>
    <n v="57"/>
    <n v="0"/>
    <n v="1"/>
    <n v="6"/>
    <n v="1"/>
    <n v="4"/>
    <n v="0"/>
    <n v="47"/>
    <n v="4"/>
    <n v="1"/>
    <n v="3"/>
    <n v="3416"/>
    <n v="2468"/>
    <n v="948"/>
    <n v="0.59799999999999998"/>
    <n v="1536"/>
    <n v="42"/>
    <n v="0.55600000000000005"/>
    <n v="0.72199999999999998"/>
    <s v="9.5577e-05"/>
    <n v="0.99990000000000001"/>
    <s v="20.453458889438693"/>
    <s v="33.16105913288311"/>
    <s v="34.90554123004242"/>
    <s v="5.599869389106401"/>
    <n v="789344358"/>
    <x v="0"/>
    <n v="1.1011294999999999E-3"/>
    <x v="0"/>
  </r>
  <r>
    <n v="32"/>
    <n v="0"/>
    <n v="0"/>
    <n v="5"/>
    <n v="1"/>
    <n v="4"/>
    <n v="0"/>
    <n v="23"/>
    <n v="5"/>
    <n v="2"/>
    <n v="4"/>
    <n v="2156"/>
    <n v="1114"/>
    <n v="1042"/>
    <n v="0.60299999999999998"/>
    <n v="4106"/>
    <n v="66"/>
    <n v="0.83299999999999996"/>
    <n v="0.51700000000000002"/>
    <n v="2.8813999999999999E-4"/>
    <n v="0.99970999999999999"/>
    <n v="7.7117863058196603"/>
    <s v="6.397544890805187"/>
    <s v="40.65734292302457"/>
    <s v="5.875144400990608"/>
    <n v="787918158"/>
    <x v="0"/>
    <n v="3.2101269999999999E-4"/>
    <x v="0"/>
  </r>
  <r>
    <n v="44"/>
    <n v="1"/>
    <n v="5"/>
    <n v="6"/>
    <n v="2"/>
    <n v="3"/>
    <n v="0"/>
    <n v="32"/>
    <n v="5"/>
    <n v="3"/>
    <n v="2"/>
    <n v="14910"/>
    <n v="877"/>
    <n v="14033"/>
    <n v="0.77200000000000002"/>
    <n v="1150"/>
    <n v="26"/>
    <n v="0.625"/>
    <n v="5.8999999999999997E-2"/>
    <n v="2.0411999999999999E-4"/>
    <n v="0.99980000000000002"/>
    <s v="76.90481848731002"/>
    <s v="33.81581610072719"/>
    <s v="4.684890664930327"/>
    <s v="16.052238715152445"/>
    <n v="789129033"/>
    <x v="0"/>
    <n v="1.5996713999999999E-3"/>
    <x v="0"/>
  </r>
  <r>
    <n v="44"/>
    <n v="0"/>
    <n v="1"/>
    <n v="6"/>
    <n v="2"/>
    <n v="4"/>
    <n v="0"/>
    <n v="31"/>
    <n v="6"/>
    <n v="3"/>
    <n v="1"/>
    <n v="1438.3"/>
    <n v="0"/>
    <n v="1438.3"/>
    <n v="0.56100000000000005"/>
    <n v="3576"/>
    <n v="55"/>
    <n v="0.83299999999999996"/>
    <n v="0"/>
    <n v="1.1192E-4"/>
    <n v="0.99988999999999995"/>
    <s v="49.95720210858676"/>
    <s v="24.836538148449936"/>
    <s v="16.582868561821048"/>
    <s v="8.049822259415073"/>
    <n v="718285308"/>
    <x v="0"/>
    <n v="1.3507205999999999E-3"/>
    <x v="0"/>
  </r>
  <r>
    <n v="51"/>
    <n v="1"/>
    <n v="0"/>
    <n v="0"/>
    <n v="1"/>
    <n v="0"/>
    <n v="3"/>
    <n v="35"/>
    <n v="5"/>
    <n v="1"/>
    <n v="2"/>
    <n v="34516"/>
    <n v="2332"/>
    <n v="32184"/>
    <n v="0.8"/>
    <n v="4587"/>
    <n v="82"/>
    <n v="0.745"/>
    <n v="6.8000000000000005E-2"/>
    <s v="4.1519e-05"/>
    <n v="0.99995999999999996"/>
    <s v="21.937878678822525"/>
    <s v="42.07045706193741"/>
    <s v="41.39870559982664"/>
    <s v="3.9040941550567743"/>
    <n v="779885358"/>
    <x v="0"/>
    <n v="3.5729867999999997E-4"/>
    <x v="0"/>
  </r>
  <r>
    <n v="53"/>
    <n v="1"/>
    <n v="0"/>
    <n v="2"/>
    <n v="2"/>
    <n v="2"/>
    <n v="0"/>
    <n v="35"/>
    <n v="3"/>
    <n v="1"/>
    <n v="3"/>
    <n v="17721"/>
    <n v="596"/>
    <n v="17125"/>
    <n v="0.69399999999999995"/>
    <n v="14409"/>
    <n v="83"/>
    <n v="0.84399999999999997"/>
    <n v="3.4000000000000002E-2"/>
    <s v="7.9494e-05"/>
    <n v="0.99992000000000003"/>
    <s v="14.131466957298304"/>
    <s v="32.417299558528406"/>
    <s v="89.42036570983161"/>
    <s v="4.233729487240695"/>
    <n v="709589208"/>
    <x v="0"/>
    <n v="7.1784400000000003E-4"/>
    <x v="0"/>
  </r>
  <r>
    <n v="39"/>
    <n v="0"/>
    <n v="2"/>
    <n v="6"/>
    <n v="1"/>
    <n v="4"/>
    <n v="0"/>
    <n v="19"/>
    <n v="5"/>
    <n v="3"/>
    <n v="1"/>
    <n v="3156"/>
    <n v="2095"/>
    <n v="1061"/>
    <n v="1.2809999999999999"/>
    <n v="2739"/>
    <n v="56"/>
    <n v="0.75"/>
    <n v="0.66400000000000003"/>
    <n v="1.1924E-4"/>
    <n v="0.99987999999999999"/>
    <s v="2.6214596596379987"/>
    <s v="27.348336633232115"/>
    <s v="16.67314158123186"/>
    <s v="7.736999440378275"/>
    <n v="778728783"/>
    <x v="0"/>
    <n v="4.8800782000000002E-4"/>
    <x v="0"/>
  </r>
  <r>
    <n v="43"/>
    <n v="0"/>
    <n v="1"/>
    <n v="3"/>
    <n v="0"/>
    <n v="4"/>
    <n v="3"/>
    <n v="35"/>
    <n v="3"/>
    <n v="2"/>
    <n v="2"/>
    <n v="10514"/>
    <n v="1580"/>
    <n v="8934"/>
    <n v="0.504"/>
    <n v="1229"/>
    <n v="27"/>
    <n v="0.8"/>
    <n v="0.15"/>
    <s v="9.3844e-05"/>
    <n v="0.99990999999999997"/>
    <s v="13.862599299752056"/>
    <s v="38.27741502309087"/>
    <s v="52.37945850676815"/>
    <s v="23.54775259130121"/>
    <n v="711441333"/>
    <x v="0"/>
    <n v="1.0249399E-3"/>
    <x v="0"/>
  </r>
  <r>
    <n v="52"/>
    <n v="1"/>
    <n v="2"/>
    <n v="2"/>
    <n v="1"/>
    <n v="3"/>
    <n v="3"/>
    <n v="45"/>
    <n v="5"/>
    <n v="4"/>
    <n v="2"/>
    <n v="34516"/>
    <n v="1938"/>
    <n v="32578"/>
    <n v="0.80700000000000005"/>
    <n v="2275"/>
    <n v="46"/>
    <n v="0.438"/>
    <n v="5.6000000000000001E-2"/>
    <n v="1.9641999999999999E-4"/>
    <n v="0.99980000000000002"/>
    <s v="12.263854178392863"/>
    <s v="4.980606555201403"/>
    <s v="48.60963821799286"/>
    <s v="13.052463794373637"/>
    <n v="714926508"/>
    <x v="0"/>
    <n v="1.6691644E-3"/>
    <x v="0"/>
  </r>
  <r>
    <n v="49"/>
    <n v="1"/>
    <n v="0"/>
    <n v="6"/>
    <n v="1"/>
    <n v="2"/>
    <n v="0"/>
    <n v="39"/>
    <n v="6"/>
    <n v="2"/>
    <n v="4"/>
    <n v="10177"/>
    <n v="1748"/>
    <n v="8429"/>
    <n v="0.622"/>
    <n v="3557"/>
    <n v="64"/>
    <n v="0.93899999999999995"/>
    <n v="0.17199999999999999"/>
    <n v="3.0802999999999999E-4"/>
    <n v="0.99968999999999997"/>
    <s v="16.62139353299446"/>
    <s v="61.39576327154827"/>
    <s v="50.90385623492862"/>
    <s v="0.5854109286339888"/>
    <n v="779995833"/>
    <x v="0"/>
    <n v="3.3750320000000002E-4"/>
    <x v="0"/>
  </r>
  <r>
    <n v="39"/>
    <n v="0"/>
    <n v="4"/>
    <n v="2"/>
    <n v="1"/>
    <n v="1"/>
    <n v="0"/>
    <n v="29"/>
    <n v="4"/>
    <n v="4"/>
    <n v="3"/>
    <n v="2385"/>
    <n v="1971"/>
    <n v="414"/>
    <n v="0.61299999999999999"/>
    <n v="3711"/>
    <n v="81"/>
    <n v="0.65300000000000002"/>
    <n v="0.82599999999999996"/>
    <n v="3.834E-4"/>
    <n v="0.99961999999999995"/>
    <s v="7.588116903897376"/>
    <s v="97.80910257773256"/>
    <s v="20.61610660777959"/>
    <s v="1.7772866163350254"/>
    <n v="718065333"/>
    <x v="0"/>
    <n v="3.2101269999999999E-4"/>
    <x v="0"/>
  </r>
  <r>
    <n v="31"/>
    <n v="1"/>
    <n v="0"/>
    <n v="3"/>
    <n v="0"/>
    <n v="4"/>
    <n v="0"/>
    <n v="22"/>
    <n v="3"/>
    <n v="2"/>
    <n v="3"/>
    <n v="6012"/>
    <n v="0"/>
    <n v="6012"/>
    <n v="0.96799999999999997"/>
    <n v="2801"/>
    <n v="72"/>
    <n v="0.67400000000000004"/>
    <n v="0"/>
    <n v="1.5970000000000001E-4"/>
    <n v="0.99983999999999995"/>
    <s v="24.93237712633937"/>
    <s v="97.72450860930628"/>
    <s v="103.74876651756186"/>
    <s v="6.380945323167098"/>
    <n v="717338733"/>
    <x v="0"/>
    <n v="9.0618410000000002E-4"/>
    <x v="0"/>
  </r>
  <r>
    <n v="41"/>
    <n v="0"/>
    <n v="4"/>
    <n v="5"/>
    <n v="3"/>
    <n v="1"/>
    <n v="0"/>
    <n v="29"/>
    <n v="4"/>
    <n v="3"/>
    <n v="2"/>
    <n v="2430"/>
    <n v="0"/>
    <n v="2430"/>
    <n v="0.56899999999999995"/>
    <n v="4334"/>
    <n v="71"/>
    <n v="0.57799999999999996"/>
    <n v="0"/>
    <n v="1.9395999999999999E-4"/>
    <n v="0.99980999999999998"/>
    <s v="8.369549360410522"/>
    <s v="11.060767941743505"/>
    <s v="71.19737313955129"/>
    <s v="1.7168863371524203"/>
    <n v="716178483"/>
    <x v="0"/>
    <n v="7.9661230000000003E-4"/>
    <x v="0"/>
  </r>
  <r>
    <n v="43"/>
    <n v="0"/>
    <n v="2"/>
    <n v="5"/>
    <n v="2"/>
    <n v="1"/>
    <n v="0"/>
    <n v="29"/>
    <n v="6"/>
    <n v="3"/>
    <n v="2"/>
    <n v="2162"/>
    <n v="1377"/>
    <n v="785"/>
    <n v="0.6"/>
    <n v="1555"/>
    <n v="29"/>
    <n v="0.70599999999999996"/>
    <n v="0.63700000000000001"/>
    <n v="1.8494E-4"/>
    <n v="0.99982000000000004"/>
    <s v="20.29443145112193"/>
    <s v="32.78698674496356"/>
    <s v="63.36907304235605"/>
    <s v="13.766813277640242"/>
    <n v="721120008"/>
    <x v="0"/>
    <n v="1.0337284E-3"/>
    <x v="0"/>
  </r>
  <r>
    <n v="49"/>
    <n v="0"/>
    <n v="3"/>
    <n v="2"/>
    <n v="0"/>
    <n v="4"/>
    <n v="0"/>
    <n v="36"/>
    <n v="3"/>
    <n v="3"/>
    <n v="3"/>
    <n v="1438.3"/>
    <n v="0"/>
    <n v="1438.3"/>
    <n v="0.40899999999999997"/>
    <n v="1849"/>
    <n v="43"/>
    <n v="0.53600000000000003"/>
    <n v="0"/>
    <n v="0.99682999999999999"/>
    <n v="3.1745800000000002E-3"/>
    <s v="29.52065038797704"/>
    <n v="14.482504711126101"/>
    <s v="23.47640287307465"/>
    <s v="19.32868086663354"/>
    <n v="713847858"/>
    <x v="1"/>
    <n v="0.99860470000000001"/>
    <x v="1"/>
  </r>
  <r>
    <n v="36"/>
    <n v="0"/>
    <n v="2"/>
    <n v="4"/>
    <n v="1"/>
    <n v="4"/>
    <n v="0"/>
    <n v="25"/>
    <n v="5"/>
    <n v="3"/>
    <n v="4"/>
    <n v="4701"/>
    <n v="1492"/>
    <n v="3209"/>
    <n v="0.80500000000000005"/>
    <n v="1679"/>
    <n v="32"/>
    <n v="0.45500000000000002"/>
    <n v="0.317"/>
    <n v="6.0711999999999995E-4"/>
    <n v="0.99939"/>
    <s v="16.943602964622908"/>
    <s v="62.72834693227647"/>
    <s v="2.280868797715304"/>
    <s v="9.029462746086546"/>
    <n v="713834358"/>
    <x v="0"/>
    <n v="1.2715497999999999E-3"/>
    <x v="0"/>
  </r>
  <r>
    <n v="49"/>
    <n v="0"/>
    <n v="1"/>
    <n v="6"/>
    <n v="1"/>
    <n v="4"/>
    <n v="0"/>
    <n v="37"/>
    <n v="5"/>
    <n v="5"/>
    <n v="2"/>
    <n v="3208"/>
    <n v="0"/>
    <n v="3208"/>
    <n v="0.92300000000000004"/>
    <n v="4531"/>
    <n v="86"/>
    <n v="0.83"/>
    <n v="0"/>
    <n v="2.0728000000000001E-4"/>
    <n v="0.99978999999999996"/>
    <n v="19.834545759330101"/>
    <s v="90.25037481150144"/>
    <s v="104.67439980437304"/>
    <n v="2.0402616509360998"/>
    <n v="719973033"/>
    <x v="0"/>
    <n v="7.4699510000000001E-4"/>
    <x v="0"/>
  </r>
  <r>
    <n v="51"/>
    <n v="1"/>
    <n v="0"/>
    <n v="5"/>
    <n v="0"/>
    <n v="0"/>
    <n v="0"/>
    <n v="41"/>
    <n v="4"/>
    <n v="1"/>
    <n v="0"/>
    <n v="23898"/>
    <n v="0"/>
    <n v="23898"/>
    <n v="0.48599999999999999"/>
    <n v="3781"/>
    <n v="66"/>
    <n v="0.61"/>
    <n v="0"/>
    <s v="1.7925e-05"/>
    <n v="0.99997999999999998"/>
    <s v="22.58018506035572"/>
    <s v="104.3383243178004"/>
    <s v="14.864061096707264"/>
    <s v="11.158925680579248"/>
    <n v="710058033"/>
    <x v="0"/>
    <n v="7.686247E-4"/>
    <x v="0"/>
  </r>
  <r>
    <n v="57"/>
    <n v="1"/>
    <n v="2"/>
    <n v="2"/>
    <n v="2"/>
    <n v="0"/>
    <n v="0"/>
    <n v="51"/>
    <n v="3"/>
    <n v="5"/>
    <n v="3"/>
    <n v="8760"/>
    <n v="0"/>
    <n v="8760"/>
    <n v="0.72599999999999998"/>
    <n v="2460"/>
    <n v="39"/>
    <n v="0.56000000000000005"/>
    <n v="0"/>
    <n v="0.99704999999999999"/>
    <n v="2.9499700000000001E-3"/>
    <s v="35.60290821130045"/>
    <s v="28.26122464185224"/>
    <s v="11.177741009979083"/>
    <s v="18.54705559693789"/>
    <n v="802673508"/>
    <x v="1"/>
    <n v="0.99876772999999996"/>
    <x v="1"/>
  </r>
  <r>
    <n v="49"/>
    <n v="1"/>
    <n v="4"/>
    <n v="5"/>
    <n v="1"/>
    <n v="3"/>
    <n v="0"/>
    <n v="39"/>
    <n v="2"/>
    <n v="3"/>
    <n v="2"/>
    <n v="8561"/>
    <n v="915"/>
    <n v="7646"/>
    <n v="0.63700000000000001"/>
    <n v="7341"/>
    <n v="79"/>
    <n v="0.49099999999999999"/>
    <n v="0.107"/>
    <n v="1.9395999999999999E-4"/>
    <n v="0.99980999999999998"/>
    <s v="18.338212555563995"/>
    <s v="57.43572950155813"/>
    <s v="67.59104893580978"/>
    <s v="0.4008497267356926"/>
    <n v="710357208"/>
    <x v="0"/>
    <n v="6.8612990000000004E-4"/>
    <x v="0"/>
  </r>
  <r>
    <n v="45"/>
    <n v="0"/>
    <n v="4"/>
    <n v="3"/>
    <n v="2"/>
    <n v="4"/>
    <n v="3"/>
    <n v="36"/>
    <n v="2"/>
    <n v="5"/>
    <n v="2"/>
    <n v="14416"/>
    <n v="0"/>
    <n v="14416"/>
    <n v="0.78800000000000003"/>
    <n v="13820"/>
    <n v="99"/>
    <n v="0.65"/>
    <n v="0"/>
    <n v="1.8508000000000001E-4"/>
    <n v="0.99980999999999998"/>
    <s v="12.965892889133688"/>
    <s v="30.09695165289932"/>
    <s v="11.387742090152184"/>
    <s v="15.738727525581762"/>
    <n v="716441058"/>
    <x v="0"/>
    <n v="7.5047980000000002E-4"/>
    <x v="0"/>
  </r>
  <r>
    <n v="47"/>
    <n v="1"/>
    <n v="3"/>
    <n v="2"/>
    <n v="2"/>
    <n v="0"/>
    <n v="0"/>
    <n v="36"/>
    <n v="6"/>
    <n v="2"/>
    <n v="4"/>
    <n v="34516"/>
    <n v="933"/>
    <n v="33583"/>
    <n v="0.94599999999999995"/>
    <n v="1804"/>
    <n v="32"/>
    <n v="0.6"/>
    <n v="2.7E-2"/>
    <n v="3.3886000000000002E-4"/>
    <n v="0.99965999999999999"/>
    <n v="36.644454457308399"/>
    <s v="30.082583262200966"/>
    <s v="31.02860875001003"/>
    <s v="20.64158626565587"/>
    <n v="721310283"/>
    <x v="0"/>
    <n v="1.4996228E-3"/>
    <x v="0"/>
  </r>
  <r>
    <n v="26"/>
    <n v="1"/>
    <n v="0"/>
    <n v="0"/>
    <n v="2"/>
    <n v="5"/>
    <n v="0"/>
    <n v="13"/>
    <n v="6"/>
    <n v="3"/>
    <n v="2"/>
    <n v="2347"/>
    <n v="0"/>
    <n v="2347"/>
    <n v="0.86299999999999999"/>
    <n v="2595"/>
    <n v="56"/>
    <n v="0.33300000000000002"/>
    <n v="0"/>
    <n v="1.5007E-4"/>
    <n v="0.99985000000000002"/>
    <s v="2.786287435340515"/>
    <s v="12.83902264503194"/>
    <s v="1.4226238041517585"/>
    <s v="21.18213022937876"/>
    <n v="787509408"/>
    <x v="0"/>
    <n v="1.8284885E-3"/>
    <x v="0"/>
  </r>
  <r>
    <n v="57"/>
    <n v="1"/>
    <n v="3"/>
    <n v="2"/>
    <n v="1"/>
    <n v="2"/>
    <n v="0"/>
    <n v="49"/>
    <n v="5"/>
    <n v="0"/>
    <n v="3"/>
    <n v="8701"/>
    <n v="215"/>
    <n v="8486"/>
    <n v="0.52700000000000002"/>
    <n v="1999"/>
    <n v="41"/>
    <n v="0.41399999999999998"/>
    <n v="2.5000000000000001E-2"/>
    <n v="0.97265999999999997"/>
    <n v="2.734E-2"/>
    <n v="36.9145643814959"/>
    <s v="46.31098756569058"/>
    <s v="30.24177704141477"/>
    <s v="0.1886400977212323"/>
    <n v="709536483"/>
    <x v="1"/>
    <n v="0.99866544999999995"/>
    <x v="1"/>
  </r>
  <r>
    <n v="56"/>
    <n v="0"/>
    <n v="1"/>
    <n v="0"/>
    <n v="2"/>
    <n v="4"/>
    <n v="0"/>
    <n v="48"/>
    <n v="4"/>
    <n v="2"/>
    <n v="2"/>
    <n v="2783"/>
    <n v="1763"/>
    <n v="1020"/>
    <n v="0.34399999999999997"/>
    <n v="3967"/>
    <n v="42"/>
    <n v="0.4"/>
    <n v="0.63300000000000001"/>
    <n v="0.99046999999999996"/>
    <n v="9.5300000000000003E-3"/>
    <s v="32.629854026848925"/>
    <s v="3.046947292273519"/>
    <s v="44.62289792829321"/>
    <s v="13.382713623454483"/>
    <n v="718732833"/>
    <x v="1"/>
    <n v="0.99498980000000004"/>
    <x v="1"/>
  </r>
  <r>
    <n v="49"/>
    <n v="0"/>
    <n v="4"/>
    <n v="2"/>
    <n v="1"/>
    <n v="4"/>
    <n v="0"/>
    <n v="34"/>
    <n v="3"/>
    <n v="1"/>
    <n v="3"/>
    <n v="2560"/>
    <n v="1430"/>
    <n v="1130"/>
    <n v="0.76600000000000001"/>
    <n v="4783"/>
    <n v="86"/>
    <n v="0.79200000000000004"/>
    <n v="0.55900000000000005"/>
    <s v="9.7154e-05"/>
    <n v="0.99990000000000001"/>
    <s v="20.54187856049577"/>
    <s v="49.93643784463308"/>
    <n v="96.013316678286799"/>
    <s v="12.836474351318325"/>
    <n v="794558658"/>
    <x v="0"/>
    <n v="3.2101269999999999E-4"/>
    <x v="0"/>
  </r>
  <r>
    <n v="44"/>
    <n v="0"/>
    <n v="4"/>
    <n v="5"/>
    <n v="1"/>
    <n v="5"/>
    <n v="0"/>
    <n v="33"/>
    <n v="1"/>
    <n v="2"/>
    <n v="1"/>
    <n v="8230"/>
    <n v="1333"/>
    <n v="6897"/>
    <n v="0.69199999999999995"/>
    <n v="7736"/>
    <n v="84"/>
    <n v="0.68"/>
    <n v="0.16200000000000001"/>
    <s v="7.4017e-05"/>
    <n v="0.99992999999999999"/>
    <s v="39.17623071896479"/>
    <s v="39.16049889205888"/>
    <s v="118.41511561227688"/>
    <s v="7.174621078826898"/>
    <n v="772098858"/>
    <x v="0"/>
    <n v="3.6856539999999998E-4"/>
    <x v="0"/>
  </r>
  <r>
    <n v="45"/>
    <n v="0"/>
    <n v="3"/>
    <n v="6"/>
    <n v="1"/>
    <n v="4"/>
    <n v="0"/>
    <n v="31"/>
    <n v="4"/>
    <n v="3"/>
    <n v="3"/>
    <n v="5941"/>
    <n v="0"/>
    <n v="5941"/>
    <n v="0.52200000000000002"/>
    <n v="2196"/>
    <n v="37"/>
    <n v="0.23300000000000001"/>
    <n v="0"/>
    <n v="0.99711000000000005"/>
    <n v="2.8889200000000001E-3"/>
    <s v="24.338979835869548"/>
    <s v="22.077888257459666"/>
    <s v="119.42359625688395"/>
    <s v="4.466211046632953"/>
    <n v="719604858"/>
    <x v="1"/>
    <n v="0.99873226999999998"/>
    <x v="1"/>
  </r>
  <r>
    <n v="44"/>
    <n v="0"/>
    <n v="3"/>
    <n v="2"/>
    <n v="1"/>
    <n v="5"/>
    <n v="3"/>
    <n v="34"/>
    <n v="2"/>
    <n v="2"/>
    <n v="1"/>
    <n v="31699"/>
    <n v="1976"/>
    <n v="29723"/>
    <n v="0.81100000000000005"/>
    <n v="13653"/>
    <n v="113"/>
    <n v="0.68700000000000006"/>
    <n v="6.2E-2"/>
    <s v="6.4357e-05"/>
    <n v="0.99994000000000005"/>
    <s v="3.917486594622389"/>
    <s v="75.83390761250062"/>
    <s v="24.341864817152278"/>
    <s v="14.790791028433128"/>
    <n v="712990458"/>
    <x v="0"/>
    <n v="3.8573547000000003E-4"/>
    <x v="0"/>
  </r>
  <r>
    <n v="46"/>
    <n v="1"/>
    <n v="2"/>
    <n v="5"/>
    <n v="2"/>
    <n v="2"/>
    <n v="0"/>
    <n v="35"/>
    <n v="1"/>
    <n v="1"/>
    <n v="1"/>
    <n v="5131"/>
    <n v="1484"/>
    <n v="3647"/>
    <n v="0.75"/>
    <n v="7432"/>
    <n v="92"/>
    <n v="0.55900000000000005"/>
    <n v="0.28899999999999998"/>
    <s v="3.415e-05"/>
    <n v="0.99997000000000003"/>
    <s v="7.509362435194901"/>
    <s v="54.18053217766106"/>
    <s v="50.912146921932006"/>
    <s v="18.51137178134876"/>
    <n v="719838558"/>
    <x v="0"/>
    <n v="3.7789578000000003E-4"/>
    <x v="0"/>
  </r>
  <r>
    <n v="36"/>
    <n v="0"/>
    <n v="1"/>
    <n v="2"/>
    <n v="1"/>
    <n v="4"/>
    <n v="0"/>
    <n v="29"/>
    <n v="4"/>
    <n v="2"/>
    <n v="3"/>
    <n v="1493"/>
    <n v="0"/>
    <n v="1493"/>
    <n v="0.72099999999999997"/>
    <n v="2516"/>
    <n v="63"/>
    <n v="0.57499999999999996"/>
    <n v="0"/>
    <n v="0.99446999999999997"/>
    <n v="5.5300000000000002E-3"/>
    <s v="0.4275755857861066"/>
    <s v="47.82885033965388"/>
    <s v="91.94985135502124"/>
    <n v="9.5795543666576606"/>
    <n v="757710783"/>
    <x v="1"/>
    <n v="0.99408890000000005"/>
    <x v="1"/>
  </r>
  <r>
    <n v="59"/>
    <n v="1"/>
    <n v="1"/>
    <n v="5"/>
    <n v="2"/>
    <n v="4"/>
    <n v="0"/>
    <n v="53"/>
    <n v="5"/>
    <n v="5"/>
    <n v="4"/>
    <n v="2192"/>
    <n v="1569"/>
    <n v="623"/>
    <n v="0.70599999999999996"/>
    <n v="4010"/>
    <n v="79"/>
    <n v="0.71699999999999997"/>
    <n v="0.71599999999999997"/>
    <n v="5.5621000000000002E-4"/>
    <n v="0.99944"/>
    <s v="67.12020308353864"/>
    <s v="28.499179457858745"/>
    <s v="76.38599225243568"/>
    <s v="4.942834375569315"/>
    <n v="773503308"/>
    <x v="0"/>
    <n v="3.2101269999999999E-4"/>
    <x v="0"/>
  </r>
  <r>
    <n v="44"/>
    <n v="1"/>
    <n v="3"/>
    <n v="2"/>
    <n v="1"/>
    <n v="1"/>
    <n v="0"/>
    <n v="27"/>
    <n v="4"/>
    <n v="2"/>
    <n v="3"/>
    <n v="10747"/>
    <n v="1603"/>
    <n v="9144"/>
    <n v="0.47099999999999997"/>
    <n v="1340"/>
    <n v="25"/>
    <n v="0.92300000000000004"/>
    <n v="0.14899999999999999"/>
    <n v="1.9864000000000001E-4"/>
    <n v="0.99980000000000002"/>
    <s v="24.05631677122284"/>
    <s v="8.820935401561233"/>
    <s v="122.26179614130012"/>
    <s v="3.203736314132097"/>
    <n v="709207458"/>
    <x v="0"/>
    <n v="9.8706899999999992E-4"/>
    <x v="0"/>
  </r>
  <r>
    <n v="53"/>
    <n v="1"/>
    <n v="1"/>
    <n v="2"/>
    <n v="1"/>
    <n v="3"/>
    <n v="0"/>
    <n v="42"/>
    <n v="2"/>
    <n v="1"/>
    <n v="2"/>
    <n v="6214"/>
    <n v="1147"/>
    <n v="5067"/>
    <n v="0.86099999999999999"/>
    <n v="938"/>
    <n v="35"/>
    <n v="0.75"/>
    <n v="0.185"/>
    <n v="0.98102"/>
    <n v="1.898E-2"/>
    <s v="64.50777379944118"/>
    <s v="32.94531817673834"/>
    <n v="67.251660266346207"/>
    <s v="14.001576457712636"/>
    <n v="709991883"/>
    <x v="1"/>
    <n v="0.99535200000000001"/>
    <x v="1"/>
  </r>
  <r>
    <n v="47"/>
    <n v="1"/>
    <n v="3"/>
    <n v="0"/>
    <n v="2"/>
    <n v="3"/>
    <n v="0"/>
    <n v="38"/>
    <n v="5"/>
    <n v="3"/>
    <n v="3"/>
    <n v="8185"/>
    <n v="1556"/>
    <n v="6629"/>
    <n v="0.80600000000000005"/>
    <n v="4527"/>
    <n v="83"/>
    <n v="0.93"/>
    <n v="0.19"/>
    <n v="3.0519E-4"/>
    <n v="0.99968999999999997"/>
    <s v="13.625570634903692"/>
    <s v="13.667998728695146"/>
    <s v="32.99258223622057"/>
    <s v="7.006790238229213"/>
    <n v="718396533"/>
    <x v="0"/>
    <n v="3.2101269999999999E-4"/>
    <x v="0"/>
  </r>
  <r>
    <n v="46"/>
    <n v="0"/>
    <n v="3"/>
    <n v="3"/>
    <n v="2"/>
    <n v="4"/>
    <n v="0"/>
    <n v="36"/>
    <n v="2"/>
    <n v="2"/>
    <n v="3"/>
    <n v="6218"/>
    <n v="2517"/>
    <n v="3701"/>
    <n v="0.71599999999999997"/>
    <n v="7689"/>
    <n v="84"/>
    <n v="0.68"/>
    <n v="0.40500000000000003"/>
    <n v="1.9311E-4"/>
    <n v="0.99980999999999998"/>
    <s v="82.46056355172385"/>
    <s v="7.900135430005981"/>
    <s v="22.16136223402422"/>
    <s v="12.14449861501298"/>
    <n v="716691783"/>
    <x v="0"/>
    <n v="3.9831083000000002E-4"/>
    <x v="0"/>
  </r>
  <r>
    <n v="59"/>
    <n v="0"/>
    <n v="0"/>
    <n v="3"/>
    <n v="2"/>
    <n v="5"/>
    <n v="0"/>
    <n v="36"/>
    <n v="4"/>
    <n v="3"/>
    <n v="1"/>
    <n v="10457"/>
    <n v="2148"/>
    <n v="8309"/>
    <n v="0.73699999999999999"/>
    <n v="4649"/>
    <n v="74"/>
    <n v="0.94699999999999995"/>
    <n v="0.20499999999999999"/>
    <s v="9.0493e-05"/>
    <n v="0.99990999999999997"/>
    <s v="16.954926146262906"/>
    <s v="27.845519884461236"/>
    <s v="108.54931676278568"/>
    <s v="21.92752283276139"/>
    <n v="709614333"/>
    <x v="0"/>
    <n v="3.2101269999999999E-4"/>
    <x v="0"/>
  </r>
  <r>
    <n v="34"/>
    <n v="0"/>
    <n v="0"/>
    <n v="6"/>
    <n v="1"/>
    <n v="4"/>
    <n v="0"/>
    <n v="26"/>
    <n v="5"/>
    <n v="3"/>
    <n v="1"/>
    <n v="2291"/>
    <n v="0"/>
    <n v="2291"/>
    <n v="0.89200000000000002"/>
    <n v="5409"/>
    <n v="82"/>
    <n v="0.82199999999999995"/>
    <n v="0"/>
    <n v="1.0232E-4"/>
    <n v="0.99990000000000001"/>
    <s v="8.904905203256119"/>
    <s v="17.482377447445188"/>
    <n v="87.728920183060097"/>
    <s v="20.96784663181715"/>
    <n v="709781208"/>
    <x v="0"/>
    <n v="8.1259577000000001E-4"/>
    <x v="0"/>
  </r>
  <r>
    <n v="49"/>
    <n v="0"/>
    <n v="2"/>
    <n v="6"/>
    <n v="2"/>
    <n v="4"/>
    <n v="0"/>
    <n v="44"/>
    <n v="5"/>
    <n v="2"/>
    <n v="3"/>
    <n v="9797"/>
    <n v="998"/>
    <n v="8799"/>
    <n v="0.88600000000000001"/>
    <n v="15013"/>
    <n v="116"/>
    <n v="0.84099999999999997"/>
    <n v="0.10199999999999999"/>
    <n v="2.1042000000000001E-4"/>
    <n v="0.99978999999999996"/>
    <s v="0.9924457614309692"/>
    <s v="51.70967695367728"/>
    <s v="18.374008077811112"/>
    <s v="11.552077895217648"/>
    <n v="819196158"/>
    <x v="0"/>
    <n v="3.6437239999999999E-4"/>
    <x v="0"/>
  </r>
  <r>
    <n v="48"/>
    <n v="0"/>
    <n v="3"/>
    <n v="2"/>
    <n v="0"/>
    <n v="5"/>
    <n v="0"/>
    <n v="41"/>
    <n v="3"/>
    <n v="4"/>
    <n v="3"/>
    <n v="7860"/>
    <n v="0"/>
    <n v="7860"/>
    <n v="0.59799999999999998"/>
    <n v="3512"/>
    <n v="76"/>
    <n v="0.61699999999999999"/>
    <n v="0"/>
    <n v="3.7934999999999998E-4"/>
    <n v="0.99961999999999995"/>
    <s v="1.8842941117523064"/>
    <s v="1.1440552451475705"/>
    <s v="36.68018776260124"/>
    <s v="14.152629697554191"/>
    <n v="765731433"/>
    <x v="0"/>
    <n v="7.1276520000000004E-4"/>
    <x v="0"/>
  </r>
  <r>
    <n v="42"/>
    <n v="0"/>
    <n v="3"/>
    <n v="3"/>
    <n v="2"/>
    <n v="4"/>
    <n v="0"/>
    <n v="37"/>
    <n v="1"/>
    <n v="3"/>
    <n v="1"/>
    <n v="3787"/>
    <n v="824"/>
    <n v="2963"/>
    <n v="0.80900000000000005"/>
    <n v="16220"/>
    <n v="120"/>
    <n v="0.69"/>
    <n v="0.218"/>
    <n v="1.0943E-4"/>
    <n v="0.99988999999999995"/>
    <s v="23.54799810225751"/>
    <s v="37.31519699289362"/>
    <s v="134.8674111533776"/>
    <s v="1.8448739447040063"/>
    <n v="810040908"/>
    <x v="0"/>
    <n v="5.5091554999999999E-4"/>
    <x v="0"/>
  </r>
  <r>
    <n v="43"/>
    <n v="1"/>
    <n v="3"/>
    <n v="2"/>
    <n v="1"/>
    <n v="3"/>
    <n v="0"/>
    <n v="26"/>
    <n v="5"/>
    <n v="3"/>
    <n v="2"/>
    <n v="2355"/>
    <n v="1090"/>
    <n v="1265"/>
    <n v="0.751"/>
    <n v="1441"/>
    <n v="29"/>
    <n v="0.81200000000000006"/>
    <n v="0.46300000000000002"/>
    <n v="1.8665000000000001E-4"/>
    <n v="0.99980999999999998"/>
    <s v="5.137998438651552"/>
    <n v="32.556603927944998"/>
    <s v="60.10422499439327"/>
    <s v="24.337924098891914"/>
    <n v="788808633"/>
    <x v="0"/>
    <n v="9.8706899999999992E-4"/>
    <x v="0"/>
  </r>
  <r>
    <n v="56"/>
    <n v="1"/>
    <n v="3"/>
    <n v="3"/>
    <n v="0"/>
    <n v="3"/>
    <n v="0"/>
    <n v="52"/>
    <n v="2"/>
    <n v="3"/>
    <n v="1"/>
    <n v="8111"/>
    <n v="2051"/>
    <n v="6060"/>
    <n v="0.999"/>
    <n v="3719"/>
    <n v="69"/>
    <n v="0.64300000000000002"/>
    <n v="0.253"/>
    <n v="1.0943E-4"/>
    <n v="0.99988999999999995"/>
    <s v="7.983340851598997"/>
    <s v="70.67921741842953"/>
    <s v="37.82725907348115"/>
    <s v="6.011455240167127"/>
    <n v="827442858"/>
    <x v="0"/>
    <n v="3.4605444000000002E-4"/>
    <x v="0"/>
  </r>
  <r>
    <n v="53"/>
    <n v="1"/>
    <n v="1"/>
    <n v="6"/>
    <n v="1"/>
    <n v="1"/>
    <n v="0"/>
    <n v="48"/>
    <n v="4"/>
    <n v="1"/>
    <n v="3"/>
    <n v="2522"/>
    <n v="1704"/>
    <n v="818"/>
    <n v="0.98799999999999999"/>
    <n v="4697"/>
    <n v="73"/>
    <n v="0.69799999999999995"/>
    <n v="0.67600000000000005"/>
    <s v="9.5577e-05"/>
    <n v="0.99990000000000001"/>
    <s v="7.824865338677121"/>
    <s v="87.49923354765576"/>
    <s v="33.985308351719894"/>
    <s v="15.69222462931404"/>
    <n v="718821783"/>
    <x v="0"/>
    <n v="3.221314E-4"/>
    <x v="0"/>
  </r>
  <r>
    <n v="47"/>
    <n v="1"/>
    <n v="3"/>
    <n v="3"/>
    <n v="1"/>
    <n v="2"/>
    <n v="0"/>
    <n v="39"/>
    <n v="2"/>
    <n v="3"/>
    <n v="2"/>
    <n v="10061"/>
    <n v="0"/>
    <n v="10061"/>
    <n v="0.78700000000000003"/>
    <n v="2802"/>
    <n v="52"/>
    <n v="0.52900000000000003"/>
    <n v="0"/>
    <n v="0.99451999999999996"/>
    <n v="5.4799999999999996E-3"/>
    <n v="9.7887168379579705"/>
    <s v="36.71126534072272"/>
    <s v="117.2214995619951"/>
    <s v="3.0400943460080923"/>
    <n v="718626033"/>
    <x v="1"/>
    <n v="0.99824869999999999"/>
    <x v="1"/>
  </r>
  <r>
    <n v="49"/>
    <n v="0"/>
    <n v="4"/>
    <n v="4"/>
    <n v="2"/>
    <n v="5"/>
    <n v="0"/>
    <n v="44"/>
    <n v="6"/>
    <n v="3"/>
    <n v="2"/>
    <n v="18206"/>
    <n v="1586"/>
    <n v="16620"/>
    <n v="0.92100000000000004"/>
    <n v="1439"/>
    <n v="48"/>
    <n v="1"/>
    <n v="8.6999999999999994E-2"/>
    <n v="2.2196E-4"/>
    <n v="0.99978"/>
    <s v="12.239042141112856"/>
    <s v="13.573243506071805"/>
    <s v="28.40340637100223"/>
    <s v="3.0680729692235413"/>
    <n v="809608533"/>
    <x v="0"/>
    <n v="1.0153692E-3"/>
    <x v="0"/>
  </r>
  <r>
    <n v="53"/>
    <n v="1"/>
    <n v="3"/>
    <n v="3"/>
    <n v="1"/>
    <n v="0"/>
    <n v="0"/>
    <n v="44"/>
    <n v="5"/>
    <n v="6"/>
    <n v="4"/>
    <n v="14057"/>
    <n v="1655"/>
    <n v="12402"/>
    <n v="0.67600000000000005"/>
    <n v="2073"/>
    <n v="60"/>
    <n v="0.33300000000000002"/>
    <n v="0.11799999999999999"/>
    <n v="4.1093E-4"/>
    <n v="0.99958999999999998"/>
    <s v="12.303633137271518"/>
    <s v="3.281219188023778"/>
    <s v="101.84220450498964"/>
    <s v="1.6651651933491385"/>
    <n v="719049033"/>
    <x v="0"/>
    <n v="4.7409310000000001E-4"/>
    <x v="0"/>
  </r>
  <r>
    <n v="49"/>
    <n v="1"/>
    <n v="3"/>
    <n v="3"/>
    <n v="2"/>
    <n v="0"/>
    <n v="0"/>
    <n v="45"/>
    <n v="3"/>
    <n v="2"/>
    <n v="2"/>
    <n v="14699"/>
    <n v="1049"/>
    <n v="13650"/>
    <n v="0.53400000000000003"/>
    <n v="4890"/>
    <n v="64"/>
    <n v="0.56100000000000005"/>
    <n v="7.0999999999999994E-2"/>
    <n v="1.1482E-4"/>
    <n v="0.99988999999999995"/>
    <s v="17.53676745010864"/>
    <s v="15.842167722972336"/>
    <s v="78.97693655417731"/>
    <s v="18.77916669870588"/>
    <n v="825785508"/>
    <x v="0"/>
    <n v="3.8516130999999998E-4"/>
    <x v="0"/>
  </r>
  <r>
    <n v="43"/>
    <n v="0"/>
    <n v="3"/>
    <n v="5"/>
    <n v="1"/>
    <n v="4"/>
    <n v="0"/>
    <n v="30"/>
    <n v="1"/>
    <n v="3"/>
    <n v="4"/>
    <n v="4579"/>
    <n v="1506"/>
    <n v="3073"/>
    <n v="0.443"/>
    <n v="1915"/>
    <n v="44"/>
    <n v="0.375"/>
    <n v="0.32900000000000001"/>
    <n v="0.99819000000000002"/>
    <n v="1.8121700000000001E-3"/>
    <n v="25.458356340576401"/>
    <s v="50.23196448579072"/>
    <s v="123.28254333544528"/>
    <s v="20.851493929188088"/>
    <n v="708831858"/>
    <x v="1"/>
    <n v="0.99498160000000002"/>
    <x v="1"/>
  </r>
  <r>
    <n v="52"/>
    <n v="0"/>
    <n v="1"/>
    <n v="2"/>
    <n v="2"/>
    <n v="4"/>
    <n v="0"/>
    <n v="40"/>
    <n v="1"/>
    <n v="2"/>
    <n v="2"/>
    <n v="2317"/>
    <n v="0"/>
    <n v="2317"/>
    <n v="1.0049999999999999"/>
    <n v="884"/>
    <n v="19"/>
    <n v="0.72699999999999998"/>
    <n v="0"/>
    <n v="0.99073"/>
    <n v="9.2700000000000005E-3"/>
    <s v="29.89758160776081"/>
    <s v="2.931602868065887"/>
    <s v="44.68439782108209"/>
    <s v="8.327054634559817"/>
    <n v="711791583"/>
    <x v="1"/>
    <n v="0.99855510000000003"/>
    <x v="1"/>
  </r>
  <r>
    <n v="31"/>
    <n v="1"/>
    <n v="0"/>
    <n v="2"/>
    <n v="0"/>
    <n v="2"/>
    <n v="0"/>
    <n v="24"/>
    <n v="6"/>
    <n v="2"/>
    <n v="2"/>
    <n v="4232"/>
    <n v="2092"/>
    <n v="2140"/>
    <n v="0.60399999999999998"/>
    <n v="2565"/>
    <n v="69"/>
    <n v="0.86499999999999999"/>
    <n v="0.49399999999999999"/>
    <s v="9.7673e-05"/>
    <n v="0.99990000000000001"/>
    <s v="12.829588445506433"/>
    <s v="33.54913030577783"/>
    <s v="56.18391821714937"/>
    <s v="10.355842256696564"/>
    <n v="757881258"/>
    <x v="0"/>
    <n v="3.9451056999999999E-4"/>
    <x v="0"/>
  </r>
  <r>
    <n v="42"/>
    <n v="0"/>
    <n v="1"/>
    <n v="0"/>
    <n v="1"/>
    <n v="4"/>
    <n v="0"/>
    <n v="36"/>
    <n v="6"/>
    <n v="4"/>
    <n v="1"/>
    <n v="3050"/>
    <n v="1824"/>
    <n v="1226"/>
    <n v="0.77100000000000002"/>
    <n v="1973"/>
    <n v="50"/>
    <n v="1.381"/>
    <n v="0.59799999999999998"/>
    <n v="1.1963E-4"/>
    <n v="0.99987999999999999"/>
    <s v="9.337588026875256"/>
    <n v="12.2983073231755"/>
    <s v="169.0223904884099"/>
    <s v="7.968997033095138"/>
    <n v="715448058"/>
    <x v="0"/>
    <n v="9.0236799999999996E-4"/>
    <x v="0"/>
  </r>
  <r>
    <n v="46"/>
    <n v="1"/>
    <n v="4"/>
    <n v="5"/>
    <n v="2"/>
    <n v="3"/>
    <n v="0"/>
    <n v="28"/>
    <n v="4"/>
    <n v="3"/>
    <n v="2"/>
    <n v="19843"/>
    <n v="1178"/>
    <n v="18665"/>
    <n v="0.90900000000000003"/>
    <n v="1638"/>
    <n v="49"/>
    <n v="0.63300000000000001"/>
    <n v="5.8999999999999997E-2"/>
    <n v="1.9395999999999999E-4"/>
    <n v="0.99980999999999998"/>
    <s v="26.16629508889084"/>
    <s v="71.09027026241617"/>
    <s v="41.68788132096737"/>
    <s v="3.860191944301802"/>
    <n v="779320983"/>
    <x v="0"/>
    <n v="9.734311E-4"/>
    <x v="0"/>
  </r>
  <r>
    <n v="40"/>
    <n v="0"/>
    <n v="1"/>
    <n v="2"/>
    <n v="1"/>
    <n v="5"/>
    <n v="0"/>
    <n v="29"/>
    <n v="5"/>
    <n v="1"/>
    <n v="3"/>
    <n v="8398"/>
    <n v="1892"/>
    <n v="6506"/>
    <n v="0.86099999999999999"/>
    <n v="1489"/>
    <n v="29"/>
    <n v="0.52600000000000002"/>
    <n v="0.22500000000000001"/>
    <s v="8.6952e-05"/>
    <n v="0.99990999999999997"/>
    <s v="5.761302736205303"/>
    <s v="16.50435924631716"/>
    <s v="66.37268447818649"/>
    <s v="14.928362914769682"/>
    <n v="772236108"/>
    <x v="0"/>
    <n v="1.1544054E-3"/>
    <x v="0"/>
  </r>
  <r>
    <n v="40"/>
    <n v="0"/>
    <n v="2"/>
    <n v="2"/>
    <n v="1"/>
    <n v="4"/>
    <n v="0"/>
    <n v="36"/>
    <n v="3"/>
    <n v="2"/>
    <n v="3"/>
    <n v="2423"/>
    <n v="1674"/>
    <n v="749"/>
    <n v="0.64400000000000002"/>
    <n v="4258"/>
    <n v="80"/>
    <n v="0.53800000000000003"/>
    <n v="0.69099999999999995"/>
    <n v="1.9143E-4"/>
    <n v="0.99980999999999998"/>
    <s v="52.45601407583781"/>
    <n v="49.9754116474098"/>
    <s v="2.1648135802823933"/>
    <s v="9.769324501713308"/>
    <n v="712810233"/>
    <x v="0"/>
    <n v="3.2914013999999999E-4"/>
    <x v="0"/>
  </r>
  <r>
    <n v="45"/>
    <n v="1"/>
    <n v="2"/>
    <n v="5"/>
    <n v="1"/>
    <n v="3"/>
    <n v="0"/>
    <n v="37"/>
    <n v="3"/>
    <n v="1"/>
    <n v="1"/>
    <n v="32275"/>
    <n v="1845"/>
    <n v="30430"/>
    <n v="0.84099999999999997"/>
    <n v="14917"/>
    <n v="88"/>
    <n v="0.79600000000000004"/>
    <n v="5.7000000000000002E-2"/>
    <s v="3.415e-05"/>
    <n v="0.99997000000000003"/>
    <s v="14.260269282206076"/>
    <s v="38.33517668468146"/>
    <s v="20.72390671771608"/>
    <s v="32.53698372469497"/>
    <n v="714912408"/>
    <x v="0"/>
    <n v="3.8573547000000003E-4"/>
    <x v="0"/>
  </r>
  <r>
    <n v="35"/>
    <n v="0"/>
    <n v="2"/>
    <n v="2"/>
    <n v="1"/>
    <n v="4"/>
    <n v="0"/>
    <n v="36"/>
    <n v="4"/>
    <n v="2"/>
    <n v="0"/>
    <n v="2572"/>
    <n v="1161"/>
    <n v="1411"/>
    <n v="0.56899999999999995"/>
    <n v="4315"/>
    <n v="85"/>
    <n v="0.51800000000000002"/>
    <n v="0.45100000000000001"/>
    <s v="4.1986e-05"/>
    <n v="0.99995999999999996"/>
    <n v="11.68862280496"/>
    <s v="24.81958979832251"/>
    <s v="63.92871530136211"/>
    <s v="19.15447024221357"/>
    <n v="714382608"/>
    <x v="0"/>
    <n v="3.2914013999999999E-4"/>
    <x v="0"/>
  </r>
  <r>
    <n v="38"/>
    <n v="0"/>
    <n v="3"/>
    <n v="3"/>
    <n v="2"/>
    <n v="5"/>
    <n v="0"/>
    <n v="24"/>
    <n v="6"/>
    <n v="3"/>
    <n v="3"/>
    <n v="13951"/>
    <n v="1607"/>
    <n v="12344"/>
    <n v="0.93200000000000005"/>
    <n v="4576"/>
    <n v="70"/>
    <n v="0.59099999999999997"/>
    <n v="0.115"/>
    <n v="3.0516000000000001E-4"/>
    <n v="0.99968999999999997"/>
    <s v="19.219816429716147"/>
    <s v="74.09184699033017"/>
    <s v="53.83342133767872"/>
    <s v="39.21375269901653"/>
    <n v="720853158"/>
    <x v="0"/>
    <n v="3.4605444000000002E-4"/>
    <x v="0"/>
  </r>
  <r>
    <n v="50"/>
    <n v="0"/>
    <n v="3"/>
    <n v="3"/>
    <n v="2"/>
    <n v="4"/>
    <n v="0"/>
    <n v="38"/>
    <n v="6"/>
    <n v="3"/>
    <n v="2"/>
    <n v="2775"/>
    <n v="1475"/>
    <n v="1300"/>
    <n v="0.85399999999999998"/>
    <n v="4608"/>
    <n v="84"/>
    <n v="0.64700000000000002"/>
    <n v="0.53200000000000003"/>
    <n v="1.8144999999999999E-4"/>
    <n v="0.99982000000000004"/>
    <s v="50.23155360322537"/>
    <s v="38.855317417980274"/>
    <s v="160.18954490645982"/>
    <s v="25.45544008346748"/>
    <n v="789076083"/>
    <x v="0"/>
    <n v="3.2914013999999999E-4"/>
    <x v="0"/>
  </r>
  <r>
    <n v="45"/>
    <n v="1"/>
    <n v="2"/>
    <n v="2"/>
    <n v="0"/>
    <n v="1"/>
    <n v="0"/>
    <n v="40"/>
    <n v="3"/>
    <n v="3"/>
    <n v="2"/>
    <n v="2259"/>
    <n v="954"/>
    <n v="1305"/>
    <n v="0.69499999999999995"/>
    <n v="1393"/>
    <n v="35"/>
    <n v="0.84199999999999997"/>
    <n v="0.42199999999999999"/>
    <n v="1.7987E-4"/>
    <n v="0.99982000000000004"/>
    <s v="17.02023464445471"/>
    <s v="28.380949462862144"/>
    <s v="7.191118686772583"/>
    <s v="10.11650627268402"/>
    <n v="813915933"/>
    <x v="0"/>
    <n v="1.3030799E-3"/>
    <x v="0"/>
  </r>
  <r>
    <n v="53"/>
    <n v="0"/>
    <n v="1"/>
    <n v="5"/>
    <n v="1"/>
    <n v="4"/>
    <n v="0"/>
    <n v="41"/>
    <n v="4"/>
    <n v="2"/>
    <n v="2"/>
    <n v="2596"/>
    <n v="868"/>
    <n v="1728"/>
    <n v="0.74299999999999999"/>
    <n v="4801"/>
    <n v="72"/>
    <n v="0.71399999999999997"/>
    <n v="0.33400000000000002"/>
    <n v="1.0985E-4"/>
    <n v="0.99988999999999995"/>
    <s v="67.87681875950388"/>
    <s v="1.9102559351227808"/>
    <s v="55.32721028951295"/>
    <s v="9.992768534433804"/>
    <n v="711992133"/>
    <x v="0"/>
    <n v="4.3298570000000001E-4"/>
    <x v="0"/>
  </r>
  <r>
    <n v="58"/>
    <n v="0"/>
    <n v="1"/>
    <n v="6"/>
    <n v="2"/>
    <n v="4"/>
    <n v="0"/>
    <n v="48"/>
    <n v="4"/>
    <n v="3"/>
    <n v="1"/>
    <n v="3819"/>
    <n v="1882"/>
    <n v="1937"/>
    <n v="0.80900000000000005"/>
    <n v="4533"/>
    <n v="68"/>
    <n v="0.88900000000000001"/>
    <n v="0.49299999999999999"/>
    <n v="1.1192E-4"/>
    <n v="0.99988999999999995"/>
    <s v="8.153761075479304"/>
    <s v="11.93223153515964"/>
    <s v="56.05890479484625"/>
    <s v="25.74043422568854"/>
    <n v="712993008"/>
    <x v="0"/>
    <n v="3.2101269999999999E-4"/>
    <x v="0"/>
  </r>
  <r>
    <n v="51"/>
    <n v="0"/>
    <n v="4"/>
    <n v="3"/>
    <n v="2"/>
    <n v="4"/>
    <n v="0"/>
    <n v="36"/>
    <n v="6"/>
    <n v="3"/>
    <n v="3"/>
    <n v="2902"/>
    <n v="1634"/>
    <n v="1268"/>
    <n v="0.58799999999999997"/>
    <n v="4748"/>
    <n v="74"/>
    <n v="0.51"/>
    <n v="0.56299999999999994"/>
    <n v="3.0842E-4"/>
    <n v="0.99968999999999997"/>
    <s v="17.948367504005976"/>
    <s v="47.17391173924288"/>
    <n v="26.0909071016067"/>
    <n v="0.45437656496276602"/>
    <n v="715129233"/>
    <x v="0"/>
    <n v="3.4439339999999999E-4"/>
    <x v="0"/>
  </r>
  <r>
    <n v="38"/>
    <n v="0"/>
    <n v="3"/>
    <n v="3"/>
    <n v="2"/>
    <n v="1"/>
    <n v="0"/>
    <n v="25"/>
    <n v="1"/>
    <n v="1"/>
    <n v="2"/>
    <n v="3040"/>
    <n v="1908"/>
    <n v="1132"/>
    <n v="0.75800000000000001"/>
    <n v="5616"/>
    <n v="73"/>
    <n v="0.65900000000000003"/>
    <n v="0.628"/>
    <s v="5.5559e-05"/>
    <n v="0.99994000000000005"/>
    <n v="3.7041628186251299E-2"/>
    <s v="27.09744757910779"/>
    <s v="53.44621051842084"/>
    <s v="23.79312063079036"/>
    <n v="771067308"/>
    <x v="0"/>
    <n v="5.5846529999999995E-4"/>
    <x v="0"/>
  </r>
  <r>
    <n v="41"/>
    <n v="1"/>
    <n v="2"/>
    <n v="2"/>
    <n v="1"/>
    <n v="3"/>
    <n v="0"/>
    <n v="36"/>
    <n v="6"/>
    <n v="3"/>
    <n v="3"/>
    <n v="9133"/>
    <n v="2140"/>
    <n v="6993"/>
    <n v="0.64900000000000002"/>
    <n v="4101"/>
    <n v="88"/>
    <n v="0.63"/>
    <n v="0.23400000000000001"/>
    <n v="3.0250999999999998E-4"/>
    <n v="0.99970000000000003"/>
    <s v="39.60826745934431"/>
    <s v="32.67460835783733"/>
    <s v="71.02448088426564"/>
    <s v="17.997169501272154"/>
    <n v="717830583"/>
    <x v="0"/>
    <n v="3.2914013999999999E-4"/>
    <x v="0"/>
  </r>
  <r>
    <n v="39"/>
    <n v="0"/>
    <n v="2"/>
    <n v="2"/>
    <n v="2"/>
    <n v="5"/>
    <n v="3"/>
    <n v="35"/>
    <n v="1"/>
    <n v="3"/>
    <n v="3"/>
    <n v="32089"/>
    <n v="1971"/>
    <n v="30118"/>
    <n v="0.67100000000000004"/>
    <n v="13796"/>
    <n v="121"/>
    <n v="0.83299999999999996"/>
    <n v="6.0999999999999999E-2"/>
    <n v="2.7334000000000001E-4"/>
    <n v="0.99973000000000001"/>
    <s v="5.627711535956317"/>
    <s v="3.8990578225547647"/>
    <s v="53.54717062668664"/>
    <s v="9.404911422959906"/>
    <n v="825743583"/>
    <x v="0"/>
    <n v="3.8573547000000003E-4"/>
    <x v="0"/>
  </r>
  <r>
    <n v="41"/>
    <n v="1"/>
    <n v="4"/>
    <n v="2"/>
    <n v="2"/>
    <n v="1"/>
    <n v="0"/>
    <n v="36"/>
    <n v="3"/>
    <n v="1"/>
    <n v="1"/>
    <n v="6507"/>
    <n v="1452"/>
    <n v="5055"/>
    <n v="0.80200000000000005"/>
    <n v="4544"/>
    <n v="89"/>
    <n v="0.85399999999999998"/>
    <n v="0.223"/>
    <s v="3.4833e-05"/>
    <n v="0.99997000000000003"/>
    <s v="19.57042429208543"/>
    <s v="46.53069692119283"/>
    <s v="58.22183747792684"/>
    <s v="8.429304068210236"/>
    <n v="711799458"/>
    <x v="0"/>
    <n v="3.2101269999999999E-4"/>
    <x v="0"/>
  </r>
  <r>
    <n v="51"/>
    <n v="0"/>
    <n v="2"/>
    <n v="6"/>
    <n v="2"/>
    <n v="4"/>
    <n v="0"/>
    <n v="45"/>
    <n v="5"/>
    <n v="1"/>
    <n v="0"/>
    <n v="1757"/>
    <n v="0"/>
    <n v="1757"/>
    <n v="0.53300000000000003"/>
    <n v="4550"/>
    <n v="82"/>
    <n v="0.54700000000000004"/>
    <n v="0"/>
    <s v="2.2331e-05"/>
    <n v="0.99997999999999998"/>
    <s v="42.118767687297904"/>
    <s v="32.97401472408729"/>
    <s v="10.13966127427526"/>
    <s v="21.24347367798716"/>
    <n v="797218233"/>
    <x v="0"/>
    <n v="7.387203E-4"/>
    <x v="0"/>
  </r>
  <r>
    <n v="44"/>
    <n v="1"/>
    <n v="1"/>
    <n v="2"/>
    <n v="1"/>
    <n v="3"/>
    <n v="0"/>
    <n v="33"/>
    <n v="5"/>
    <n v="4"/>
    <n v="3"/>
    <n v="19214"/>
    <n v="0"/>
    <n v="19214"/>
    <n v="0.998"/>
    <n v="3407"/>
    <n v="47"/>
    <n v="1.1359999999999999"/>
    <n v="0"/>
    <n v="3.4315000000000002E-4"/>
    <n v="0.99965999999999999"/>
    <s v="60.36002176775727"/>
    <s v="19.560608507875884"/>
    <n v="94.517388437069101"/>
    <n v="2.6286976791921601"/>
    <n v="710562258"/>
    <x v="0"/>
    <n v="2.8463020000000002E-3"/>
    <x v="0"/>
  </r>
  <r>
    <n v="50"/>
    <n v="1"/>
    <n v="1"/>
    <n v="5"/>
    <n v="1"/>
    <n v="2"/>
    <n v="0"/>
    <n v="40"/>
    <n v="6"/>
    <n v="1"/>
    <n v="4"/>
    <n v="4092"/>
    <n v="996"/>
    <n v="3096"/>
    <n v="0.64400000000000002"/>
    <n v="2298"/>
    <n v="48"/>
    <n v="0.65500000000000003"/>
    <n v="0.24299999999999999"/>
    <n v="1.5252000000000001E-4"/>
    <n v="0.99985000000000002"/>
    <s v="4.128910651317256"/>
    <s v="26.82240570586816"/>
    <s v="77.93262193575205"/>
    <s v="2.100942427407227"/>
    <n v="772472208"/>
    <x v="0"/>
    <n v="1.294005E-3"/>
    <x v="0"/>
  </r>
  <r>
    <n v="47"/>
    <n v="0"/>
    <n v="3"/>
    <n v="5"/>
    <n v="2"/>
    <n v="4"/>
    <n v="0"/>
    <n v="41"/>
    <n v="3"/>
    <n v="3"/>
    <n v="0"/>
    <n v="2894"/>
    <n v="2117"/>
    <n v="777"/>
    <n v="0.79"/>
    <n v="7471"/>
    <n v="87"/>
    <n v="0.67300000000000004"/>
    <n v="0.73199999999999998"/>
    <s v="7.0795e-05"/>
    <n v="0.99992999999999999"/>
    <s v="24.80191477765112"/>
    <s v="17.368079686738525"/>
    <s v="42.664093798463554"/>
    <s v="12.784105683366374"/>
    <n v="718200333"/>
    <x v="0"/>
    <n v="3.6856539999999998E-4"/>
    <x v="0"/>
  </r>
  <r>
    <n v="53"/>
    <n v="0"/>
    <n v="2"/>
    <n v="2"/>
    <n v="2"/>
    <n v="1"/>
    <n v="0"/>
    <n v="36"/>
    <n v="2"/>
    <n v="3"/>
    <n v="2"/>
    <n v="2121"/>
    <n v="0"/>
    <n v="2121"/>
    <n v="0.61799999999999999"/>
    <n v="1464"/>
    <n v="32"/>
    <n v="0.77800000000000002"/>
    <n v="0"/>
    <n v="0.99446999999999997"/>
    <n v="5.5300000000000002E-3"/>
    <s v="17.845263146321795"/>
    <s v="42.96482444259688"/>
    <s v="34.487777147617614"/>
    <s v="0.8019596453881458"/>
    <n v="712901283"/>
    <x v="1"/>
    <n v="0.99840410000000002"/>
    <x v="1"/>
  </r>
  <r>
    <n v="54"/>
    <n v="1"/>
    <n v="4"/>
    <n v="2"/>
    <n v="1"/>
    <n v="2"/>
    <n v="0"/>
    <n v="49"/>
    <n v="3"/>
    <n v="1"/>
    <n v="2"/>
    <n v="5269"/>
    <n v="1099"/>
    <n v="4170"/>
    <n v="1.1779999999999999"/>
    <n v="2195"/>
    <n v="63"/>
    <n v="0.96899999999999997"/>
    <n v="0.20899999999999999"/>
    <s v="5.7762e-05"/>
    <n v="0.99994000000000005"/>
    <s v="24.032882301514327"/>
    <s v="17.038600458670054"/>
    <s v="73.93546823026377"/>
    <s v="19.650988465396896"/>
    <n v="816513108"/>
    <x v="0"/>
    <n v="4.1202833999999999E-4"/>
    <x v="0"/>
  </r>
  <r>
    <n v="56"/>
    <n v="0"/>
    <n v="3"/>
    <n v="2"/>
    <n v="1"/>
    <n v="4"/>
    <n v="0"/>
    <n v="45"/>
    <n v="2"/>
    <n v="3"/>
    <n v="4"/>
    <n v="1438.3"/>
    <n v="0"/>
    <n v="1438.3"/>
    <n v="0.315"/>
    <n v="1988"/>
    <n v="42"/>
    <n v="0.35499999999999998"/>
    <n v="0"/>
    <n v="0.99814000000000003"/>
    <n v="1.8631699999999999E-3"/>
    <s v="35.41155928330216"/>
    <s v="20.85617110765118"/>
    <s v="43.85282895443272"/>
    <s v="9.725675688716285"/>
    <n v="713931258"/>
    <x v="1"/>
    <n v="0.99842569999999997"/>
    <x v="1"/>
  </r>
  <r>
    <n v="45"/>
    <n v="1"/>
    <n v="1"/>
    <n v="0"/>
    <n v="3"/>
    <n v="0"/>
    <n v="0"/>
    <n v="32"/>
    <n v="3"/>
    <n v="1"/>
    <n v="3"/>
    <n v="3304"/>
    <n v="1370"/>
    <n v="1934"/>
    <n v="0.95399999999999996"/>
    <n v="3914"/>
    <n v="70"/>
    <n v="0.66700000000000004"/>
    <n v="0.41499999999999998"/>
    <s v="8.4537e-05"/>
    <n v="0.99992000000000003"/>
    <s v="26.88017793350075"/>
    <s v="24.69613848326443"/>
    <s v="10.473619404595636"/>
    <s v="2.6706895935136594"/>
    <n v="770938533"/>
    <x v="0"/>
    <n v="3.221314E-4"/>
    <x v="0"/>
  </r>
  <r>
    <n v="43"/>
    <n v="0"/>
    <n v="2"/>
    <n v="2"/>
    <n v="1"/>
    <n v="4"/>
    <n v="0"/>
    <n v="33"/>
    <n v="5"/>
    <n v="2"/>
    <n v="2"/>
    <n v="3933"/>
    <n v="852"/>
    <n v="3081"/>
    <n v="0.433"/>
    <n v="1489"/>
    <n v="45"/>
    <n v="0.32400000000000001"/>
    <n v="0.217"/>
    <n v="1.1382E-4"/>
    <n v="0.99988999999999995"/>
    <s v="2.5920154375902804"/>
    <n v="33.650056687714198"/>
    <s v="14.612189833075186"/>
    <s v="6.760133556684066"/>
    <n v="711466533"/>
    <x v="0"/>
    <n v="1.8868185999999999E-3"/>
    <x v="0"/>
  </r>
  <r>
    <n v="52"/>
    <n v="0"/>
    <n v="4"/>
    <n v="2"/>
    <n v="1"/>
    <n v="4"/>
    <n v="0"/>
    <n v="36"/>
    <n v="6"/>
    <n v="1"/>
    <n v="2"/>
    <n v="4592"/>
    <n v="2517"/>
    <n v="2075"/>
    <n v="0.57199999999999995"/>
    <n v="1470"/>
    <n v="33"/>
    <n v="0.73699999999999999"/>
    <n v="0.54800000000000004"/>
    <s v="5.7762e-05"/>
    <n v="0.99994000000000005"/>
    <s v="20.100264646719896"/>
    <s v="66.90743848064058"/>
    <s v="17.49061718426474"/>
    <s v="7.438631459124073"/>
    <n v="709690158"/>
    <x v="0"/>
    <n v="1.0739613999999999E-3"/>
    <x v="0"/>
  </r>
  <r>
    <n v="51"/>
    <n v="0"/>
    <n v="1"/>
    <n v="6"/>
    <n v="2"/>
    <n v="4"/>
    <n v="0"/>
    <n v="42"/>
    <n v="4"/>
    <n v="3"/>
    <n v="3"/>
    <n v="3236"/>
    <n v="0"/>
    <n v="3236"/>
    <n v="0.79700000000000004"/>
    <n v="3952"/>
    <n v="80"/>
    <n v="0.73899999999999999"/>
    <n v="0"/>
    <n v="3.1210999999999999E-4"/>
    <n v="0.99968999999999997"/>
    <s v="10.004471852447653"/>
    <s v="13.912439668665533"/>
    <s v="39.73631024827885"/>
    <s v="0.2874841246148769"/>
    <n v="709976358"/>
    <x v="0"/>
    <n v="6.9517245999999998E-4"/>
    <x v="0"/>
  </r>
  <r>
    <n v="58"/>
    <n v="0"/>
    <n v="0"/>
    <n v="6"/>
    <n v="1"/>
    <n v="4"/>
    <n v="0"/>
    <n v="36"/>
    <n v="3"/>
    <n v="3"/>
    <n v="3"/>
    <n v="3832"/>
    <n v="1439"/>
    <n v="2393"/>
    <n v="0.85099999999999998"/>
    <n v="4741"/>
    <n v="88"/>
    <n v="0.76"/>
    <n v="0.376"/>
    <n v="2.8535000000000002E-4"/>
    <n v="0.99970999999999999"/>
    <s v="48.48634468819763"/>
    <s v="41.684549470643816"/>
    <s v="62.081227255383176"/>
    <n v="8.0414390605730297"/>
    <n v="710511858"/>
    <x v="0"/>
    <n v="3.2101269999999999E-4"/>
    <x v="0"/>
  </r>
  <r>
    <n v="33"/>
    <n v="0"/>
    <n v="1"/>
    <n v="2"/>
    <n v="2"/>
    <n v="4"/>
    <n v="0"/>
    <n v="36"/>
    <n v="3"/>
    <n v="2"/>
    <n v="4"/>
    <n v="6551"/>
    <n v="1440"/>
    <n v="5111"/>
    <n v="0.629"/>
    <n v="2429"/>
    <n v="77"/>
    <n v="0.45300000000000001"/>
    <n v="0.22"/>
    <n v="3.0653000000000001E-4"/>
    <n v="0.99968999999999997"/>
    <s v="6.762939026687701"/>
    <s v="47.44653197868058"/>
    <s v="17.601780996438332"/>
    <s v="9.220856073054064"/>
    <n v="715107033"/>
    <x v="0"/>
    <n v="4.1986379999999998E-4"/>
    <x v="0"/>
  </r>
  <r>
    <n v="55"/>
    <n v="0"/>
    <n v="1"/>
    <n v="6"/>
    <n v="2"/>
    <n v="4"/>
    <n v="0"/>
    <n v="36"/>
    <n v="5"/>
    <n v="2"/>
    <n v="3"/>
    <n v="1836"/>
    <n v="572"/>
    <n v="1264"/>
    <n v="0.75800000000000001"/>
    <n v="2400"/>
    <n v="34"/>
    <n v="0.78900000000000003"/>
    <n v="0.312"/>
    <n v="0.99495999999999996"/>
    <n v="5.0400000000000002E-3"/>
    <s v="30.795932211724907"/>
    <s v="46.30205857916952"/>
    <s v="17.20019924279004"/>
    <s v="2.421298667905809"/>
    <n v="715410783"/>
    <x v="1"/>
    <n v="0.99811757000000001"/>
    <x v="1"/>
  </r>
  <r>
    <n v="49"/>
    <n v="0"/>
    <n v="2"/>
    <n v="1"/>
    <n v="1"/>
    <n v="4"/>
    <n v="0"/>
    <n v="44"/>
    <n v="4"/>
    <n v="3"/>
    <n v="0"/>
    <n v="3397"/>
    <n v="1962"/>
    <n v="1435"/>
    <n v="0.48299999999999998"/>
    <n v="3295"/>
    <n v="66"/>
    <n v="0.61"/>
    <n v="0.57799999999999996"/>
    <s v="9.6021e-05"/>
    <n v="0.99990000000000001"/>
    <n v="37.7824576109577"/>
    <s v="10.575097448276477"/>
    <s v="58.90445148188704"/>
    <n v="12.369217933364601"/>
    <n v="804610908"/>
    <x v="0"/>
    <n v="3.2914013999999999E-4"/>
    <x v="0"/>
  </r>
  <r>
    <n v="58"/>
    <n v="0"/>
    <n v="4"/>
    <n v="3"/>
    <n v="2"/>
    <n v="4"/>
    <n v="0"/>
    <n v="39"/>
    <n v="3"/>
    <n v="1"/>
    <n v="3"/>
    <n v="2755"/>
    <n v="1483"/>
    <n v="1272"/>
    <n v="0.80600000000000005"/>
    <n v="4394"/>
    <n v="75"/>
    <n v="0.63"/>
    <n v="0.53800000000000003"/>
    <s v="9.4447e-05"/>
    <n v="0.99990999999999997"/>
    <s v="37.697133830180704"/>
    <s v="16.246454801695407"/>
    <s v="61.10096246040671"/>
    <s v="15.162108179667271"/>
    <n v="712258308"/>
    <x v="0"/>
    <n v="3.2914013999999999E-4"/>
    <x v="0"/>
  </r>
  <r>
    <n v="48"/>
    <n v="0"/>
    <n v="1"/>
    <n v="3"/>
    <n v="1"/>
    <n v="1"/>
    <n v="3"/>
    <n v="28"/>
    <n v="3"/>
    <n v="1"/>
    <n v="2"/>
    <n v="15713"/>
    <n v="1387"/>
    <n v="14326"/>
    <n v="0.90400000000000003"/>
    <n v="4775"/>
    <n v="61"/>
    <n v="0.60499999999999998"/>
    <n v="8.7999999999999995E-2"/>
    <s v="4.541e-05"/>
    <n v="0.99995000000000001"/>
    <s v="69.03061407547382"/>
    <s v="75.00873750104883"/>
    <s v="40.723402023266274"/>
    <s v="8.645337579749018"/>
    <n v="794490858"/>
    <x v="0"/>
    <n v="3.7656392999999998E-4"/>
    <x v="0"/>
  </r>
  <r>
    <n v="44"/>
    <n v="0"/>
    <n v="2"/>
    <n v="3"/>
    <n v="2"/>
    <n v="4"/>
    <n v="0"/>
    <n v="29"/>
    <n v="6"/>
    <n v="1"/>
    <n v="2"/>
    <n v="2288"/>
    <n v="1505"/>
    <n v="783"/>
    <n v="0.78800000000000003"/>
    <n v="4396"/>
    <n v="68"/>
    <n v="0.65900000000000003"/>
    <n v="0.65800000000000003"/>
    <s v="5.3542e-05"/>
    <n v="0.99995000000000001"/>
    <s v="17.41931197701496"/>
    <s v="85.29510750624758"/>
    <s v="17.999327136827095"/>
    <s v="10.025677129044324"/>
    <n v="720952608"/>
    <x v="0"/>
    <n v="3.2101269999999999E-4"/>
    <x v="0"/>
  </r>
  <r>
    <n v="55"/>
    <n v="0"/>
    <n v="0"/>
    <n v="2"/>
    <n v="2"/>
    <n v="5"/>
    <n v="0"/>
    <n v="44"/>
    <n v="6"/>
    <n v="1"/>
    <n v="3"/>
    <n v="18202"/>
    <n v="1841"/>
    <n v="16361"/>
    <n v="0.76"/>
    <n v="3551"/>
    <n v="68"/>
    <n v="0.7"/>
    <n v="0.10100000000000001"/>
    <s v="7.9494e-05"/>
    <n v="0.99992000000000003"/>
    <s v="17.314068084590783"/>
    <s v="63.52348703954623"/>
    <s v="146.2836724647978"/>
    <s v="11.883670503014711"/>
    <n v="718940208"/>
    <x v="0"/>
    <n v="3.2101269999999999E-4"/>
    <x v="0"/>
  </r>
  <r>
    <n v="50"/>
    <n v="0"/>
    <n v="2"/>
    <n v="6"/>
    <n v="2"/>
    <n v="4"/>
    <n v="0"/>
    <n v="32"/>
    <n v="4"/>
    <n v="3"/>
    <n v="1"/>
    <n v="1438.3"/>
    <n v="0"/>
    <n v="1438.3"/>
    <n v="0.81499999999999995"/>
    <n v="4598"/>
    <n v="78"/>
    <n v="0.90200000000000002"/>
    <n v="0"/>
    <n v="1.1924E-4"/>
    <n v="0.99987999999999999"/>
    <s v="5.167122352986538"/>
    <s v="11.257176544148278"/>
    <s v="15.406909534031058"/>
    <s v="17.843631583990515"/>
    <n v="779118708"/>
    <x v="0"/>
    <n v="6.9517245999999998E-4"/>
    <x v="0"/>
  </r>
  <r>
    <n v="52"/>
    <n v="0"/>
    <n v="2"/>
    <n v="2"/>
    <n v="2"/>
    <n v="5"/>
    <n v="0"/>
    <n v="41"/>
    <n v="2"/>
    <n v="3"/>
    <n v="3"/>
    <n v="3608"/>
    <n v="2517"/>
    <n v="1091"/>
    <n v="1.0569999999999999"/>
    <n v="4907"/>
    <n v="53"/>
    <n v="0.55900000000000005"/>
    <n v="0.69799999999999995"/>
    <n v="0.99670999999999998"/>
    <n v="3.29379E-3"/>
    <s v="6.158093410362534"/>
    <s v="6.236141641218131"/>
    <s v="117.61562957729971"/>
    <s v="4.783264691227061"/>
    <n v="716199408"/>
    <x v="1"/>
    <n v="0.99265599999999998"/>
    <x v="1"/>
  </r>
  <r>
    <n v="58"/>
    <n v="0"/>
    <n v="3"/>
    <n v="3"/>
    <n v="1"/>
    <n v="4"/>
    <n v="0"/>
    <n v="47"/>
    <n v="6"/>
    <n v="1"/>
    <n v="0"/>
    <n v="2609"/>
    <n v="2439"/>
    <n v="170"/>
    <n v="1.2689999999999999"/>
    <n v="1731"/>
    <n v="34"/>
    <n v="1.833"/>
    <n v="0.93500000000000005"/>
    <s v="2.0494e-05"/>
    <n v="0.99997999999999998"/>
    <s v="20.75294320349738"/>
    <n v="109.982689792044"/>
    <s v="48.228951340773605"/>
    <s v="9.239520869565345"/>
    <n v="713086008"/>
    <x v="0"/>
    <n v="9.8706899999999992E-4"/>
    <x v="0"/>
  </r>
  <r>
    <n v="55"/>
    <n v="0"/>
    <n v="1"/>
    <n v="5"/>
    <n v="3"/>
    <n v="4"/>
    <n v="0"/>
    <n v="36"/>
    <n v="1"/>
    <n v="2"/>
    <n v="1"/>
    <n v="3150"/>
    <n v="2222"/>
    <n v="928"/>
    <n v="0.79400000000000004"/>
    <n v="14750"/>
    <n v="96"/>
    <n v="0.65500000000000003"/>
    <n v="0.70499999999999996"/>
    <s v="6.6245e-05"/>
    <n v="0.99992999999999999"/>
    <s v="13.568891568884252"/>
    <s v="20.69435088345321"/>
    <n v="20.205377838337"/>
    <s v="26.592981575242497"/>
    <n v="708694983"/>
    <x v="0"/>
    <n v="3.4656386999999997E-4"/>
    <x v="0"/>
  </r>
  <r>
    <n v="33"/>
    <n v="0"/>
    <n v="4"/>
    <n v="4"/>
    <n v="1"/>
    <n v="1"/>
    <n v="0"/>
    <n v="36"/>
    <n v="4"/>
    <n v="2"/>
    <n v="3"/>
    <n v="2372"/>
    <n v="1887"/>
    <n v="485"/>
    <n v="0.8"/>
    <n v="1852"/>
    <n v="55"/>
    <n v="0.61799999999999999"/>
    <n v="0.79600000000000004"/>
    <n v="2.3623000000000001E-4"/>
    <n v="0.99975999999999998"/>
    <n v="25.890621206188801"/>
    <s v="32.158841757029805"/>
    <s v="132.97625717946516"/>
    <s v="7.576468612772613"/>
    <n v="716198358"/>
    <x v="0"/>
    <n v="4.8671842999999999E-4"/>
    <x v="0"/>
  </r>
  <r>
    <n v="48"/>
    <n v="1"/>
    <n v="4"/>
    <n v="6"/>
    <n v="0"/>
    <n v="2"/>
    <n v="0"/>
    <n v="31"/>
    <n v="4"/>
    <n v="1"/>
    <n v="1"/>
    <n v="1438.3"/>
    <n v="0"/>
    <n v="1438.3"/>
    <n v="0.83599999999999997"/>
    <n v="4509"/>
    <n v="74"/>
    <n v="0.45100000000000001"/>
    <n v="0"/>
    <s v="3.8289e-05"/>
    <n v="0.99995999999999996"/>
    <s v="24.527349674662872"/>
    <s v="6.6612574242781015"/>
    <s v="42.13117597265935"/>
    <s v="26.42705445791097"/>
    <n v="709285683"/>
    <x v="0"/>
    <n v="7.7293770000000004E-4"/>
    <x v="0"/>
  </r>
  <r>
    <n v="37"/>
    <n v="1"/>
    <n v="2"/>
    <n v="6"/>
    <n v="2"/>
    <n v="2"/>
    <n v="0"/>
    <n v="32"/>
    <n v="4"/>
    <n v="1"/>
    <n v="1"/>
    <n v="2865"/>
    <n v="1176"/>
    <n v="1689"/>
    <n v="0.66500000000000004"/>
    <n v="3462"/>
    <n v="61"/>
    <n v="0.90600000000000003"/>
    <n v="0.41"/>
    <s v="3.6508e-05"/>
    <n v="0.99995999999999996"/>
    <s v="51.45757440130882"/>
    <s v="41.07017825545267"/>
    <s v="7.429657966523859"/>
    <s v="0.4385726911233255"/>
    <n v="807426033"/>
    <x v="0"/>
    <n v="3.479205E-4"/>
    <x v="0"/>
  </r>
  <r>
    <n v="49"/>
    <n v="0"/>
    <n v="3"/>
    <n v="6"/>
    <n v="1"/>
    <n v="4"/>
    <n v="0"/>
    <n v="38"/>
    <n v="6"/>
    <n v="5"/>
    <n v="1"/>
    <n v="2652"/>
    <n v="1581"/>
    <n v="1071"/>
    <n v="0.73799999999999999"/>
    <n v="4747"/>
    <n v="80"/>
    <n v="0.77800000000000002"/>
    <n v="0.59599999999999997"/>
    <n v="1.3819E-4"/>
    <n v="0.99985999999999997"/>
    <s v="13.47958957024363"/>
    <s v="30.09272023159009"/>
    <s v="13.061463559415603"/>
    <s v="1.2582354983611428"/>
    <n v="717125958"/>
    <x v="0"/>
    <n v="3.2101269999999999E-4"/>
    <x v="0"/>
  </r>
  <r>
    <n v="33"/>
    <n v="0"/>
    <n v="2"/>
    <n v="3"/>
    <n v="2"/>
    <n v="4"/>
    <n v="0"/>
    <n v="36"/>
    <n v="4"/>
    <n v="1"/>
    <n v="1"/>
    <n v="8070"/>
    <n v="2350"/>
    <n v="5720"/>
    <n v="1.03"/>
    <n v="2117"/>
    <n v="61"/>
    <n v="0.64900000000000002"/>
    <n v="0.29099999999999998"/>
    <s v="3.2288e-05"/>
    <n v="0.99997000000000003"/>
    <s v="38.26973010007308"/>
    <s v="2.205354246322838"/>
    <s v="5.4123361100320295"/>
    <s v="19.60882774658712"/>
    <n v="712960308"/>
    <x v="0"/>
    <n v="4.2245854000000002E-4"/>
    <x v="0"/>
  </r>
  <r>
    <n v="65"/>
    <n v="0"/>
    <n v="0"/>
    <n v="3"/>
    <n v="1"/>
    <n v="1"/>
    <n v="0"/>
    <n v="36"/>
    <n v="5"/>
    <n v="2"/>
    <n v="3"/>
    <n v="6088"/>
    <n v="2145"/>
    <n v="3943"/>
    <n v="1.371"/>
    <n v="2098"/>
    <n v="52"/>
    <n v="0.73299999999999998"/>
    <n v="0.35199999999999998"/>
    <n v="1.5970000000000001E-4"/>
    <n v="0.99983999999999995"/>
    <s v="22.47019346689413"/>
    <n v="91.162009557706"/>
    <s v="21.98482603526578"/>
    <s v="1.4810294439183345"/>
    <n v="708267858"/>
    <x v="0"/>
    <n v="7.9758564000000001E-4"/>
    <x v="0"/>
  </r>
  <r>
    <n v="41"/>
    <n v="1"/>
    <n v="3"/>
    <n v="4"/>
    <n v="0"/>
    <n v="0"/>
    <n v="0"/>
    <n v="29"/>
    <n v="6"/>
    <n v="1"/>
    <n v="3"/>
    <n v="3491"/>
    <n v="2506"/>
    <n v="985"/>
    <n v="0.873"/>
    <n v="4855"/>
    <n v="79"/>
    <n v="0.57999999999999996"/>
    <n v="0.71799999999999997"/>
    <n v="1.1311000000000001E-4"/>
    <n v="0.99988999999999995"/>
    <s v="10.695962569406907"/>
    <s v="13.456615569211635"/>
    <s v="36.171880737623226"/>
    <s v="13.929578481972827"/>
    <n v="720093333"/>
    <x v="0"/>
    <n v="3.5570623000000002E-4"/>
    <x v="0"/>
  </r>
  <r>
    <n v="46"/>
    <n v="1"/>
    <n v="3"/>
    <n v="3"/>
    <n v="1"/>
    <n v="2"/>
    <n v="0"/>
    <n v="35"/>
    <n v="4"/>
    <n v="3"/>
    <n v="3"/>
    <n v="14701"/>
    <n v="1635"/>
    <n v="13066"/>
    <n v="0.61799999999999999"/>
    <n v="3490"/>
    <n v="69"/>
    <n v="0.53300000000000003"/>
    <n v="0.111"/>
    <n v="3.0516000000000001E-4"/>
    <n v="0.99968999999999997"/>
    <s v="31.96553608895639"/>
    <s v="92.77723395335327"/>
    <s v="29.601424793348077"/>
    <s v="13.496284423351096"/>
    <n v="780713058"/>
    <x v="0"/>
    <n v="3.2914013999999999E-4"/>
    <x v="0"/>
  </r>
  <r>
    <n v="62"/>
    <n v="0"/>
    <n v="1"/>
    <n v="6"/>
    <n v="2"/>
    <n v="4"/>
    <n v="0"/>
    <n v="55"/>
    <n v="6"/>
    <n v="1"/>
    <n v="1"/>
    <n v="5284"/>
    <n v="2517"/>
    <n v="2767"/>
    <n v="0.67400000000000004"/>
    <n v="4525"/>
    <n v="63"/>
    <n v="0.53700000000000003"/>
    <n v="0.47599999999999998"/>
    <s v="3.4268e-05"/>
    <n v="0.99997000000000003"/>
    <s v="8.558243582731341"/>
    <s v="31.219934265878383"/>
    <s v="39.62630854804534"/>
    <s v="12.55565722136548"/>
    <n v="737052258"/>
    <x v="0"/>
    <n v="3.8551911999999997E-4"/>
    <x v="0"/>
  </r>
  <r>
    <n v="40"/>
    <n v="0"/>
    <n v="3"/>
    <n v="3"/>
    <n v="2"/>
    <n v="4"/>
    <n v="0"/>
    <n v="27"/>
    <n v="3"/>
    <n v="3"/>
    <n v="3"/>
    <n v="1438.3"/>
    <n v="0"/>
    <n v="1438.3"/>
    <n v="0.84499999999999997"/>
    <n v="4332"/>
    <n v="78"/>
    <n v="0.69599999999999995"/>
    <n v="0"/>
    <n v="3.0516000000000001E-4"/>
    <n v="0.99968999999999997"/>
    <s v="79.35700625580475"/>
    <s v="16.362363849543037"/>
    <s v="84.69367368549456"/>
    <s v="17.513987475744546"/>
    <n v="771079833"/>
    <x v="0"/>
    <n v="7.1049936000000004E-4"/>
    <x v="0"/>
  </r>
  <r>
    <n v="40"/>
    <n v="1"/>
    <n v="3"/>
    <n v="4"/>
    <n v="2"/>
    <n v="3"/>
    <n v="0"/>
    <n v="36"/>
    <n v="4"/>
    <n v="4"/>
    <n v="3"/>
    <n v="8958"/>
    <n v="0"/>
    <n v="8958"/>
    <n v="0.48299999999999998"/>
    <n v="2131"/>
    <n v="43"/>
    <n v="0.38700000000000001"/>
    <n v="0"/>
    <n v="0.99777000000000005"/>
    <n v="2.2344399999999999E-3"/>
    <s v="43.03987140981364"/>
    <s v="12.240352630154469"/>
    <s v="24.790486763663697"/>
    <s v="9.205684882401853"/>
    <n v="708976908"/>
    <x v="1"/>
    <n v="0.99873226999999998"/>
    <x v="1"/>
  </r>
  <r>
    <n v="53"/>
    <n v="0"/>
    <n v="2"/>
    <n v="2"/>
    <n v="1"/>
    <n v="1"/>
    <n v="0"/>
    <n v="36"/>
    <n v="6"/>
    <n v="2"/>
    <n v="4"/>
    <n v="2956"/>
    <n v="1391"/>
    <n v="1565"/>
    <n v="0.69799999999999995"/>
    <n v="2116"/>
    <n v="63"/>
    <n v="0.57499999999999996"/>
    <n v="0.47099999999999997"/>
    <n v="3.2655999999999999E-4"/>
    <n v="0.99966999999999995"/>
    <s v="44.45536919034366"/>
    <s v="32.901521638250834"/>
    <s v="28.53398646772472"/>
    <s v="3.891017317389304"/>
    <n v="718894233"/>
    <x v="0"/>
    <n v="4.3839816000000001E-4"/>
    <x v="0"/>
  </r>
  <r>
    <n v="31"/>
    <n v="0"/>
    <n v="0"/>
    <n v="2"/>
    <n v="1"/>
    <n v="5"/>
    <n v="0"/>
    <n v="36"/>
    <n v="4"/>
    <n v="2"/>
    <n v="2"/>
    <n v="2488"/>
    <n v="0"/>
    <n v="2488"/>
    <n v="1.05"/>
    <n v="4226"/>
    <n v="73"/>
    <n v="0.52100000000000002"/>
    <n v="0"/>
    <s v="9.7673e-05"/>
    <n v="0.99990000000000001"/>
    <s v="7.662793540386628"/>
    <s v="54.37151938370461"/>
    <s v="38.25640189973657"/>
    <s v="19.383491237034743"/>
    <n v="708178608"/>
    <x v="0"/>
    <n v="7.4129109999999997E-4"/>
    <x v="0"/>
  </r>
  <r>
    <n v="47"/>
    <n v="0"/>
    <n v="1"/>
    <n v="5"/>
    <n v="2"/>
    <n v="4"/>
    <n v="0"/>
    <n v="32"/>
    <n v="6"/>
    <n v="2"/>
    <n v="2"/>
    <n v="1636"/>
    <n v="1135"/>
    <n v="501"/>
    <n v="0.754"/>
    <n v="5056"/>
    <n v="85"/>
    <n v="0.80900000000000005"/>
    <n v="0.69399999999999995"/>
    <n v="1.0985E-4"/>
    <n v="0.99988999999999995"/>
    <n v="50.3343227364415"/>
    <s v="68.15271989041746"/>
    <s v="37.41847177434517"/>
    <s v="10.873936171610143"/>
    <n v="713017758"/>
    <x v="0"/>
    <n v="3.2101269999999999E-4"/>
    <x v="0"/>
  </r>
  <r>
    <n v="43"/>
    <n v="1"/>
    <n v="4"/>
    <n v="6"/>
    <n v="1"/>
    <n v="3"/>
    <n v="0"/>
    <n v="38"/>
    <n v="5"/>
    <n v="1"/>
    <n v="2"/>
    <n v="2510"/>
    <n v="1508"/>
    <n v="1002"/>
    <n v="0.72799999999999998"/>
    <n v="3623"/>
    <n v="63"/>
    <n v="0.85299999999999998"/>
    <n v="0.60099999999999998"/>
    <s v="6.3492e-05"/>
    <n v="0.99994000000000005"/>
    <s v="6.356222325912498"/>
    <s v="47.67503237001621"/>
    <s v="81.94005280146597"/>
    <s v="5.065591754003035"/>
    <n v="813971283"/>
    <x v="0"/>
    <n v="3.479205E-4"/>
    <x v="0"/>
  </r>
  <r>
    <n v="46"/>
    <n v="1"/>
    <n v="3"/>
    <n v="0"/>
    <n v="1"/>
    <n v="2"/>
    <n v="0"/>
    <n v="39"/>
    <n v="3"/>
    <n v="3"/>
    <n v="2"/>
    <n v="13344"/>
    <n v="1907"/>
    <n v="11437"/>
    <n v="0.83199999999999996"/>
    <n v="8534"/>
    <n v="86"/>
    <n v="0.83"/>
    <n v="0.14299999999999999"/>
    <n v="0.99451999999999996"/>
    <n v="5.4799999999999996E-3"/>
    <s v="13.168828160683002"/>
    <s v="3.5792318303842694"/>
    <s v="48.71509784607216"/>
    <s v="17.205937286011142"/>
    <n v="708963258"/>
    <x v="1"/>
    <n v="0.9828346"/>
    <x v="1"/>
  </r>
  <r>
    <n v="38"/>
    <n v="0"/>
    <n v="1"/>
    <n v="1"/>
    <n v="1"/>
    <n v="4"/>
    <n v="0"/>
    <n v="28"/>
    <n v="6"/>
    <n v="1"/>
    <n v="1"/>
    <n v="1438.3"/>
    <n v="0"/>
    <n v="1438.3"/>
    <n v="0.81299999999999994"/>
    <n v="4475"/>
    <n v="74"/>
    <n v="0.64400000000000002"/>
    <n v="0"/>
    <s v="4.5115e-05"/>
    <n v="0.99995000000000001"/>
    <s v="2.299551849504671"/>
    <s v="4.386133558176082"/>
    <s v="18.94151913871492"/>
    <s v="3.191846045784188"/>
    <n v="713531808"/>
    <x v="0"/>
    <n v="7.1276520000000004E-4"/>
    <x v="0"/>
  </r>
  <r>
    <n v="41"/>
    <n v="0"/>
    <n v="1"/>
    <n v="3"/>
    <n v="2"/>
    <n v="4"/>
    <n v="0"/>
    <n v="31"/>
    <n v="4"/>
    <n v="2"/>
    <n v="1"/>
    <n v="1998"/>
    <n v="0"/>
    <n v="1998"/>
    <n v="0.71699999999999997"/>
    <n v="4637"/>
    <n v="68"/>
    <n v="0.88900000000000001"/>
    <n v="0"/>
    <s v="6.2633e-05"/>
    <n v="0.99994000000000005"/>
    <s v="46.67363964056486"/>
    <s v="63.33257731314831"/>
    <s v="1.8742633506333648"/>
    <s v="14.370913153815446"/>
    <n v="719250783"/>
    <x v="0"/>
    <n v="7.4965424999999997E-4"/>
    <x v="0"/>
  </r>
  <r>
    <n v="52"/>
    <n v="1"/>
    <n v="3"/>
    <n v="2"/>
    <n v="2"/>
    <n v="2"/>
    <n v="0"/>
    <n v="44"/>
    <n v="4"/>
    <n v="2"/>
    <n v="4"/>
    <n v="3323"/>
    <n v="2310"/>
    <n v="1013"/>
    <n v="0.749"/>
    <n v="1599"/>
    <n v="47"/>
    <n v="0.80800000000000005"/>
    <n v="0.69499999999999995"/>
    <n v="3.3886000000000002E-4"/>
    <n v="0.99965999999999999"/>
    <n v="5.4959521851589503"/>
    <n v="36.413300609317901"/>
    <s v="38.77591489973018"/>
    <s v="3.1356162430317496"/>
    <n v="710798883"/>
    <x v="0"/>
    <n v="9.8706899999999992E-4"/>
    <x v="0"/>
  </r>
  <r>
    <n v="44"/>
    <n v="1"/>
    <n v="3"/>
    <n v="3"/>
    <n v="1"/>
    <n v="2"/>
    <n v="0"/>
    <n v="36"/>
    <n v="6"/>
    <n v="2"/>
    <n v="3"/>
    <n v="2675"/>
    <n v="0"/>
    <n v="2675"/>
    <n v="0.7"/>
    <n v="4149"/>
    <n v="79"/>
    <n v="0.71699999999999997"/>
    <n v="0"/>
    <n v="1.9311E-4"/>
    <n v="0.99980999999999998"/>
    <s v="18.963240641540448"/>
    <s v="56.19646178376962"/>
    <s v="4.0746859273643325"/>
    <n v="32.851888652643197"/>
    <n v="719656533"/>
    <x v="0"/>
    <n v="6.9517245999999998E-4"/>
    <x v="0"/>
  </r>
  <r>
    <n v="46"/>
    <n v="0"/>
    <n v="3"/>
    <n v="2"/>
    <n v="1"/>
    <n v="4"/>
    <n v="0"/>
    <n v="36"/>
    <n v="3"/>
    <n v="3"/>
    <n v="3"/>
    <n v="2302"/>
    <n v="1593"/>
    <n v="709"/>
    <n v="0.67100000000000004"/>
    <n v="2689"/>
    <n v="49"/>
    <n v="0.32400000000000001"/>
    <n v="0.69199999999999995"/>
    <n v="0.99682999999999999"/>
    <n v="3.1745800000000002E-3"/>
    <s v="2.091581537521818"/>
    <s v="26.22572128231285"/>
    <s v="46.716507728675694"/>
    <s v="3.814220148721173"/>
    <n v="772382283"/>
    <x v="1"/>
    <n v="0.99481034000000002"/>
    <x v="1"/>
  </r>
  <r>
    <n v="41"/>
    <n v="1"/>
    <n v="3"/>
    <n v="2"/>
    <n v="0"/>
    <n v="2"/>
    <n v="0"/>
    <n v="27"/>
    <n v="5"/>
    <n v="2"/>
    <n v="2"/>
    <n v="5784"/>
    <n v="0"/>
    <n v="5784"/>
    <n v="0.85099999999999998"/>
    <n v="4173"/>
    <n v="80"/>
    <n v="0.86"/>
    <n v="0"/>
    <n v="1.1811000000000001E-4"/>
    <n v="0.99987999999999999"/>
    <s v="34.025889992028496"/>
    <s v="5.537975449894132"/>
    <s v="1.2914174715158593"/>
    <s v="9.363194015379806"/>
    <n v="711777633"/>
    <x v="0"/>
    <n v="7.1049936000000004E-4"/>
    <x v="0"/>
  </r>
  <r>
    <n v="46"/>
    <n v="1"/>
    <n v="1"/>
    <n v="2"/>
    <n v="3"/>
    <n v="1"/>
    <n v="0"/>
    <n v="36"/>
    <n v="4"/>
    <n v="3"/>
    <n v="2"/>
    <n v="1438.3"/>
    <n v="890"/>
    <n v="548.29999999999995"/>
    <n v="1.143"/>
    <n v="2928"/>
    <n v="48"/>
    <n v="1.4"/>
    <n v="0.61899999999999999"/>
    <n v="1.6882999999999999E-4"/>
    <n v="0.99983"/>
    <s v="3.862112456743942"/>
    <s v="5.796645336568667"/>
    <n v="49.048916967164303"/>
    <s v="1.8553968385683903"/>
    <n v="708104658"/>
    <x v="0"/>
    <n v="1.3218870000000001E-3"/>
    <x v="0"/>
  </r>
  <r>
    <n v="49"/>
    <n v="1"/>
    <n v="4"/>
    <n v="0"/>
    <n v="2"/>
    <n v="2"/>
    <n v="0"/>
    <n v="35"/>
    <n v="1"/>
    <n v="2"/>
    <n v="2"/>
    <n v="17350"/>
    <n v="1817"/>
    <n v="15533"/>
    <n v="0.81599999999999995"/>
    <n v="16132"/>
    <n v="118"/>
    <n v="0.873"/>
    <n v="0.105"/>
    <n v="1.1605E-4"/>
    <n v="0.99987999999999999"/>
    <s v="33.629656201279914"/>
    <s v="37.30591332462617"/>
    <s v="93.23787556601172"/>
    <n v="14.638190023932699"/>
    <n v="712107783"/>
    <x v="0"/>
    <n v="3.4656386999999997E-4"/>
    <x v="0"/>
  </r>
  <r>
    <n v="42"/>
    <n v="1"/>
    <n v="3"/>
    <n v="5"/>
    <n v="1"/>
    <n v="2"/>
    <n v="0"/>
    <n v="25"/>
    <n v="6"/>
    <n v="2"/>
    <n v="3"/>
    <n v="13546"/>
    <n v="1720"/>
    <n v="11826"/>
    <n v="0.53800000000000003"/>
    <n v="3943"/>
    <n v="73"/>
    <n v="0.69799999999999995"/>
    <n v="0.127"/>
    <n v="2.0424000000000001E-4"/>
    <n v="0.99980000000000002"/>
    <n v="41.587508011616897"/>
    <s v="5.940175135942368"/>
    <s v="12.294764006917584"/>
    <s v="33.47564168915261"/>
    <n v="817236708"/>
    <x v="0"/>
    <n v="3.2101269999999999E-4"/>
    <x v="0"/>
  </r>
  <r>
    <n v="50"/>
    <n v="0"/>
    <n v="3"/>
    <n v="0"/>
    <n v="1"/>
    <n v="5"/>
    <n v="0"/>
    <n v="44"/>
    <n v="2"/>
    <n v="1"/>
    <n v="3"/>
    <n v="24735"/>
    <n v="2296"/>
    <n v="22439"/>
    <n v="0.80800000000000005"/>
    <n v="7910"/>
    <n v="95"/>
    <n v="0.55700000000000005"/>
    <n v="9.2999999999999999E-2"/>
    <s v="9.3457e-05"/>
    <n v="0.99990999999999997"/>
    <s v="2.4267845727021085"/>
    <s v="0.6531653309690434"/>
    <s v="42.55567055214029"/>
    <s v="0.3259303529610481"/>
    <n v="799711833"/>
    <x v="0"/>
    <n v="3.8873720999999998E-4"/>
    <x v="0"/>
  </r>
  <r>
    <n v="43"/>
    <n v="1"/>
    <n v="1"/>
    <n v="4"/>
    <n v="2"/>
    <n v="2"/>
    <n v="0"/>
    <n v="38"/>
    <n v="4"/>
    <n v="2"/>
    <n v="3"/>
    <n v="2387"/>
    <n v="1482"/>
    <n v="905"/>
    <n v="0.86799999999999999"/>
    <n v="3909"/>
    <n v="67"/>
    <n v="0.67500000000000004"/>
    <n v="0.621"/>
    <n v="2.1143E-4"/>
    <n v="0.99978999999999996"/>
    <s v="21.38236576820001"/>
    <s v="78.58605950953923"/>
    <s v="86.12529692872951"/>
    <s v="3.8849189978218903"/>
    <n v="819363708"/>
    <x v="0"/>
    <n v="3.2101269999999999E-4"/>
    <x v="0"/>
  </r>
  <r>
    <n v="44"/>
    <n v="1"/>
    <n v="2"/>
    <n v="1"/>
    <n v="2"/>
    <n v="2"/>
    <n v="0"/>
    <n v="36"/>
    <n v="5"/>
    <n v="1"/>
    <n v="2"/>
    <n v="7577"/>
    <n v="2480"/>
    <n v="5097"/>
    <n v="0.435"/>
    <n v="1409"/>
    <n v="35"/>
    <n v="0.16700000000000001"/>
    <n v="0.32700000000000001"/>
    <s v="7.9702e-05"/>
    <n v="0.99992000000000003"/>
    <s v="14.917805873563774"/>
    <s v="4.266654311321084"/>
    <s v="29.545928619821066"/>
    <s v="16.74707399780279"/>
    <n v="721022433"/>
    <x v="0"/>
    <n v="1.2315542E-3"/>
    <x v="0"/>
  </r>
  <r>
    <n v="37"/>
    <n v="0"/>
    <n v="1"/>
    <n v="3"/>
    <n v="2"/>
    <n v="5"/>
    <n v="0"/>
    <n v="28"/>
    <n v="4"/>
    <n v="3"/>
    <n v="2"/>
    <n v="2458"/>
    <n v="642"/>
    <n v="1816"/>
    <n v="0.66600000000000004"/>
    <n v="4627"/>
    <n v="90"/>
    <n v="0.69799999999999995"/>
    <n v="0.26100000000000001"/>
    <n v="1.6412999999999999E-4"/>
    <n v="0.99983999999999995"/>
    <s v="17.371457144884477"/>
    <s v="1.146849855595493"/>
    <s v="81.09737428752965"/>
    <s v="22.437595827167037"/>
    <n v="718926258"/>
    <x v="0"/>
    <n v="5.4489190000000002E-4"/>
    <x v="0"/>
  </r>
  <r>
    <n v="41"/>
    <n v="0"/>
    <n v="2"/>
    <n v="2"/>
    <n v="2"/>
    <n v="4"/>
    <n v="0"/>
    <n v="32"/>
    <n v="6"/>
    <n v="3"/>
    <n v="2"/>
    <n v="2250"/>
    <n v="2117"/>
    <n v="133"/>
    <n v="1.1619999999999999"/>
    <n v="1617"/>
    <n v="31"/>
    <n v="2.875"/>
    <n v="0.94099999999999995"/>
    <n v="1.7987E-4"/>
    <n v="0.99982000000000004"/>
    <s v="41.25666017393086"/>
    <s v="7.890734726333986"/>
    <s v="46.712402721050765"/>
    <s v="1.2174988302598635"/>
    <n v="716104983"/>
    <x v="0"/>
    <n v="9.8706899999999992E-4"/>
    <x v="0"/>
  </r>
  <r>
    <n v="50"/>
    <n v="1"/>
    <n v="1"/>
    <n v="4"/>
    <n v="3"/>
    <n v="3"/>
    <n v="0"/>
    <n v="38"/>
    <n v="2"/>
    <n v="3"/>
    <n v="4"/>
    <n v="2673"/>
    <n v="0"/>
    <n v="2673"/>
    <n v="1.0429999999999999"/>
    <n v="4929"/>
    <n v="54"/>
    <n v="0.45900000000000002"/>
    <n v="0"/>
    <n v="0.99824999999999997"/>
    <n v="1.7506799999999999E-3"/>
    <s v="25.347066878455426"/>
    <s v="21.76662549161695"/>
    <s v="95.14070867594576"/>
    <s v="3.3413936842009915"/>
    <n v="771411408"/>
    <x v="1"/>
    <n v="0.99614775"/>
    <x v="1"/>
  </r>
  <r>
    <n v="52"/>
    <n v="1"/>
    <n v="3"/>
    <n v="2"/>
    <n v="1"/>
    <n v="2"/>
    <n v="0"/>
    <n v="47"/>
    <n v="3"/>
    <n v="3"/>
    <n v="3"/>
    <n v="8185"/>
    <n v="941"/>
    <n v="7244"/>
    <n v="0.874"/>
    <n v="4525"/>
    <n v="77"/>
    <n v="0.60399999999999998"/>
    <n v="0.115"/>
    <n v="3.1389999999999999E-4"/>
    <n v="0.99968999999999997"/>
    <s v="24.05091484694841"/>
    <s v="73.19095369164145"/>
    <s v="45.61861155741111"/>
    <s v="18.534568343153406"/>
    <n v="818729208"/>
    <x v="0"/>
    <n v="4.052347E-4"/>
    <x v="0"/>
  </r>
  <r>
    <n v="51"/>
    <n v="1"/>
    <n v="2"/>
    <n v="2"/>
    <n v="1"/>
    <n v="0"/>
    <n v="3"/>
    <n v="36"/>
    <n v="1"/>
    <n v="1"/>
    <n v="2"/>
    <n v="34516"/>
    <n v="1702"/>
    <n v="32814"/>
    <n v="0.70499999999999996"/>
    <n v="8652"/>
    <n v="98"/>
    <n v="0.84899999999999998"/>
    <n v="4.9000000000000002E-2"/>
    <s v="4.9765e-05"/>
    <n v="0.99995000000000001"/>
    <s v="18.15524926924062"/>
    <s v="81.62471272169572"/>
    <n v="37.360235188927"/>
    <s v="13.57792485018204"/>
    <n v="709770408"/>
    <x v="0"/>
    <n v="4.1022256E-4"/>
    <x v="0"/>
  </r>
  <r>
    <n v="46"/>
    <n v="0"/>
    <n v="4"/>
    <n v="5"/>
    <n v="3"/>
    <n v="1"/>
    <n v="0"/>
    <n v="40"/>
    <n v="6"/>
    <n v="3"/>
    <n v="1"/>
    <n v="1474"/>
    <n v="843"/>
    <n v="631"/>
    <n v="0.751"/>
    <n v="4452"/>
    <n v="65"/>
    <n v="1.097"/>
    <n v="0.57199999999999995"/>
    <n v="1.1697E-4"/>
    <n v="0.99987999999999999"/>
    <s v="24.95493453406663"/>
    <s v="4.058136461696336"/>
    <s v="31.74409515323388"/>
    <s v="19.081180994682228"/>
    <n v="797666358"/>
    <x v="0"/>
    <n v="5.0170696000000005E-4"/>
    <x v="0"/>
  </r>
  <r>
    <n v="59"/>
    <n v="1"/>
    <n v="0"/>
    <n v="3"/>
    <n v="2"/>
    <n v="2"/>
    <n v="0"/>
    <n v="54"/>
    <n v="3"/>
    <n v="6"/>
    <n v="6"/>
    <n v="24621"/>
    <n v="471"/>
    <n v="24150"/>
    <n v="0.85"/>
    <n v="2864"/>
    <n v="51"/>
    <n v="0.75900000000000001"/>
    <n v="1.9E-2"/>
    <n v="0.99902999999999997"/>
    <n v="9.6743000000000003E-4"/>
    <s v="6.291468912750937"/>
    <s v="6.405575668666865"/>
    <n v="18.265712579100398"/>
    <s v="2.827322541991643"/>
    <n v="804829533"/>
    <x v="1"/>
    <n v="0.99710849999999995"/>
    <x v="1"/>
  </r>
  <r>
    <n v="43"/>
    <n v="1"/>
    <n v="3"/>
    <n v="4"/>
    <n v="1"/>
    <n v="1"/>
    <n v="0"/>
    <n v="36"/>
    <n v="6"/>
    <n v="2"/>
    <n v="2"/>
    <n v="9422"/>
    <n v="2108"/>
    <n v="7314"/>
    <n v="0.89100000000000001"/>
    <n v="4633"/>
    <n v="58"/>
    <n v="0.61099999999999999"/>
    <n v="0.224"/>
    <n v="0.99285999999999996"/>
    <n v="7.1399999999999996E-3"/>
    <s v="32.939645004859614"/>
    <s v="18.76376104250213"/>
    <s v="127.22384296131136"/>
    <s v="14.474397202285411"/>
    <n v="709893858"/>
    <x v="1"/>
    <n v="0.98462830000000001"/>
    <x v="1"/>
  </r>
  <r>
    <n v="31"/>
    <n v="0"/>
    <n v="0"/>
    <n v="2"/>
    <n v="2"/>
    <n v="4"/>
    <n v="0"/>
    <n v="20"/>
    <n v="3"/>
    <n v="3"/>
    <n v="2"/>
    <n v="3480"/>
    <n v="724"/>
    <n v="2756"/>
    <n v="0.72199999999999998"/>
    <n v="2807"/>
    <n v="65"/>
    <n v="0.80600000000000005"/>
    <n v="0.20799999999999999"/>
    <n v="1.5435000000000001E-4"/>
    <n v="0.99985000000000002"/>
    <s v="24.31208316086955"/>
    <s v="7.365163588212659"/>
    <s v="31.787955842001946"/>
    <n v="2.9745941456521399"/>
    <n v="710014683"/>
    <x v="0"/>
    <n v="6.6419655999999997E-4"/>
    <x v="0"/>
  </r>
  <r>
    <n v="59"/>
    <n v="1"/>
    <n v="2"/>
    <n v="2"/>
    <n v="2"/>
    <n v="2"/>
    <n v="0"/>
    <n v="42"/>
    <n v="3"/>
    <n v="2"/>
    <n v="2"/>
    <n v="16727"/>
    <n v="1380"/>
    <n v="15347"/>
    <n v="0.60499999999999998"/>
    <n v="3511"/>
    <n v="73"/>
    <n v="0.622"/>
    <n v="8.3000000000000004E-2"/>
    <n v="1.1382E-4"/>
    <n v="0.99988999999999995"/>
    <s v="33.46703480525909"/>
    <s v="21.83941175888192"/>
    <s v="82.19777365211378"/>
    <s v="16.015991873834402"/>
    <n v="788820933"/>
    <x v="0"/>
    <n v="3.4743935000000002E-4"/>
    <x v="0"/>
  </r>
  <r>
    <n v="59"/>
    <n v="1"/>
    <n v="1"/>
    <n v="2"/>
    <n v="2"/>
    <n v="1"/>
    <n v="0"/>
    <n v="53"/>
    <n v="3"/>
    <n v="3"/>
    <n v="3"/>
    <n v="6035"/>
    <n v="1392"/>
    <n v="4643"/>
    <n v="0.36099999999999999"/>
    <n v="1551"/>
    <n v="32"/>
    <n v="0.6"/>
    <n v="0.23100000000000001"/>
    <n v="2.8394999999999999E-4"/>
    <n v="0.99972000000000005"/>
    <n v="6.1436181523042004"/>
    <s v="3.6051845203122648"/>
    <s v="0.3138796564578309"/>
    <s v="20.76477645573045"/>
    <n v="768460908"/>
    <x v="0"/>
    <n v="1.0903810999999999E-3"/>
    <x v="0"/>
  </r>
  <r>
    <n v="58"/>
    <n v="1"/>
    <n v="2"/>
    <n v="3"/>
    <n v="0"/>
    <n v="2"/>
    <n v="0"/>
    <n v="46"/>
    <n v="6"/>
    <n v="2"/>
    <n v="0"/>
    <n v="2467"/>
    <n v="1176"/>
    <n v="1291"/>
    <n v="0.81100000000000005"/>
    <n v="4744"/>
    <n v="73"/>
    <n v="0.92100000000000004"/>
    <n v="0.47699999999999998"/>
    <s v="4.0816e-05"/>
    <n v="0.99995999999999996"/>
    <s v="6.538638644916436"/>
    <s v="20.96261069200873"/>
    <s v="13.420022430868167"/>
    <s v="2.4160984796749583"/>
    <n v="779980758"/>
    <x v="0"/>
    <n v="3.2101269999999999E-4"/>
    <x v="0"/>
  </r>
  <r>
    <n v="54"/>
    <n v="1"/>
    <n v="3"/>
    <n v="3"/>
    <n v="1"/>
    <n v="3"/>
    <n v="0"/>
    <n v="36"/>
    <n v="6"/>
    <n v="1"/>
    <n v="2"/>
    <n v="1438.3"/>
    <n v="1133"/>
    <n v="305.3"/>
    <n v="0.75900000000000001"/>
    <n v="1935"/>
    <n v="41"/>
    <n v="0.70799999999999996"/>
    <n v="0.78800000000000003"/>
    <s v="5.5559e-05"/>
    <n v="0.99994000000000005"/>
    <s v="8.467965394112968"/>
    <s v="61.40836144862705"/>
    <s v="85.21144606503108"/>
    <s v="20.29284288846565"/>
    <n v="717006333"/>
    <x v="0"/>
    <n v="1.1451696999999999E-3"/>
    <x v="0"/>
  </r>
  <r>
    <n v="57"/>
    <n v="0"/>
    <n v="1"/>
    <n v="3"/>
    <n v="2"/>
    <n v="4"/>
    <n v="0"/>
    <n v="41"/>
    <n v="4"/>
    <n v="4"/>
    <n v="3"/>
    <n v="2442"/>
    <n v="1699"/>
    <n v="743"/>
    <n v="0.63900000000000001"/>
    <n v="4313"/>
    <n v="75"/>
    <n v="0.56200000000000006"/>
    <n v="0.69599999999999995"/>
    <n v="3.3358999999999998E-4"/>
    <n v="0.99966999999999995"/>
    <s v="44.00578873891762"/>
    <s v="61.61216725172297"/>
    <s v="14.917855787843813"/>
    <n v="26.385998280012799"/>
    <n v="712753758"/>
    <x v="0"/>
    <n v="3.2914013999999999E-4"/>
    <x v="0"/>
  </r>
  <r>
    <n v="40"/>
    <n v="0"/>
    <n v="2"/>
    <n v="4"/>
    <n v="0"/>
    <n v="5"/>
    <n v="0"/>
    <n v="27"/>
    <n v="6"/>
    <n v="3"/>
    <n v="1"/>
    <n v="8494"/>
    <n v="2023"/>
    <n v="6471"/>
    <n v="0.871"/>
    <n v="4486"/>
    <n v="77"/>
    <n v="0.97399999999999998"/>
    <n v="0.23799999999999999"/>
    <n v="1.2763999999999999E-4"/>
    <n v="0.99987000000000004"/>
    <s v="10.237941320468584"/>
    <s v="8.880426819137282"/>
    <s v="119.39616057193707"/>
    <s v="0.5554723002160349"/>
    <n v="712566258"/>
    <x v="0"/>
    <n v="3.2101269999999999E-4"/>
    <x v="0"/>
  </r>
  <r>
    <n v="30"/>
    <n v="0"/>
    <n v="1"/>
    <n v="5"/>
    <n v="2"/>
    <n v="5"/>
    <n v="0"/>
    <n v="24"/>
    <n v="3"/>
    <n v="5"/>
    <n v="4"/>
    <n v="7536"/>
    <n v="1272"/>
    <n v="6264"/>
    <n v="0.68300000000000005"/>
    <n v="4189"/>
    <n v="86"/>
    <n v="0.91100000000000003"/>
    <n v="0.16900000000000001"/>
    <n v="5.5621000000000002E-4"/>
    <n v="0.99944"/>
    <s v="37.02626705218162"/>
    <s v="28.573228762077036"/>
    <s v="76.52963932835746"/>
    <s v="2.116989664731723"/>
    <n v="803406558"/>
    <x v="0"/>
    <n v="3.2101269999999999E-4"/>
    <x v="0"/>
  </r>
  <r>
    <n v="41"/>
    <n v="0"/>
    <n v="3"/>
    <n v="2"/>
    <n v="1"/>
    <n v="4"/>
    <n v="0"/>
    <n v="36"/>
    <n v="6"/>
    <n v="6"/>
    <n v="4"/>
    <n v="2873"/>
    <n v="1247"/>
    <n v="1626"/>
    <n v="0.88900000000000001"/>
    <n v="3943"/>
    <n v="80"/>
    <n v="0.70199999999999996"/>
    <n v="0.434"/>
    <n v="4.2271000000000002E-4"/>
    <n v="0.99958000000000002"/>
    <s v="4.589135920807648"/>
    <s v="28.52375321027069"/>
    <s v="18.20556044853603"/>
    <s v="7.273682271075589"/>
    <n v="818322033"/>
    <x v="0"/>
    <n v="3.221314E-4"/>
    <x v="0"/>
  </r>
  <r>
    <n v="42"/>
    <n v="1"/>
    <n v="5"/>
    <n v="6"/>
    <n v="3"/>
    <n v="0"/>
    <n v="0"/>
    <n v="36"/>
    <n v="4"/>
    <n v="1"/>
    <n v="2"/>
    <n v="34516"/>
    <n v="1839"/>
    <n v="32677"/>
    <n v="0.69"/>
    <n v="1230"/>
    <n v="34"/>
    <n v="0.88900000000000001"/>
    <n v="5.2999999999999999E-2"/>
    <s v="6.2502e-05"/>
    <n v="0.99994000000000005"/>
    <s v="26.413198873718247"/>
    <s v="8.881796101541205"/>
    <n v="9.3926696432709509"/>
    <s v="25.399209858279285"/>
    <n v="717418158"/>
    <x v="0"/>
    <n v="1.0985557E-3"/>
    <x v="0"/>
  </r>
  <r>
    <n v="45"/>
    <n v="0"/>
    <n v="4"/>
    <n v="0"/>
    <n v="1"/>
    <n v="4"/>
    <n v="0"/>
    <n v="36"/>
    <n v="2"/>
    <n v="1"/>
    <n v="1"/>
    <n v="2737"/>
    <n v="0"/>
    <n v="2737"/>
    <n v="0.71"/>
    <n v="7587"/>
    <n v="80"/>
    <n v="0.56899999999999995"/>
    <n v="0"/>
    <s v="3.3866e-05"/>
    <n v="0.99997000000000003"/>
    <s v="10.381229280840566"/>
    <s v="41.91223980716957"/>
    <s v="50.76773708327935"/>
    <s v="6.592130719376198"/>
    <n v="714821433"/>
    <x v="0"/>
    <n v="1.1617003E-3"/>
    <x v="0"/>
  </r>
  <r>
    <n v="37"/>
    <n v="1"/>
    <n v="3"/>
    <n v="3"/>
    <n v="3"/>
    <n v="3"/>
    <n v="0"/>
    <n v="19"/>
    <n v="1"/>
    <n v="2"/>
    <n v="2"/>
    <n v="2273"/>
    <n v="0"/>
    <n v="2273"/>
    <n v="0.82799999999999996"/>
    <n v="7899"/>
    <n v="79"/>
    <n v="0.64600000000000002"/>
    <n v="0"/>
    <n v="1.1482E-4"/>
    <n v="0.99988999999999995"/>
    <s v="16.54825323181673"/>
    <s v="11.435005001732168"/>
    <s v="48.893257061950926"/>
    <s v="11.008114915145132"/>
    <n v="779435883"/>
    <x v="0"/>
    <n v="1.1209003999999999E-3"/>
    <x v="0"/>
  </r>
  <r>
    <n v="49"/>
    <n v="1"/>
    <n v="3"/>
    <n v="6"/>
    <n v="1"/>
    <n v="2"/>
    <n v="0"/>
    <n v="36"/>
    <n v="6"/>
    <n v="1"/>
    <n v="3"/>
    <n v="22651"/>
    <n v="1085"/>
    <n v="21566"/>
    <n v="0.81"/>
    <n v="3915"/>
    <n v="72"/>
    <n v="0.67400000000000004"/>
    <n v="4.8000000000000001E-2"/>
    <n v="1.0566E-4"/>
    <n v="0.99988999999999995"/>
    <s v="56.58967977594523"/>
    <s v="49.76033828296809"/>
    <s v="38.08897304544456"/>
    <n v="8.0867076793209502"/>
    <n v="717841683"/>
    <x v="0"/>
    <n v="3.5729867999999997E-4"/>
    <x v="0"/>
  </r>
  <r>
    <n v="51"/>
    <n v="1"/>
    <n v="2"/>
    <n v="6"/>
    <n v="1"/>
    <n v="1"/>
    <n v="0"/>
    <n v="44"/>
    <n v="4"/>
    <n v="1"/>
    <n v="0"/>
    <n v="6205"/>
    <n v="2204"/>
    <n v="4001"/>
    <n v="0.80300000000000005"/>
    <n v="1347"/>
    <n v="28"/>
    <n v="0.55600000000000005"/>
    <n v="0.35499999999999998"/>
    <s v="2.2331e-05"/>
    <n v="0.99997999999999998"/>
    <s v="10.904337206685993"/>
    <s v="43.73523254131811"/>
    <n v="67.526892161384595"/>
    <s v="29.358527344639025"/>
    <n v="758551608"/>
    <x v="0"/>
    <n v="1.0598798E-3"/>
    <x v="0"/>
  </r>
  <r>
    <n v="48"/>
    <n v="1"/>
    <n v="3"/>
    <n v="6"/>
    <n v="2"/>
    <n v="3"/>
    <n v="0"/>
    <n v="36"/>
    <n v="3"/>
    <n v="4"/>
    <n v="2"/>
    <n v="2713"/>
    <n v="2201"/>
    <n v="512"/>
    <n v="0.71599999999999997"/>
    <n v="4220"/>
    <n v="79"/>
    <n v="0.61199999999999999"/>
    <n v="0.81100000000000005"/>
    <n v="2.4792999999999999E-4"/>
    <n v="0.99975000000000003"/>
    <s v="45.93725903287871"/>
    <s v="42.00792969253285"/>
    <s v="61.189254114085855"/>
    <s v="9.759444295475582"/>
    <n v="714847983"/>
    <x v="0"/>
    <n v="3.2914013999999999E-4"/>
    <x v="0"/>
  </r>
  <r>
    <n v="47"/>
    <n v="0"/>
    <n v="5"/>
    <n v="6"/>
    <n v="1"/>
    <n v="4"/>
    <n v="0"/>
    <n v="40"/>
    <n v="5"/>
    <n v="1"/>
    <n v="3"/>
    <n v="2950"/>
    <n v="2000"/>
    <n v="950"/>
    <n v="0.88200000000000001"/>
    <n v="4742"/>
    <n v="79"/>
    <n v="0.83699999999999997"/>
    <n v="0.67800000000000005"/>
    <n v="1.0512E-4"/>
    <n v="0.99988999999999995"/>
    <s v="5.757917144135493"/>
    <n v="34.784158598885497"/>
    <s v="149.24150978021223"/>
    <s v="17.91276115955598"/>
    <n v="712542258"/>
    <x v="0"/>
    <n v="3.2101269999999999E-4"/>
    <x v="0"/>
  </r>
  <r>
    <n v="32"/>
    <n v="0"/>
    <n v="3"/>
    <n v="3"/>
    <n v="1"/>
    <n v="4"/>
    <n v="0"/>
    <n v="22"/>
    <n v="4"/>
    <n v="2"/>
    <n v="4"/>
    <n v="4561"/>
    <n v="2029"/>
    <n v="2532"/>
    <n v="0.76800000000000002"/>
    <n v="1874"/>
    <n v="38"/>
    <n v="0.52"/>
    <n v="0.44500000000000001"/>
    <n v="3.2941999999999997E-4"/>
    <n v="0.99966999999999995"/>
    <s v="6.9736594236950165"/>
    <s v="77.25877584501845"/>
    <s v="1.481023560068305"/>
    <s v="11.265133352515493"/>
    <n v="716075208"/>
    <x v="0"/>
    <n v="1.2417194E-3"/>
    <x v="0"/>
  </r>
  <r>
    <n v="47"/>
    <n v="0"/>
    <n v="1"/>
    <n v="3"/>
    <n v="2"/>
    <n v="5"/>
    <n v="0"/>
    <n v="36"/>
    <n v="2"/>
    <n v="1"/>
    <n v="3"/>
    <n v="2874"/>
    <n v="2201"/>
    <n v="673"/>
    <n v="0.71799999999999997"/>
    <n v="4779"/>
    <n v="86"/>
    <n v="0.79200000000000004"/>
    <n v="0.76600000000000001"/>
    <s v="8.453e-05"/>
    <n v="0.99992000000000003"/>
    <s v="28.504103175123674"/>
    <s v="15.918855980483627"/>
    <s v="53.18206909390655"/>
    <n v="8.3141493545271903"/>
    <n v="716551533"/>
    <x v="0"/>
    <n v="3.2101269999999999E-4"/>
    <x v="0"/>
  </r>
  <r>
    <n v="47"/>
    <n v="0"/>
    <n v="2"/>
    <n v="3"/>
    <n v="2"/>
    <n v="4"/>
    <n v="0"/>
    <n v="41"/>
    <n v="1"/>
    <n v="1"/>
    <n v="2"/>
    <n v="3108"/>
    <n v="1978"/>
    <n v="1130"/>
    <n v="0.91700000000000004"/>
    <n v="14965"/>
    <n v="127"/>
    <n v="0.71599999999999997"/>
    <n v="0.63600000000000001"/>
    <s v="5.3542e-05"/>
    <n v="0.99995000000000001"/>
    <s v="23.806925719112225"/>
    <s v="77.10403125751067"/>
    <s v="83.76927685660425"/>
    <s v="11.53468514014384"/>
    <n v="709257708"/>
    <x v="0"/>
    <n v="3.4777042999999998E-4"/>
    <x v="0"/>
  </r>
  <r>
    <n v="45"/>
    <n v="0"/>
    <n v="2"/>
    <n v="2"/>
    <n v="1"/>
    <n v="1"/>
    <n v="0"/>
    <n v="26"/>
    <n v="6"/>
    <n v="2"/>
    <n v="4"/>
    <n v="4307"/>
    <n v="0"/>
    <n v="4307"/>
    <n v="0.74299999999999999"/>
    <n v="8697"/>
    <n v="62"/>
    <n v="0.59"/>
    <n v="0"/>
    <n v="0.99695"/>
    <n v="3.0518899999999998E-3"/>
    <s v="32.210479060630654"/>
    <s v="22.053053308434613"/>
    <s v="81.78912833346799"/>
    <s v="18.297840430087984"/>
    <n v="778888083"/>
    <x v="1"/>
    <n v="0.99421859999999995"/>
    <x v="1"/>
  </r>
  <r>
    <n v="50"/>
    <n v="0"/>
    <n v="3"/>
    <n v="5"/>
    <n v="1"/>
    <n v="5"/>
    <n v="0"/>
    <n v="38"/>
    <n v="4"/>
    <n v="4"/>
    <n v="1"/>
    <n v="11486"/>
    <n v="0"/>
    <n v="11486"/>
    <n v="0.38300000000000001"/>
    <n v="4918"/>
    <n v="79"/>
    <n v="0.54900000000000004"/>
    <n v="0"/>
    <n v="1.3987E-4"/>
    <n v="0.99985999999999997"/>
    <s v="0.3585742182889712"/>
    <s v="25.41403842794935"/>
    <s v="14.36667496587388"/>
    <s v="7.974099902561402"/>
    <n v="720403008"/>
    <x v="0"/>
    <n v="7.387203E-4"/>
    <x v="0"/>
  </r>
  <r>
    <n v="51"/>
    <n v="0"/>
    <n v="2"/>
    <n v="2"/>
    <n v="1"/>
    <n v="4"/>
    <n v="0"/>
    <n v="46"/>
    <n v="5"/>
    <n v="2"/>
    <n v="2"/>
    <n v="5207"/>
    <n v="1650"/>
    <n v="3557"/>
    <n v="0.70799999999999996"/>
    <n v="1339"/>
    <n v="20"/>
    <n v="0.53800000000000003"/>
    <n v="0.317"/>
    <n v="1.1382E-4"/>
    <n v="0.99988999999999995"/>
    <s v="7.721668595565931"/>
    <s v="38.81144572114908"/>
    <s v="47.668916514912894"/>
    <s v="2.631852191933828"/>
    <n v="809855808"/>
    <x v="0"/>
    <n v="1.0598798E-3"/>
    <x v="0"/>
  </r>
  <r>
    <n v="60"/>
    <n v="0"/>
    <n v="1"/>
    <n v="2"/>
    <n v="2"/>
    <n v="1"/>
    <n v="0"/>
    <n v="42"/>
    <n v="3"/>
    <n v="2"/>
    <n v="1"/>
    <n v="3334"/>
    <n v="1151"/>
    <n v="2183"/>
    <n v="0.752"/>
    <n v="4791"/>
    <n v="101"/>
    <n v="0.629"/>
    <n v="0.34499999999999997"/>
    <s v="6.4428e-05"/>
    <n v="0.99994000000000005"/>
    <s v="5.914374858466173"/>
    <s v="27.529068694070364"/>
    <s v="43.84601589179636"/>
    <n v="11.356724347885701"/>
    <n v="711685758"/>
    <x v="0"/>
    <n v="3.2914013999999999E-4"/>
    <x v="0"/>
  </r>
  <r>
    <n v="48"/>
    <n v="1"/>
    <n v="1"/>
    <n v="5"/>
    <n v="3"/>
    <n v="2"/>
    <n v="0"/>
    <n v="35"/>
    <n v="3"/>
    <n v="2"/>
    <n v="2"/>
    <n v="17131"/>
    <n v="1213"/>
    <n v="15918"/>
    <n v="0.60399999999999998"/>
    <n v="1371"/>
    <n v="37"/>
    <n v="0.42299999999999999"/>
    <n v="7.0999999999999994E-2"/>
    <n v="1.0985E-4"/>
    <n v="0.99988999999999995"/>
    <s v="12.327219511952045"/>
    <s v="0.5399403453019077"/>
    <s v="11.811847677197582"/>
    <n v="8.4573612569003096"/>
    <n v="712370208"/>
    <x v="0"/>
    <n v="1.3718942999999999E-3"/>
    <x v="0"/>
  </r>
  <r>
    <n v="53"/>
    <n v="0"/>
    <n v="4"/>
    <n v="6"/>
    <n v="1"/>
    <n v="4"/>
    <n v="0"/>
    <n v="47"/>
    <n v="3"/>
    <n v="2"/>
    <n v="2"/>
    <n v="2734"/>
    <n v="2085"/>
    <n v="649"/>
    <n v="0.76400000000000001"/>
    <n v="4064"/>
    <n v="66"/>
    <n v="0.78400000000000003"/>
    <n v="0.76300000000000001"/>
    <n v="1.3121000000000001E-4"/>
    <n v="0.99987000000000004"/>
    <n v="9.1805431517761509"/>
    <s v="9.855368594936218"/>
    <s v="23.017873558223677"/>
    <s v="10.439640069102818"/>
    <n v="785500533"/>
    <x v="0"/>
    <n v="3.2101269999999999E-4"/>
    <x v="0"/>
  </r>
  <r>
    <n v="56"/>
    <n v="0"/>
    <n v="2"/>
    <n v="2"/>
    <n v="2"/>
    <n v="5"/>
    <n v="0"/>
    <n v="48"/>
    <n v="5"/>
    <n v="3"/>
    <n v="2"/>
    <n v="3934"/>
    <n v="2517"/>
    <n v="1417"/>
    <n v="0.68200000000000005"/>
    <n v="4837"/>
    <n v="87"/>
    <n v="0.67300000000000004"/>
    <n v="0.64"/>
    <n v="1.7987E-4"/>
    <n v="0.99982000000000004"/>
    <s v="15.009671077272364"/>
    <s v="37.70252393972213"/>
    <s v="127.48366633931616"/>
    <s v="11.756918687016352"/>
    <n v="713180433"/>
    <x v="0"/>
    <n v="3.4692350000000002E-4"/>
    <x v="0"/>
  </r>
  <r>
    <n v="51"/>
    <n v="0"/>
    <n v="2"/>
    <n v="1"/>
    <n v="2"/>
    <n v="5"/>
    <n v="0"/>
    <n v="45"/>
    <n v="6"/>
    <n v="3"/>
    <n v="1"/>
    <n v="2109"/>
    <n v="683"/>
    <n v="1426"/>
    <n v="0.59299999999999997"/>
    <n v="4321"/>
    <n v="58"/>
    <n v="0.81200000000000006"/>
    <n v="0.32400000000000001"/>
    <n v="1.5697000000000001E-4"/>
    <n v="0.99983999999999995"/>
    <s v="14.264475789174854"/>
    <n v="57.030832943819597"/>
    <s v="10.224033572483116"/>
    <s v="6.888863475042784"/>
    <n v="769183908"/>
    <x v="0"/>
    <n v="6.6513852999999996E-4"/>
    <x v="0"/>
  </r>
  <r>
    <n v="33"/>
    <n v="1"/>
    <n v="2"/>
    <n v="4"/>
    <n v="1"/>
    <n v="3"/>
    <n v="0"/>
    <n v="22"/>
    <n v="3"/>
    <n v="3"/>
    <n v="3"/>
    <n v="1438.3"/>
    <n v="681"/>
    <n v="757.3"/>
    <n v="1.542"/>
    <n v="2730"/>
    <n v="48"/>
    <n v="0.77800000000000002"/>
    <n v="0.47299999999999998"/>
    <n v="3.5594000000000001E-4"/>
    <n v="0.99963999999999997"/>
    <s v="17.060453834544596"/>
    <s v="36.45462518313765"/>
    <s v="2.857861776947541"/>
    <s v="3.3750773435115677"/>
    <n v="717835908"/>
    <x v="0"/>
    <n v="1.9155298000000001E-3"/>
    <x v="0"/>
  </r>
  <r>
    <n v="38"/>
    <n v="1"/>
    <n v="3"/>
    <n v="0"/>
    <n v="1"/>
    <n v="2"/>
    <n v="0"/>
    <n v="36"/>
    <n v="5"/>
    <n v="2"/>
    <n v="2"/>
    <n v="6114"/>
    <n v="1461"/>
    <n v="4653"/>
    <n v="0.77200000000000002"/>
    <n v="2608"/>
    <n v="36"/>
    <n v="0.38500000000000001"/>
    <n v="0.23899999999999999"/>
    <n v="0.99136999999999997"/>
    <n v="8.6300000000000005E-3"/>
    <s v="31.599157117522623"/>
    <s v="0.7328082685238144"/>
    <s v="21.914748019888336"/>
    <s v="13.967058559789916"/>
    <n v="708653958"/>
    <x v="1"/>
    <n v="0.99573140000000004"/>
    <x v="1"/>
  </r>
  <r>
    <n v="48"/>
    <n v="0"/>
    <n v="5"/>
    <n v="2"/>
    <n v="1"/>
    <n v="4"/>
    <n v="0"/>
    <n v="40"/>
    <n v="4"/>
    <n v="3"/>
    <n v="2"/>
    <n v="2860"/>
    <n v="2517"/>
    <n v="343"/>
    <n v="0.38"/>
    <n v="1544"/>
    <n v="45"/>
    <n v="0.36399999999999999"/>
    <n v="0.88"/>
    <n v="0.99463999999999997"/>
    <n v="5.3600000000000002E-3"/>
    <s v="41.034595440580944"/>
    <s v="20.91314138853708"/>
    <s v="35.37737384663245"/>
    <s v="9.418582982931545"/>
    <n v="716373483"/>
    <x v="1"/>
    <n v="0.99480480000000004"/>
    <x v="1"/>
  </r>
  <r>
    <n v="51"/>
    <n v="0"/>
    <n v="2"/>
    <n v="6"/>
    <n v="1"/>
    <n v="1"/>
    <n v="0"/>
    <n v="36"/>
    <n v="2"/>
    <n v="2"/>
    <n v="1"/>
    <n v="14800"/>
    <n v="1020"/>
    <n v="13780"/>
    <n v="0.89600000000000002"/>
    <n v="8796"/>
    <n v="94"/>
    <n v="0.59299999999999997"/>
    <n v="6.9000000000000006E-2"/>
    <s v="7.5449e-05"/>
    <n v="0.99992000000000003"/>
    <s v="26.51842934820361"/>
    <s v="55.29320936564988"/>
    <s v="30.422982019535898"/>
    <s v="9.434629814238992"/>
    <n v="712266633"/>
    <x v="0"/>
    <n v="4.4221846999999999E-4"/>
    <x v="0"/>
  </r>
  <r>
    <n v="45"/>
    <n v="1"/>
    <n v="3"/>
    <n v="0"/>
    <n v="3"/>
    <n v="3"/>
    <n v="0"/>
    <n v="31"/>
    <n v="2"/>
    <n v="1"/>
    <n v="4"/>
    <n v="20958"/>
    <n v="1936"/>
    <n v="19022"/>
    <n v="0.77200000000000002"/>
    <n v="14314"/>
    <n v="99"/>
    <n v="0.76800000000000002"/>
    <n v="9.1999999999999998E-2"/>
    <n v="1.5944E-4"/>
    <n v="0.99983999999999995"/>
    <n v="6.0584583138391102E-2"/>
    <s v="0.5023739094792868"/>
    <s v="41.49537941515024"/>
    <s v="11.387943900974347"/>
    <n v="720385608"/>
    <x v="0"/>
    <n v="3.5650693E-4"/>
    <x v="0"/>
  </r>
  <r>
    <n v="44"/>
    <n v="0"/>
    <n v="5"/>
    <n v="6"/>
    <n v="1"/>
    <n v="5"/>
    <n v="0"/>
    <n v="36"/>
    <n v="4"/>
    <n v="2"/>
    <n v="3"/>
    <n v="5791"/>
    <n v="0"/>
    <n v="5791"/>
    <n v="0.64500000000000002"/>
    <n v="4556"/>
    <n v="67"/>
    <n v="0.86099999999999999"/>
    <n v="0"/>
    <n v="2.1724E-4"/>
    <n v="0.99978"/>
    <s v="15.948647367185249"/>
    <s v="67.52408073095921"/>
    <s v="62.98967339941748"/>
    <s v="7.162720148526184"/>
    <n v="714462558"/>
    <x v="0"/>
    <n v="7.4965424999999997E-4"/>
    <x v="0"/>
  </r>
  <r>
    <n v="49"/>
    <n v="1"/>
    <n v="3"/>
    <n v="3"/>
    <n v="3"/>
    <n v="2"/>
    <n v="0"/>
    <n v="36"/>
    <n v="3"/>
    <n v="2"/>
    <n v="2"/>
    <n v="9551"/>
    <n v="1833"/>
    <n v="7718"/>
    <n v="1.675"/>
    <n v="3213"/>
    <n v="52"/>
    <n v="1.476"/>
    <n v="0.192"/>
    <n v="1.1482E-4"/>
    <n v="0.99988999999999995"/>
    <s v="30.00735036629525"/>
    <s v="3.164638866062406"/>
    <s v="177.59606591031016"/>
    <s v="4.2914288714498365"/>
    <n v="709513458"/>
    <x v="0"/>
    <n v="6.8526730000000003E-4"/>
    <x v="0"/>
  </r>
  <r>
    <n v="49"/>
    <n v="1"/>
    <n v="1"/>
    <n v="6"/>
    <n v="2"/>
    <n v="0"/>
    <n v="0"/>
    <n v="40"/>
    <n v="5"/>
    <n v="3"/>
    <n v="1"/>
    <n v="34516"/>
    <n v="0"/>
    <n v="34516"/>
    <n v="0.75900000000000001"/>
    <n v="3230"/>
    <n v="64"/>
    <n v="0.56100000000000005"/>
    <n v="0"/>
    <n v="1.1192E-4"/>
    <n v="0.99988999999999995"/>
    <s v="0.5003157205534288"/>
    <s v="25.76151282096928"/>
    <s v="2.7527632739940158"/>
    <s v="7.072910874983672"/>
    <n v="718963158"/>
    <x v="0"/>
    <n v="8.37512E-4"/>
    <x v="0"/>
  </r>
  <r>
    <n v="47"/>
    <n v="0"/>
    <n v="4"/>
    <n v="0"/>
    <n v="0"/>
    <n v="5"/>
    <n v="0"/>
    <n v="36"/>
    <n v="4"/>
    <n v="3"/>
    <n v="3"/>
    <n v="6769"/>
    <n v="274"/>
    <n v="6495"/>
    <n v="0.998"/>
    <n v="4885"/>
    <n v="54"/>
    <n v="0.35"/>
    <n v="0.04"/>
    <n v="0.99677000000000004"/>
    <n v="3.2305599999999999E-3"/>
    <s v="36.70259361026558"/>
    <s v="21.752577046946257"/>
    <s v="7.138277288858361"/>
    <s v="13.189178029210211"/>
    <n v="711736083"/>
    <x v="1"/>
    <n v="0.99680709999999995"/>
    <x v="1"/>
  </r>
  <r>
    <n v="57"/>
    <n v="0"/>
    <n v="2"/>
    <n v="3"/>
    <n v="0"/>
    <n v="4"/>
    <n v="0"/>
    <n v="50"/>
    <n v="5"/>
    <n v="3"/>
    <n v="5"/>
    <n v="3276"/>
    <n v="0"/>
    <n v="3276"/>
    <n v="0.97199999999999998"/>
    <n v="3758"/>
    <n v="61"/>
    <n v="0.69399999999999995"/>
    <n v="0"/>
    <n v="8.6777000000000002E-4"/>
    <n v="0.99912999999999996"/>
    <s v="11.987628406814745"/>
    <n v="3.61716393432997"/>
    <s v="64.00879323742411"/>
    <s v="0.3520104638036628"/>
    <n v="718358808"/>
    <x v="0"/>
    <n v="6.3730694000000004E-2"/>
    <x v="0"/>
  </r>
  <r>
    <n v="34"/>
    <n v="1"/>
    <n v="1"/>
    <n v="0"/>
    <n v="1"/>
    <n v="2"/>
    <n v="0"/>
    <n v="23"/>
    <n v="3"/>
    <n v="2"/>
    <n v="2"/>
    <n v="5510"/>
    <n v="1604"/>
    <n v="3906"/>
    <n v="0.55100000000000005"/>
    <n v="1995"/>
    <n v="53"/>
    <n v="0.26200000000000001"/>
    <n v="0.29099999999999998"/>
    <n v="1.0387000000000001E-4"/>
    <n v="0.99990000000000001"/>
    <s v="8.653663352003559"/>
    <s v="18.302881353867804"/>
    <s v="47.30937306796152"/>
    <s v="34.596844806408306"/>
    <n v="719873808"/>
    <x v="0"/>
    <n v="9.0803666000000005E-4"/>
    <x v="0"/>
  </r>
  <r>
    <n v="42"/>
    <n v="0"/>
    <n v="2"/>
    <n v="4"/>
    <n v="3"/>
    <n v="4"/>
    <n v="0"/>
    <n v="31"/>
    <n v="3"/>
    <n v="2"/>
    <n v="2"/>
    <n v="3809"/>
    <n v="1165"/>
    <n v="2644"/>
    <n v="0.63400000000000001"/>
    <n v="2306"/>
    <n v="46"/>
    <n v="0.64300000000000002"/>
    <n v="0.30599999999999999"/>
    <n v="1.3392999999999999E-4"/>
    <n v="0.99987000000000004"/>
    <s v="48.21703408626716"/>
    <s v="32.641898762780365"/>
    <s v="5.741829205360382"/>
    <s v="10.025115961183248"/>
    <n v="772204758"/>
    <x v="0"/>
    <n v="1.3649026000000001E-3"/>
    <x v="0"/>
  </r>
  <r>
    <n v="44"/>
    <n v="0"/>
    <n v="2"/>
    <n v="2"/>
    <n v="1"/>
    <n v="4"/>
    <n v="0"/>
    <n v="40"/>
    <n v="6"/>
    <n v="2"/>
    <n v="2"/>
    <n v="6022"/>
    <n v="871"/>
    <n v="5151"/>
    <n v="0.6"/>
    <n v="3745"/>
    <n v="74"/>
    <n v="0.42299999999999999"/>
    <n v="0.14499999999999999"/>
    <n v="1.1382E-4"/>
    <n v="0.99988999999999995"/>
    <s v="46.62601560445561"/>
    <s v="21.70711068617658"/>
    <s v="58.29727362868133"/>
    <s v="12.834159755267049"/>
    <n v="713175483"/>
    <x v="0"/>
    <n v="4.6951483999999998E-4"/>
    <x v="0"/>
  </r>
  <r>
    <n v="59"/>
    <n v="1"/>
    <n v="2"/>
    <n v="3"/>
    <n v="1"/>
    <n v="1"/>
    <n v="0"/>
    <n v="50"/>
    <n v="6"/>
    <n v="3"/>
    <n v="2"/>
    <n v="2701"/>
    <n v="1572"/>
    <n v="1129"/>
    <n v="0.47499999999999998"/>
    <n v="1469"/>
    <n v="36"/>
    <n v="0.5"/>
    <n v="0.58199999999999996"/>
    <n v="1.7485999999999999E-4"/>
    <n v="0.99983"/>
    <s v="45.58954330756587"/>
    <s v="43.80881861819432"/>
    <n v="37.4986008420899"/>
    <s v="13.82212309971652"/>
    <n v="714345783"/>
    <x v="0"/>
    <n v="1.1982243E-3"/>
    <x v="0"/>
  </r>
  <r>
    <n v="54"/>
    <n v="1"/>
    <n v="3"/>
    <n v="2"/>
    <n v="1"/>
    <n v="1"/>
    <n v="0"/>
    <n v="44"/>
    <n v="3"/>
    <n v="3"/>
    <n v="3"/>
    <n v="1655"/>
    <n v="0"/>
    <n v="1655"/>
    <n v="0.76600000000000001"/>
    <n v="4621"/>
    <n v="67"/>
    <n v="0.67500000000000004"/>
    <n v="0"/>
    <n v="3.1389999999999999E-4"/>
    <n v="0.99968999999999997"/>
    <s v="18.020906890340555"/>
    <s v="39.68514860243253"/>
    <s v="35.15811520875472"/>
    <s v="5.9686883800062684"/>
    <n v="709009833"/>
    <x v="0"/>
    <n v="7.4965424999999997E-4"/>
    <x v="0"/>
  </r>
  <r>
    <n v="44"/>
    <n v="1"/>
    <n v="2"/>
    <n v="1"/>
    <n v="3"/>
    <n v="1"/>
    <n v="0"/>
    <n v="36"/>
    <n v="5"/>
    <n v="3"/>
    <n v="4"/>
    <n v="1438.3"/>
    <n v="0"/>
    <n v="1438.3"/>
    <n v="0.60199999999999998"/>
    <n v="2100"/>
    <n v="54"/>
    <n v="0.58799999999999997"/>
    <n v="0"/>
    <n v="0.99865999999999999"/>
    <n v="1.33669E-3"/>
    <s v="8.204434818244703"/>
    <s v="14.424208081962131"/>
    <s v="72.92981938489918"/>
    <s v="1.1182300890147865"/>
    <n v="709548783"/>
    <x v="1"/>
    <n v="0.99668926000000002"/>
    <x v="1"/>
  </r>
  <r>
    <n v="45"/>
    <n v="0"/>
    <n v="3"/>
    <n v="2"/>
    <n v="2"/>
    <n v="5"/>
    <n v="0"/>
    <n v="27"/>
    <n v="4"/>
    <n v="3"/>
    <n v="3"/>
    <n v="2478"/>
    <n v="1748"/>
    <n v="730"/>
    <n v="0.64300000000000002"/>
    <n v="4353"/>
    <n v="80"/>
    <n v="0.66700000000000004"/>
    <n v="0.70499999999999996"/>
    <n v="3.1389999999999999E-4"/>
    <n v="0.99968999999999997"/>
    <n v="12.6107860312145"/>
    <s v="33.320262610832444"/>
    <s v="23.08587910744584"/>
    <s v="7.121087075653577"/>
    <n v="779281233"/>
    <x v="0"/>
    <n v="3.2101269999999999E-4"/>
    <x v="0"/>
  </r>
  <r>
    <n v="54"/>
    <n v="1"/>
    <n v="3"/>
    <n v="2"/>
    <n v="2"/>
    <n v="1"/>
    <n v="0"/>
    <n v="44"/>
    <n v="6"/>
    <n v="3"/>
    <n v="3"/>
    <n v="5501"/>
    <n v="0"/>
    <n v="5501"/>
    <n v="0.51900000000000002"/>
    <n v="2050"/>
    <n v="51"/>
    <n v="0.82099999999999995"/>
    <n v="0"/>
    <n v="0.99682999999999999"/>
    <n v="3.1745800000000002E-3"/>
    <s v="10.387437183206426"/>
    <s v="29.93446516231337"/>
    <s v="1.0710080766537646"/>
    <s v="13.932325055645478"/>
    <n v="789382758"/>
    <x v="1"/>
    <n v="0.99805485999999999"/>
    <x v="1"/>
  </r>
  <r>
    <n v="36"/>
    <n v="0"/>
    <n v="3"/>
    <n v="5"/>
    <n v="3"/>
    <n v="5"/>
    <n v="0"/>
    <n v="28"/>
    <n v="5"/>
    <n v="3"/>
    <n v="2"/>
    <n v="5393"/>
    <n v="2509"/>
    <n v="2884"/>
    <n v="0.67900000000000005"/>
    <n v="4769"/>
    <n v="102"/>
    <n v="0.72899999999999998"/>
    <n v="0.46500000000000002"/>
    <n v="1.9191E-4"/>
    <n v="0.99980999999999998"/>
    <s v="70.13808322734114"/>
    <s v="53.37994340108273"/>
    <s v="80.45300373289473"/>
    <s v="15.720121978504842"/>
    <n v="789996783"/>
    <x v="0"/>
    <n v="3.4692350000000002E-4"/>
    <x v="0"/>
  </r>
  <r>
    <n v="56"/>
    <n v="0"/>
    <n v="0"/>
    <n v="4"/>
    <n v="1"/>
    <n v="4"/>
    <n v="0"/>
    <n v="51"/>
    <n v="4"/>
    <n v="2"/>
    <n v="3"/>
    <n v="3617"/>
    <n v="878"/>
    <n v="2739"/>
    <n v="0.77700000000000002"/>
    <n v="5416"/>
    <n v="76"/>
    <n v="0.9"/>
    <n v="0.24299999999999999"/>
    <n v="1.9330000000000001E-4"/>
    <n v="0.99980999999999998"/>
    <s v="17.604314753124132"/>
    <s v="98.91485694278283"/>
    <s v="148.23056625266574"/>
    <s v="29.71469391557593"/>
    <n v="807173358"/>
    <x v="0"/>
    <n v="6.3320475999999995E-4"/>
    <x v="0"/>
  </r>
  <r>
    <n v="36"/>
    <n v="1"/>
    <n v="2"/>
    <n v="2"/>
    <n v="1"/>
    <n v="2"/>
    <n v="0"/>
    <n v="28"/>
    <n v="6"/>
    <n v="2"/>
    <n v="2"/>
    <n v="2540"/>
    <n v="1402"/>
    <n v="1138"/>
    <n v="1.127"/>
    <n v="2384"/>
    <n v="61"/>
    <n v="0.79400000000000004"/>
    <n v="0.55200000000000005"/>
    <n v="1.1382E-4"/>
    <n v="0.99988999999999995"/>
    <n v="10.595347654128499"/>
    <s v="65.11077076691844"/>
    <s v="67.66536059806225"/>
    <s v="20.327171235214344"/>
    <n v="716900433"/>
    <x v="0"/>
    <n v="3.9325566999999999E-4"/>
    <x v="0"/>
  </r>
  <r>
    <n v="46"/>
    <n v="1"/>
    <n v="3"/>
    <n v="2"/>
    <n v="2"/>
    <n v="1"/>
    <n v="0"/>
    <n v="36"/>
    <n v="4"/>
    <n v="2"/>
    <n v="3"/>
    <n v="1438.3"/>
    <n v="0"/>
    <n v="1438.3"/>
    <n v="0.95099999999999996"/>
    <n v="4374"/>
    <n v="71"/>
    <n v="0.77500000000000002"/>
    <n v="0"/>
    <n v="1.9864000000000001E-4"/>
    <n v="0.99980000000000002"/>
    <s v="29.20693601132327"/>
    <s v="17.87989352910035"/>
    <s v="11.918653115354518"/>
    <s v="17.213132663280206"/>
    <n v="714963558"/>
    <x v="0"/>
    <n v="7.6884776000000002E-4"/>
    <x v="0"/>
  </r>
  <r>
    <n v="48"/>
    <n v="1"/>
    <n v="3"/>
    <n v="2"/>
    <n v="1"/>
    <n v="3"/>
    <n v="0"/>
    <n v="37"/>
    <n v="5"/>
    <n v="2"/>
    <n v="4"/>
    <n v="7970"/>
    <n v="2434"/>
    <n v="5536"/>
    <n v="0.40600000000000003"/>
    <n v="1263"/>
    <n v="27"/>
    <n v="0.35"/>
    <n v="0.30499999999999999"/>
    <n v="0.99705999999999995"/>
    <n v="2.9414100000000002E-3"/>
    <s v="33.32661518078486"/>
    <s v="58.39637086536734"/>
    <s v="5.1514289743741335"/>
    <s v="6.864016356790343"/>
    <n v="771899433"/>
    <x v="1"/>
    <n v="0.99334149999999999"/>
    <x v="1"/>
  </r>
  <r>
    <n v="38"/>
    <n v="1"/>
    <n v="1"/>
    <n v="2"/>
    <n v="2"/>
    <n v="2"/>
    <n v="0"/>
    <n v="34"/>
    <n v="5"/>
    <n v="3"/>
    <n v="4"/>
    <n v="23391"/>
    <n v="1977"/>
    <n v="21414"/>
    <n v="0.55800000000000005"/>
    <n v="4106"/>
    <n v="85"/>
    <n v="0.80900000000000005"/>
    <n v="8.5000000000000006E-2"/>
    <n v="4.8434999999999998E-4"/>
    <n v="0.99951999999999996"/>
    <s v="26.324264206010398"/>
    <n v="3.7791964865883898"/>
    <s v="183.0143345385519"/>
    <n v="5.7483357992220698"/>
    <n v="822061683"/>
    <x v="0"/>
    <n v="3.3022385E-4"/>
    <x v="0"/>
  </r>
  <r>
    <n v="49"/>
    <n v="1"/>
    <n v="1"/>
    <n v="6"/>
    <n v="1"/>
    <n v="1"/>
    <n v="0"/>
    <n v="36"/>
    <n v="2"/>
    <n v="2"/>
    <n v="1"/>
    <n v="1438.3"/>
    <n v="0"/>
    <n v="1438.3"/>
    <n v="0.56999999999999995"/>
    <n v="5104"/>
    <n v="75"/>
    <n v="0.63"/>
    <n v="0"/>
    <s v="7.0819e-05"/>
    <n v="0.99992999999999999"/>
    <s v="34.37706274699109"/>
    <s v="55.52520407198315"/>
    <s v="49.00813525130516"/>
    <s v="8.106873990351623"/>
    <n v="720599658"/>
    <x v="0"/>
    <n v="7.1276520000000004E-4"/>
    <x v="0"/>
  </r>
  <r>
    <n v="48"/>
    <n v="1"/>
    <n v="4"/>
    <n v="2"/>
    <n v="3"/>
    <n v="3"/>
    <n v="0"/>
    <n v="40"/>
    <n v="6"/>
    <n v="2"/>
    <n v="2"/>
    <n v="4438"/>
    <n v="2472"/>
    <n v="1966"/>
    <n v="0.69"/>
    <n v="1725"/>
    <n v="60"/>
    <n v="0.622"/>
    <n v="0.55700000000000005"/>
    <n v="1.1937E-4"/>
    <n v="0.99987999999999999"/>
    <s v="24.418341212543567"/>
    <s v="52.35691723713798"/>
    <n v="48.909204778199197"/>
    <s v="4.422059469269633"/>
    <n v="721194858"/>
    <x v="0"/>
    <n v="4.552456E-4"/>
    <x v="0"/>
  </r>
  <r>
    <n v="60"/>
    <n v="0"/>
    <n v="1"/>
    <n v="0"/>
    <n v="1"/>
    <n v="4"/>
    <n v="0"/>
    <n v="53"/>
    <n v="4"/>
    <n v="3"/>
    <n v="3"/>
    <n v="3346"/>
    <n v="922"/>
    <n v="2424"/>
    <n v="0.91300000000000003"/>
    <n v="1276"/>
    <n v="21"/>
    <n v="0.75"/>
    <n v="0.27600000000000002"/>
    <n v="2.7607E-4"/>
    <n v="0.99972000000000005"/>
    <s v="12.585126234192243"/>
    <s v="79.32830770514174"/>
    <s v="105.76845298180226"/>
    <n v="6.01586785094127E-2"/>
    <n v="720445533"/>
    <x v="0"/>
    <n v="1.3629547E-3"/>
    <x v="0"/>
  </r>
  <r>
    <n v="39"/>
    <n v="0"/>
    <n v="3"/>
    <n v="0"/>
    <n v="2"/>
    <n v="4"/>
    <n v="0"/>
    <n v="25"/>
    <n v="6"/>
    <n v="1"/>
    <n v="2"/>
    <n v="3920"/>
    <n v="2008"/>
    <n v="1912"/>
    <n v="0.94399999999999995"/>
    <n v="3178"/>
    <n v="53"/>
    <n v="0.65600000000000003"/>
    <n v="0.51200000000000001"/>
    <s v="5.5564e-05"/>
    <n v="0.99994000000000005"/>
    <s v="19.088496382173204"/>
    <s v="36.77977120653314"/>
    <s v="80.02725226394008"/>
    <s v="14.433253419497705"/>
    <n v="712506708"/>
    <x v="0"/>
    <n v="7.0019750000000001E-4"/>
    <x v="0"/>
  </r>
  <r>
    <n v="38"/>
    <n v="1"/>
    <n v="2"/>
    <n v="2"/>
    <n v="2"/>
    <n v="2"/>
    <n v="0"/>
    <n v="30"/>
    <n v="3"/>
    <n v="2"/>
    <n v="4"/>
    <n v="2346"/>
    <n v="0"/>
    <n v="2346"/>
    <n v="0.39400000000000002"/>
    <n v="3982"/>
    <n v="72"/>
    <n v="0.53200000000000003"/>
    <n v="0"/>
    <n v="3.2655999999999999E-4"/>
    <n v="0.99966999999999995"/>
    <s v="9.033743056670144"/>
    <s v="103.47201735008908"/>
    <s v="50.851918460323816"/>
    <s v="1.1352167921537015"/>
    <n v="721158108"/>
    <x v="0"/>
    <n v="7.387203E-4"/>
    <x v="0"/>
  </r>
  <r>
    <n v="47"/>
    <n v="0"/>
    <n v="3"/>
    <n v="3"/>
    <n v="2"/>
    <n v="1"/>
    <n v="0"/>
    <n v="41"/>
    <n v="6"/>
    <n v="5"/>
    <n v="3"/>
    <n v="1721"/>
    <n v="1355"/>
    <n v="366"/>
    <n v="0.92600000000000005"/>
    <n v="4474"/>
    <n v="58"/>
    <n v="1.32"/>
    <n v="0.78700000000000003"/>
    <n v="3.4082999999999997E-4"/>
    <n v="0.99965999999999999"/>
    <s v="8.026926394422846"/>
    <s v="24.43938707553045"/>
    <s v="97.51386034972354"/>
    <s v="4.718451592202125"/>
    <n v="803880108"/>
    <x v="0"/>
    <n v="3.838057E-4"/>
    <x v="0"/>
  </r>
  <r>
    <n v="59"/>
    <n v="0"/>
    <n v="0"/>
    <n v="4"/>
    <n v="1"/>
    <n v="1"/>
    <n v="0"/>
    <n v="40"/>
    <n v="1"/>
    <n v="4"/>
    <n v="1"/>
    <n v="1438.3"/>
    <n v="0"/>
    <n v="1438.3"/>
    <n v="1.038"/>
    <n v="689"/>
    <n v="23"/>
    <n v="0.35299999999999998"/>
    <n v="0"/>
    <n v="0.99250000000000005"/>
    <n v="7.4999999999999997E-3"/>
    <s v="27.65929735608085"/>
    <s v="61.79524163904823"/>
    <s v="29.72533731560952"/>
    <s v="3.2704446622775505"/>
    <n v="778867533"/>
    <x v="1"/>
    <n v="0.99877890000000003"/>
    <x v="1"/>
  </r>
  <r>
    <n v="29"/>
    <n v="1"/>
    <n v="0"/>
    <n v="0"/>
    <n v="0"/>
    <n v="5"/>
    <n v="0"/>
    <n v="15"/>
    <n v="6"/>
    <n v="3"/>
    <n v="2"/>
    <n v="3107"/>
    <n v="1720"/>
    <n v="1387"/>
    <n v="0.66100000000000003"/>
    <n v="2460"/>
    <n v="71"/>
    <n v="0.69"/>
    <n v="0.55400000000000005"/>
    <n v="1.5007E-4"/>
    <n v="0.99985000000000002"/>
    <s v="1.0015921010042168"/>
    <s v="63.65706353722911"/>
    <s v="191.52585466806264"/>
    <s v="2.429324539298105"/>
    <n v="719415858"/>
    <x v="0"/>
    <n v="3.9451056999999999E-4"/>
    <x v="0"/>
  </r>
  <r>
    <n v="37"/>
    <n v="0"/>
    <n v="4"/>
    <n v="5"/>
    <n v="1"/>
    <n v="4"/>
    <n v="0"/>
    <n v="18"/>
    <n v="5"/>
    <n v="1"/>
    <n v="2"/>
    <n v="2930"/>
    <n v="2024"/>
    <n v="906"/>
    <n v="0.90300000000000002"/>
    <n v="1686"/>
    <n v="34"/>
    <n v="0.7"/>
    <n v="0.69099999999999995"/>
    <s v="5.9391e-05"/>
    <n v="0.99994000000000005"/>
    <s v="30.743077479982205"/>
    <s v="11.440907034330811"/>
    <s v="104.7422399922952"/>
    <s v="0.9791976835017936"/>
    <n v="778698408"/>
    <x v="0"/>
    <n v="1.0337284E-3"/>
    <x v="0"/>
  </r>
  <r>
    <n v="32"/>
    <n v="1"/>
    <n v="0"/>
    <n v="3"/>
    <n v="1"/>
    <n v="2"/>
    <n v="0"/>
    <n v="13"/>
    <n v="3"/>
    <n v="3"/>
    <n v="4"/>
    <n v="14308"/>
    <n v="1889"/>
    <n v="12419"/>
    <n v="1.0529999999999999"/>
    <n v="1659"/>
    <n v="39"/>
    <n v="1.167"/>
    <n v="0.13200000000000001"/>
    <n v="4.3049000000000001E-4"/>
    <n v="0.99956999999999996"/>
    <n v="53.6906037379607"/>
    <s v="55.85870513326939"/>
    <s v="38.65304465834376"/>
    <s v="6.863609540610149"/>
    <n v="778401033"/>
    <x v="0"/>
    <n v="1.0249399E-3"/>
    <x v="0"/>
  </r>
  <r>
    <n v="61"/>
    <n v="0"/>
    <n v="1"/>
    <n v="3"/>
    <n v="2"/>
    <n v="5"/>
    <n v="0"/>
    <n v="52"/>
    <n v="3"/>
    <n v="2"/>
    <n v="4"/>
    <n v="3293"/>
    <n v="0"/>
    <n v="3293"/>
    <n v="0.83799999999999997"/>
    <n v="3121"/>
    <n v="56"/>
    <n v="0.86699999999999999"/>
    <n v="0"/>
    <n v="0.99665999999999999"/>
    <n v="3.3436400000000002E-3"/>
    <s v="31.44776272649496"/>
    <s v="24.77834774211606"/>
    <s v="17.998211488719406"/>
    <n v="8.0144066574132103E-2"/>
    <n v="716697708"/>
    <x v="1"/>
    <n v="0.99437629999999999"/>
    <x v="1"/>
  </r>
  <r>
    <n v="49"/>
    <n v="0"/>
    <n v="5"/>
    <n v="2"/>
    <n v="2"/>
    <n v="4"/>
    <n v="0"/>
    <n v="44"/>
    <n v="6"/>
    <n v="1"/>
    <n v="2"/>
    <n v="8256"/>
    <n v="864"/>
    <n v="7392"/>
    <n v="1.5409999999999999"/>
    <n v="1291"/>
    <n v="33"/>
    <n v="3.714"/>
    <n v="0.105"/>
    <s v="5.6861e-05"/>
    <n v="0.99994000000000005"/>
    <s v="49.86405995856069"/>
    <s v="2.439800723592365"/>
    <s v="32.536141188567505"/>
    <n v="5.3527913144329"/>
    <n v="818770008"/>
    <x v="0"/>
    <n v="1.5545053E-3"/>
    <x v="0"/>
  </r>
  <r>
    <n v="63"/>
    <n v="1"/>
    <n v="1"/>
    <n v="2"/>
    <n v="2"/>
    <n v="2"/>
    <n v="0"/>
    <n v="52"/>
    <n v="6"/>
    <n v="4"/>
    <n v="3"/>
    <n v="14324"/>
    <n v="2507"/>
    <n v="11817"/>
    <n v="0.433"/>
    <n v="2083"/>
    <n v="56"/>
    <n v="0.64700000000000002"/>
    <n v="0.17499999999999999"/>
    <n v="0.99709999999999999"/>
    <n v="2.90471E-3"/>
    <s v="4.410896881387416"/>
    <s v="25.18902896945908"/>
    <s v="59.249097731298704"/>
    <s v="8.067580746532693"/>
    <n v="772286658"/>
    <x v="1"/>
    <n v="0.99032229999999999"/>
    <x v="1"/>
  </r>
  <r>
    <n v="35"/>
    <n v="1"/>
    <n v="3"/>
    <n v="1"/>
    <n v="1"/>
    <n v="3"/>
    <n v="0"/>
    <n v="30"/>
    <n v="5"/>
    <n v="3"/>
    <n v="4"/>
    <n v="13590"/>
    <n v="1528"/>
    <n v="12062"/>
    <n v="0.72799999999999998"/>
    <n v="2137"/>
    <n v="52"/>
    <n v="0.48599999999999999"/>
    <n v="0.112"/>
    <n v="0.99870999999999999"/>
    <n v="1.2882200000000001E-3"/>
    <s v="1.2527398807761496"/>
    <s v="1.3750478056889543"/>
    <n v="86.537956353091403"/>
    <s v="3.2806828510872204"/>
    <n v="718673358"/>
    <x v="1"/>
    <n v="0.99248190000000003"/>
    <x v="1"/>
  </r>
  <r>
    <n v="52"/>
    <n v="0"/>
    <n v="2"/>
    <n v="0"/>
    <n v="1"/>
    <n v="1"/>
    <n v="0"/>
    <n v="40"/>
    <n v="5"/>
    <n v="3"/>
    <n v="1"/>
    <n v="1438.3"/>
    <n v="0"/>
    <n v="1438.3"/>
    <n v="0.82499999999999996"/>
    <n v="4700"/>
    <n v="92"/>
    <n v="0.70399999999999996"/>
    <n v="0"/>
    <n v="1.0546E-4"/>
    <n v="0.99988999999999995"/>
    <s v="6.950390133297364"/>
    <s v="22.171058346682475"/>
    <s v="17.96914847447911"/>
    <s v="9.030894028671735"/>
    <n v="717524433"/>
    <x v="0"/>
    <n v="6.9517245999999998E-4"/>
    <x v="0"/>
  </r>
  <r>
    <n v="54"/>
    <n v="1"/>
    <n v="5"/>
    <n v="2"/>
    <n v="1"/>
    <n v="2"/>
    <n v="0"/>
    <n v="38"/>
    <n v="3"/>
    <n v="3"/>
    <n v="3"/>
    <n v="2290"/>
    <n v="1434"/>
    <n v="856"/>
    <n v="0.92300000000000004"/>
    <n v="1119"/>
    <n v="18"/>
    <n v="3.5"/>
    <n v="0.626"/>
    <n v="3.1231E-4"/>
    <n v="0.99968999999999997"/>
    <s v="27.541926396810123"/>
    <s v="1.634359179140294"/>
    <s v="33.348577408154355"/>
    <s v="2.6411325228302096"/>
    <n v="719942883"/>
    <x v="0"/>
    <n v="1.0249399E-3"/>
    <x v="0"/>
  </r>
  <r>
    <n v="56"/>
    <n v="0"/>
    <n v="1"/>
    <n v="2"/>
    <n v="1"/>
    <n v="4"/>
    <n v="0"/>
    <n v="51"/>
    <n v="3"/>
    <n v="3"/>
    <n v="4"/>
    <n v="1438.3"/>
    <n v="0"/>
    <n v="1438.3"/>
    <n v="0.79800000000000004"/>
    <n v="3877"/>
    <n v="70"/>
    <n v="0.55600000000000005"/>
    <n v="0"/>
    <n v="4.8434999999999998E-4"/>
    <n v="0.99951999999999996"/>
    <s v="10.254103826856635"/>
    <s v="43.15069346366943"/>
    <s v="91.70662452502144"/>
    <s v="14.473454399516312"/>
    <n v="719309133"/>
    <x v="0"/>
    <n v="7.9661230000000003E-4"/>
    <x v="0"/>
  </r>
  <r>
    <n v="36"/>
    <n v="1"/>
    <n v="2"/>
    <n v="2"/>
    <n v="2"/>
    <n v="4"/>
    <n v="0"/>
    <n v="36"/>
    <n v="3"/>
    <n v="3"/>
    <n v="3"/>
    <n v="4225"/>
    <n v="2517"/>
    <n v="1708"/>
    <n v="0.66200000000000003"/>
    <n v="2659"/>
    <n v="43"/>
    <n v="0.38700000000000001"/>
    <n v="0.59599999999999997"/>
    <n v="0.99670999999999998"/>
    <n v="3.29379E-3"/>
    <s v="13.579077462353776"/>
    <s v="17.741708711997084"/>
    <s v="0.1669839921870618"/>
    <s v="9.214248289289246"/>
    <n v="718913358"/>
    <x v="1"/>
    <n v="0.99596244"/>
    <x v="1"/>
  </r>
  <r>
    <n v="44"/>
    <n v="1"/>
    <n v="4"/>
    <n v="6"/>
    <n v="2"/>
    <n v="2"/>
    <n v="0"/>
    <n v="36"/>
    <n v="3"/>
    <n v="1"/>
    <n v="2"/>
    <n v="18721"/>
    <n v="1568"/>
    <n v="17153"/>
    <n v="0.78800000000000003"/>
    <n v="4537"/>
    <n v="81"/>
    <n v="0.8"/>
    <n v="8.4000000000000005E-2"/>
    <s v="6.3492e-05"/>
    <n v="0.99994000000000005"/>
    <s v="71.35042964726517"/>
    <s v="24.194143208884157"/>
    <s v="20.45103752177604"/>
    <s v="2.5088295168723773"/>
    <n v="711673983"/>
    <x v="0"/>
    <n v="3.3022385E-4"/>
    <x v="0"/>
  </r>
  <r>
    <n v="49"/>
    <n v="0"/>
    <n v="4"/>
    <n v="2"/>
    <n v="1"/>
    <n v="4"/>
    <n v="0"/>
    <n v="39"/>
    <n v="4"/>
    <n v="2"/>
    <n v="3"/>
    <n v="5095"/>
    <n v="0"/>
    <n v="5095"/>
    <n v="0.72899999999999998"/>
    <n v="3808"/>
    <n v="89"/>
    <n v="0.50800000000000001"/>
    <n v="0"/>
    <n v="2.0076999999999999E-4"/>
    <n v="0.99980000000000002"/>
    <s v="17.14291078519863"/>
    <s v="2.667193937106434"/>
    <s v="26.458580994040613"/>
    <s v="6.059525867627363"/>
    <n v="772545858"/>
    <x v="0"/>
    <n v="7.7293770000000004E-4"/>
    <x v="0"/>
  </r>
  <r>
    <n v="53"/>
    <n v="0"/>
    <n v="4"/>
    <n v="2"/>
    <n v="1"/>
    <n v="4"/>
    <n v="0"/>
    <n v="36"/>
    <n v="2"/>
    <n v="3"/>
    <n v="6"/>
    <n v="4005"/>
    <n v="0"/>
    <n v="4005"/>
    <n v="0.89600000000000002"/>
    <n v="7022"/>
    <n v="75"/>
    <n v="0.66700000000000004"/>
    <n v="0"/>
    <n v="0.99939"/>
    <n v="6.0765000000000005E-4"/>
    <s v="15.100674935862422"/>
    <s v="15.369069212848633"/>
    <s v="17.180922748614822"/>
    <s v="18.46111049778837"/>
    <n v="714941358"/>
    <x v="1"/>
    <n v="0.99220830000000004"/>
    <x v="1"/>
  </r>
  <r>
    <n v="43"/>
    <n v="1"/>
    <n v="5"/>
    <n v="6"/>
    <n v="2"/>
    <n v="2"/>
    <n v="0"/>
    <n v="24"/>
    <n v="3"/>
    <n v="1"/>
    <n v="3"/>
    <n v="4556"/>
    <n v="0"/>
    <n v="4556"/>
    <n v="0.96099999999999997"/>
    <n v="4273"/>
    <n v="82"/>
    <n v="0.64"/>
    <n v="0"/>
    <n v="1.0512E-4"/>
    <n v="0.99988999999999995"/>
    <s v="39.78336734425304"/>
    <s v="30.10956652030574"/>
    <s v="49.90967955466894"/>
    <s v="4.297447081810223"/>
    <n v="788767983"/>
    <x v="0"/>
    <n v="7.6589819999999995E-4"/>
    <x v="0"/>
  </r>
  <r>
    <n v="46"/>
    <n v="1"/>
    <n v="3"/>
    <n v="3"/>
    <n v="2"/>
    <n v="1"/>
    <n v="0"/>
    <n v="39"/>
    <n v="2"/>
    <n v="3"/>
    <n v="2"/>
    <n v="9432"/>
    <n v="1418"/>
    <n v="8014"/>
    <n v="0.61199999999999999"/>
    <n v="1319"/>
    <n v="26"/>
    <n v="0.36799999999999999"/>
    <n v="0.15"/>
    <n v="1.8144999999999999E-4"/>
    <n v="0.99982000000000004"/>
    <s v="11.683711137524371"/>
    <s v="24.68612816089237"/>
    <s v="49.468047789290935"/>
    <s v="1.9529827914958688"/>
    <n v="754897008"/>
    <x v="0"/>
    <n v="1.4769314E-3"/>
    <x v="0"/>
  </r>
  <r>
    <n v="53"/>
    <n v="1"/>
    <n v="5"/>
    <n v="5"/>
    <n v="1"/>
    <n v="0"/>
    <n v="0"/>
    <n v="38"/>
    <n v="4"/>
    <n v="2"/>
    <n v="2"/>
    <n v="19138"/>
    <n v="0"/>
    <n v="19138"/>
    <n v="0.48199999999999998"/>
    <n v="2028"/>
    <n v="43"/>
    <n v="0.30299999999999999"/>
    <n v="0"/>
    <n v="0.99178999999999995"/>
    <n v="8.2100000000000003E-3"/>
    <s v="7.109738046491508"/>
    <s v="39.25148911190723"/>
    <s v="62.50628163522732"/>
    <s v="3.2720577860300053"/>
    <n v="709520058"/>
    <x v="1"/>
    <n v="0.99873226999999998"/>
    <x v="1"/>
  </r>
  <r>
    <n v="37"/>
    <n v="0"/>
    <n v="3"/>
    <n v="3"/>
    <n v="2"/>
    <n v="4"/>
    <n v="0"/>
    <n v="31"/>
    <n v="5"/>
    <n v="1"/>
    <n v="3"/>
    <n v="1438.3"/>
    <n v="0"/>
    <n v="1438.3"/>
    <n v="0.79"/>
    <n v="2075"/>
    <n v="66"/>
    <n v="0.69199999999999995"/>
    <n v="0"/>
    <s v="9.3448e-05"/>
    <n v="0.99990999999999997"/>
    <s v="10.93704467528494"/>
    <s v="46.32370539305778"/>
    <s v="133.8224035923051"/>
    <n v="9.1294762571139501"/>
    <n v="773389908"/>
    <x v="0"/>
    <n v="9.3934225E-4"/>
    <x v="0"/>
  </r>
  <r>
    <n v="52"/>
    <n v="0"/>
    <n v="0"/>
    <n v="2"/>
    <n v="2"/>
    <n v="5"/>
    <n v="0"/>
    <n v="36"/>
    <n v="3"/>
    <n v="4"/>
    <n v="1"/>
    <n v="12366"/>
    <n v="0"/>
    <n v="12366"/>
    <n v="0.73799999999999999"/>
    <n v="4880"/>
    <n v="76"/>
    <n v="0.9"/>
    <n v="0"/>
    <n v="1.125E-4"/>
    <n v="0.99988999999999995"/>
    <n v="54.569733129861"/>
    <s v="45.44732404872892"/>
    <s v="36.09843474314802"/>
    <s v="24.273996791902235"/>
    <n v="719414658"/>
    <x v="0"/>
    <n v="6.9517245999999998E-4"/>
    <x v="0"/>
  </r>
  <r>
    <n v="45"/>
    <n v="1"/>
    <n v="1"/>
    <n v="5"/>
    <n v="2"/>
    <n v="0"/>
    <n v="0"/>
    <n v="39"/>
    <n v="4"/>
    <n v="2"/>
    <n v="2"/>
    <n v="3133"/>
    <n v="1510"/>
    <n v="1623"/>
    <n v="0.60899999999999999"/>
    <n v="1435"/>
    <n v="38"/>
    <n v="0.46200000000000002"/>
    <n v="0.48199999999999998"/>
    <n v="1.0985E-4"/>
    <n v="0.99988999999999995"/>
    <s v="29.65312832637869"/>
    <s v="45.48733163464631"/>
    <n v="14.543090802447001"/>
    <s v="4.236900272468084"/>
    <n v="799471833"/>
    <x v="0"/>
    <n v="1.1982243E-3"/>
    <x v="0"/>
  </r>
  <r>
    <n v="65"/>
    <n v="0"/>
    <n v="1"/>
    <n v="6"/>
    <n v="2"/>
    <n v="5"/>
    <n v="0"/>
    <n v="36"/>
    <n v="5"/>
    <n v="1"/>
    <n v="2"/>
    <n v="5018"/>
    <n v="1131"/>
    <n v="3887"/>
    <n v="0.624"/>
    <n v="4028"/>
    <n v="81"/>
    <n v="0.8"/>
    <n v="0.22500000000000001"/>
    <s v="5.6825e-05"/>
    <n v="0.99994000000000005"/>
    <s v="6.326930284789608"/>
    <s v="22.29800182458277"/>
    <s v="50.87279851928854"/>
    <n v="4.9472038880754798"/>
    <n v="717134058"/>
    <x v="0"/>
    <n v="3.2101269999999999E-4"/>
    <x v="0"/>
  </r>
  <r>
    <n v="52"/>
    <n v="1"/>
    <n v="1"/>
    <n v="6"/>
    <n v="2"/>
    <n v="0"/>
    <n v="0"/>
    <n v="44"/>
    <n v="6"/>
    <n v="1"/>
    <n v="2"/>
    <n v="34516"/>
    <n v="0"/>
    <n v="34516"/>
    <n v="1.03"/>
    <n v="2848"/>
    <n v="56"/>
    <n v="0.75"/>
    <n v="0"/>
    <s v="5.6825e-05"/>
    <n v="0.99994000000000005"/>
    <s v="12.56834823447446"/>
    <s v="50.58256751181437"/>
    <s v="36.52343012874092"/>
    <s v="4.104067438963645"/>
    <n v="715392558"/>
    <x v="0"/>
    <n v="1.5990919000000001E-3"/>
    <x v="0"/>
  </r>
  <r>
    <n v="41"/>
    <n v="0"/>
    <n v="3"/>
    <n v="0"/>
    <n v="1"/>
    <n v="1"/>
    <n v="0"/>
    <n v="15"/>
    <n v="5"/>
    <n v="3"/>
    <n v="4"/>
    <n v="4312"/>
    <n v="2517"/>
    <n v="1795"/>
    <n v="0.74099999999999999"/>
    <n v="2693"/>
    <n v="56"/>
    <n v="0.436"/>
    <n v="0.58399999999999996"/>
    <n v="0.99807999999999997"/>
    <n v="1.9162999999999999E-3"/>
    <s v="21.474316011128924"/>
    <s v="21.937838658235076"/>
    <s v="41.76144100732856"/>
    <s v="20.62394787240766"/>
    <n v="716272158"/>
    <x v="1"/>
    <n v="0.98754010000000003"/>
    <x v="1"/>
  </r>
  <r>
    <n v="31"/>
    <n v="0"/>
    <n v="0"/>
    <n v="0"/>
    <n v="1"/>
    <n v="5"/>
    <n v="3"/>
    <n v="24"/>
    <n v="2"/>
    <n v="3"/>
    <n v="1"/>
    <n v="34516"/>
    <n v="2032"/>
    <n v="32484"/>
    <n v="0.82"/>
    <n v="14544"/>
    <n v="104"/>
    <n v="0.70499999999999996"/>
    <n v="5.8999999999999997E-2"/>
    <s v="8.1774e-05"/>
    <n v="0.99992000000000003"/>
    <s v="24.27298356347376"/>
    <s v="40.30256311909922"/>
    <s v="7.634806881854501"/>
    <s v="6.777465168292554"/>
    <n v="719768658"/>
    <x v="0"/>
    <n v="3.8573547000000003E-4"/>
    <x v="0"/>
  </r>
  <r>
    <n v="53"/>
    <n v="1"/>
    <n v="1"/>
    <n v="5"/>
    <n v="1"/>
    <n v="1"/>
    <n v="0"/>
    <n v="43"/>
    <n v="3"/>
    <n v="1"/>
    <n v="2"/>
    <n v="4426"/>
    <n v="1530"/>
    <n v="2896"/>
    <n v="0.51800000000000002"/>
    <n v="1231"/>
    <n v="34"/>
    <n v="0.214"/>
    <n v="0.34599999999999997"/>
    <s v="5.3155e-05"/>
    <n v="0.99995000000000001"/>
    <s v="6.057098326938528"/>
    <s v="32.26386330924558"/>
    <s v="157.68342772755614"/>
    <s v="15.18916681532576"/>
    <n v="772460508"/>
    <x v="0"/>
    <n v="1.232702E-3"/>
    <x v="0"/>
  </r>
  <r>
    <n v="41"/>
    <n v="1"/>
    <n v="4"/>
    <n v="3"/>
    <n v="2"/>
    <n v="0"/>
    <n v="0"/>
    <n v="28"/>
    <n v="5"/>
    <n v="1"/>
    <n v="4"/>
    <n v="34516"/>
    <n v="0"/>
    <n v="34516"/>
    <n v="0.79100000000000004"/>
    <n v="4004"/>
    <n v="86"/>
    <n v="0.755"/>
    <n v="0"/>
    <n v="1.6112E-4"/>
    <n v="0.99983999999999995"/>
    <s v="16.931020594815593"/>
    <s v="60.43098070362549"/>
    <n v="30.363708930546501"/>
    <s v="6.586560515860863"/>
    <n v="709585758"/>
    <x v="0"/>
    <n v="6.9517245999999998E-4"/>
    <x v="0"/>
  </r>
  <r>
    <n v="48"/>
    <n v="0"/>
    <n v="2"/>
    <n v="6"/>
    <n v="1"/>
    <n v="4"/>
    <n v="0"/>
    <n v="36"/>
    <n v="5"/>
    <n v="1"/>
    <n v="3"/>
    <n v="7151"/>
    <n v="800"/>
    <n v="6351"/>
    <n v="0.98599999999999999"/>
    <n v="854"/>
    <n v="22"/>
    <n v="0.375"/>
    <n v="0.112"/>
    <n v="0.99028000000000005"/>
    <n v="9.7199999999999995E-3"/>
    <s v="11.185442779238045"/>
    <n v="31.2024398685538"/>
    <n v="26.443372104347699"/>
    <s v="3.7728137699152695"/>
    <n v="720071583"/>
    <x v="1"/>
    <n v="0.99707279999999998"/>
    <x v="1"/>
  </r>
  <r>
    <n v="39"/>
    <n v="0"/>
    <n v="1"/>
    <n v="5"/>
    <n v="1"/>
    <n v="1"/>
    <n v="0"/>
    <n v="36"/>
    <n v="4"/>
    <n v="1"/>
    <n v="4"/>
    <n v="3272"/>
    <n v="2323"/>
    <n v="949"/>
    <n v="1.123"/>
    <n v="4763"/>
    <n v="86"/>
    <n v="0.59299999999999997"/>
    <n v="0.71"/>
    <n v="1.5252000000000001E-4"/>
    <n v="0.99985000000000002"/>
    <s v="25.797831608888742"/>
    <s v="22.44945838581241"/>
    <s v="15.721746231701973"/>
    <s v="7.345118577890142"/>
    <n v="721384308"/>
    <x v="0"/>
    <n v="3.3028650000000001E-4"/>
    <x v="0"/>
  </r>
  <r>
    <n v="51"/>
    <n v="0"/>
    <n v="1"/>
    <n v="2"/>
    <n v="1"/>
    <n v="1"/>
    <n v="0"/>
    <n v="45"/>
    <n v="5"/>
    <n v="2"/>
    <n v="2"/>
    <n v="6778"/>
    <n v="865"/>
    <n v="5913"/>
    <n v="0.99199999999999999"/>
    <n v="3158"/>
    <n v="71"/>
    <n v="0.77500000000000002"/>
    <n v="0.128"/>
    <n v="1.0684E-4"/>
    <n v="0.99988999999999995"/>
    <s v="31.052436849825437"/>
    <s v="21.484378882478943"/>
    <s v="94.07341755186695"/>
    <s v="21.911140893547884"/>
    <n v="768965208"/>
    <x v="0"/>
    <n v="4.5523299999999998E-4"/>
    <x v="0"/>
  </r>
  <r>
    <n v="50"/>
    <n v="0"/>
    <n v="3"/>
    <n v="2"/>
    <n v="1"/>
    <n v="4"/>
    <n v="0"/>
    <n v="38"/>
    <n v="6"/>
    <n v="3"/>
    <n v="2"/>
    <n v="3026"/>
    <n v="1888"/>
    <n v="1138"/>
    <n v="0.76200000000000001"/>
    <n v="3687"/>
    <n v="58"/>
    <n v="0.81200000000000006"/>
    <n v="0.624"/>
    <n v="1.8665000000000001E-4"/>
    <n v="0.99980999999999998"/>
    <s v="2.1695355669423506"/>
    <n v="92.8468363292166"/>
    <s v="104.5701055059206"/>
    <s v="19.91487416840377"/>
    <n v="789150633"/>
    <x v="0"/>
    <n v="3.9187474999999999E-4"/>
    <x v="0"/>
  </r>
  <r>
    <n v="39"/>
    <n v="0"/>
    <n v="0"/>
    <n v="6"/>
    <n v="2"/>
    <n v="1"/>
    <n v="3"/>
    <n v="26"/>
    <n v="1"/>
    <n v="1"/>
    <n v="1"/>
    <n v="22054"/>
    <n v="1146"/>
    <n v="20908"/>
    <n v="0.84199999999999997"/>
    <n v="8055"/>
    <n v="82"/>
    <n v="0.67300000000000004"/>
    <n v="5.1999999999999998E-2"/>
    <s v="2.8307e-05"/>
    <n v="0.99997000000000003"/>
    <n v="8.9947446348457902E-2"/>
    <s v="79.34754963775666"/>
    <s v="75.02467638161305"/>
    <n v="3.73389677069374"/>
    <n v="770920908"/>
    <x v="0"/>
    <n v="4.1022256E-4"/>
    <x v="0"/>
  </r>
  <r>
    <n v="50"/>
    <n v="1"/>
    <n v="2"/>
    <n v="2"/>
    <n v="1"/>
    <n v="1"/>
    <n v="0"/>
    <n v="40"/>
    <n v="4"/>
    <n v="3"/>
    <n v="2"/>
    <n v="5435"/>
    <n v="1243"/>
    <n v="4192"/>
    <n v="0.749"/>
    <n v="16202"/>
    <n v="117"/>
    <n v="0.67100000000000004"/>
    <n v="0.22900000000000001"/>
    <n v="1.7987E-4"/>
    <n v="0.99982000000000004"/>
    <n v="8.2591572668455306"/>
    <s v="17.191383971320427"/>
    <s v="131.7170920418414"/>
    <s v="16.640491642041567"/>
    <n v="711348033"/>
    <x v="0"/>
    <n v="3.4656386999999997E-4"/>
    <x v="0"/>
  </r>
  <r>
    <n v="43"/>
    <n v="1"/>
    <n v="3"/>
    <n v="5"/>
    <n v="2"/>
    <n v="1"/>
    <n v="0"/>
    <n v="36"/>
    <n v="3"/>
    <n v="3"/>
    <n v="3"/>
    <n v="9267"/>
    <n v="0"/>
    <n v="9267"/>
    <n v="0.86599999999999999"/>
    <n v="7991"/>
    <n v="90"/>
    <n v="1.093"/>
    <n v="0"/>
    <n v="0.99690999999999996"/>
    <n v="3.08778E-3"/>
    <s v="59.91917753581036"/>
    <s v="69.70722396569654"/>
    <s v="143.25709773249278"/>
    <s v="9.688128379274085"/>
    <n v="717457008"/>
    <x v="1"/>
    <n v="0.99217379999999999"/>
    <x v="1"/>
  </r>
  <r>
    <n v="54"/>
    <n v="0"/>
    <n v="3"/>
    <n v="1"/>
    <n v="2"/>
    <n v="4"/>
    <n v="0"/>
    <n v="39"/>
    <n v="4"/>
    <n v="3"/>
    <n v="3"/>
    <n v="1764"/>
    <n v="0"/>
    <n v="1764"/>
    <n v="0.65100000000000002"/>
    <n v="4857"/>
    <n v="92"/>
    <n v="0.80400000000000005"/>
    <n v="0"/>
    <n v="4.5419999999999998E-4"/>
    <n v="0.99955000000000005"/>
    <s v="18.06961335186959"/>
    <s v="9.064876407872209"/>
    <s v="72.99981606452323"/>
    <s v="4.414146888183775"/>
    <n v="779551533"/>
    <x v="0"/>
    <n v="6.9517245999999998E-4"/>
    <x v="0"/>
  </r>
  <r>
    <n v="38"/>
    <n v="0"/>
    <n v="3"/>
    <n v="5"/>
    <n v="2"/>
    <n v="4"/>
    <n v="0"/>
    <n v="33"/>
    <n v="5"/>
    <n v="3"/>
    <n v="2"/>
    <n v="2206"/>
    <n v="2018"/>
    <n v="188"/>
    <n v="0.64800000000000002"/>
    <n v="1739"/>
    <n v="35"/>
    <n v="0.66700000000000004"/>
    <n v="0.91500000000000004"/>
    <n v="1.9191E-4"/>
    <n v="0.99980999999999998"/>
    <s v="6.270782321779894"/>
    <s v="69.77266935937787"/>
    <s v="37.505524631898766"/>
    <s v="2.206891566482798"/>
    <n v="821710308"/>
    <x v="0"/>
    <n v="1.0337284E-3"/>
    <x v="0"/>
  </r>
  <r>
    <n v="48"/>
    <n v="1"/>
    <n v="3"/>
    <n v="5"/>
    <n v="1"/>
    <n v="2"/>
    <n v="0"/>
    <n v="36"/>
    <n v="1"/>
    <n v="1"/>
    <n v="2"/>
    <n v="15524"/>
    <n v="1148"/>
    <n v="14376"/>
    <n v="0.82899999999999996"/>
    <n v="13819"/>
    <n v="106"/>
    <n v="0.71"/>
    <n v="7.3999999999999996E-2"/>
    <s v="5.8763e-05"/>
    <n v="0.99994000000000005"/>
    <s v="35.92707679003954"/>
    <s v="41.33145126145504"/>
    <s v="1.6385685550086393"/>
    <s v="4.634192162523157"/>
    <n v="718192608"/>
    <x v="0"/>
    <n v="3.7514859999999999E-4"/>
    <x v="0"/>
  </r>
  <r>
    <n v="47"/>
    <n v="0"/>
    <n v="3"/>
    <n v="6"/>
    <n v="2"/>
    <n v="5"/>
    <n v="0"/>
    <n v="40"/>
    <n v="1"/>
    <n v="3"/>
    <n v="0"/>
    <n v="7114"/>
    <n v="1637"/>
    <n v="5477"/>
    <n v="0.69899999999999995"/>
    <n v="4758"/>
    <n v="81"/>
    <n v="0.5"/>
    <n v="0.23"/>
    <s v="7.5683e-05"/>
    <n v="0.99992000000000003"/>
    <s v="41.62314217934113"/>
    <s v="19.304201621513503"/>
    <s v="41.83786380953087"/>
    <s v="8.042297007948513"/>
    <n v="747074058"/>
    <x v="0"/>
    <n v="3.5747702000000001E-4"/>
    <x v="0"/>
  </r>
  <r>
    <n v="59"/>
    <n v="1"/>
    <n v="2"/>
    <n v="2"/>
    <n v="2"/>
    <n v="2"/>
    <n v="0"/>
    <n v="50"/>
    <n v="2"/>
    <n v="4"/>
    <n v="2"/>
    <n v="6224"/>
    <n v="0"/>
    <n v="6224"/>
    <n v="0.80100000000000005"/>
    <n v="8291"/>
    <n v="69"/>
    <n v="1.0289999999999999"/>
    <n v="0"/>
    <n v="0.99541999999999997"/>
    <n v="4.5782599999999998E-3"/>
    <s v="20.431062506094214"/>
    <s v="27.35676494095333"/>
    <s v="66.23487007577313"/>
    <s v="13.03904973645384"/>
    <n v="713514633"/>
    <x v="1"/>
    <n v="0.99509144000000005"/>
    <x v="1"/>
  </r>
  <r>
    <n v="49"/>
    <n v="1"/>
    <n v="3"/>
    <n v="6"/>
    <n v="1"/>
    <n v="3"/>
    <n v="0"/>
    <n v="42"/>
    <n v="3"/>
    <n v="3"/>
    <n v="1"/>
    <n v="14044"/>
    <n v="0"/>
    <n v="14044"/>
    <n v="0.71499999999999997"/>
    <n v="4889"/>
    <n v="89"/>
    <n v="0.85399999999999998"/>
    <n v="0"/>
    <n v="1.2373000000000001E-4"/>
    <n v="0.99987999999999999"/>
    <s v="38.25790983776474"/>
    <n v="29.101765813372801"/>
    <s v="34.771155945980325"/>
    <s v="6.603376702595869"/>
    <n v="712437108"/>
    <x v="0"/>
    <n v="6.9517245999999998E-4"/>
    <x v="0"/>
  </r>
  <r>
    <n v="42"/>
    <n v="1"/>
    <n v="4"/>
    <n v="2"/>
    <n v="2"/>
    <n v="1"/>
    <n v="0"/>
    <n v="33"/>
    <n v="5"/>
    <n v="3"/>
    <n v="2"/>
    <n v="2654"/>
    <n v="1489"/>
    <n v="1165"/>
    <n v="0.66800000000000004"/>
    <n v="4767"/>
    <n v="82"/>
    <n v="0.67300000000000004"/>
    <n v="0.56100000000000005"/>
    <n v="1.8864000000000001E-4"/>
    <n v="0.99980999999999998"/>
    <s v="10.223609930643768"/>
    <s v="48.87600120678445"/>
    <s v="70.82984557949136"/>
    <s v="12.517496072369829"/>
    <n v="712221408"/>
    <x v="0"/>
    <n v="3.2101269999999999E-4"/>
    <x v="0"/>
  </r>
  <r>
    <n v="59"/>
    <n v="0"/>
    <n v="0"/>
    <n v="4"/>
    <n v="1"/>
    <n v="4"/>
    <n v="0"/>
    <n v="49"/>
    <n v="5"/>
    <n v="2"/>
    <n v="3"/>
    <n v="1479"/>
    <n v="601"/>
    <n v="878"/>
    <n v="0.60699999999999998"/>
    <n v="1621"/>
    <n v="32"/>
    <n v="0.6"/>
    <n v="0.40600000000000003"/>
    <n v="1.9330000000000001E-4"/>
    <n v="0.99980999999999998"/>
    <n v="8.3385840984689903"/>
    <s v="27.763791186151067"/>
    <s v="32.59759360147736"/>
    <s v="8.602219686134719"/>
    <n v="716686158"/>
    <x v="0"/>
    <n v="2.7098387999999998E-3"/>
    <x v="0"/>
  </r>
  <r>
    <n v="52"/>
    <n v="0"/>
    <n v="2"/>
    <n v="6"/>
    <n v="2"/>
    <n v="4"/>
    <n v="0"/>
    <n v="45"/>
    <n v="5"/>
    <n v="2"/>
    <n v="2"/>
    <n v="2155"/>
    <n v="1219"/>
    <n v="936"/>
    <n v="0.80500000000000005"/>
    <n v="4295"/>
    <n v="77"/>
    <n v="0.79100000000000004"/>
    <n v="0.56599999999999995"/>
    <n v="1.2511E-4"/>
    <n v="0.99987000000000004"/>
    <s v="15.160090827792509"/>
    <s v="11.577676821839065"/>
    <s v="130.4734459576483"/>
    <s v="4.973146548458006"/>
    <n v="761240358"/>
    <x v="0"/>
    <n v="3.2101269999999999E-4"/>
    <x v="0"/>
  </r>
  <r>
    <n v="35"/>
    <n v="1"/>
    <n v="2"/>
    <n v="5"/>
    <n v="2"/>
    <n v="2"/>
    <n v="0"/>
    <n v="21"/>
    <n v="4"/>
    <n v="3"/>
    <n v="3"/>
    <n v="7766"/>
    <n v="1278"/>
    <n v="6488"/>
    <n v="0.80600000000000005"/>
    <n v="2423"/>
    <n v="74"/>
    <n v="0.60899999999999999"/>
    <n v="0.16500000000000001"/>
    <n v="3.1104E-4"/>
    <n v="0.99968999999999997"/>
    <s v="25.555720678396195"/>
    <s v="64.03013627427049"/>
    <s v="7.573118842133439"/>
    <s v="11.055995059865516"/>
    <n v="714347508"/>
    <x v="0"/>
    <n v="4.0449749999999998E-4"/>
    <x v="0"/>
  </r>
  <r>
    <n v="43"/>
    <n v="0"/>
    <n v="4"/>
    <n v="6"/>
    <n v="1"/>
    <n v="4"/>
    <n v="0"/>
    <n v="29"/>
    <n v="6"/>
    <n v="2"/>
    <n v="3"/>
    <n v="2895"/>
    <n v="0"/>
    <n v="2895"/>
    <n v="0.66300000000000003"/>
    <n v="2473"/>
    <n v="42"/>
    <n v="0.27300000000000002"/>
    <n v="0"/>
    <n v="0.99548999999999999"/>
    <n v="4.5100699999999997E-3"/>
    <s v="18.280589785701743"/>
    <n v="41.7164257570902"/>
    <s v="107.53641585554836"/>
    <s v="17.38558493793632"/>
    <n v="709283358"/>
    <x v="1"/>
    <n v="0.99873226999999998"/>
    <x v="1"/>
  </r>
  <r>
    <n v="53"/>
    <n v="0"/>
    <n v="1"/>
    <n v="2"/>
    <n v="1"/>
    <n v="4"/>
    <n v="0"/>
    <n v="39"/>
    <n v="5"/>
    <n v="2"/>
    <n v="4"/>
    <n v="2590"/>
    <n v="1564"/>
    <n v="1026"/>
    <n v="0.38600000000000001"/>
    <n v="1188"/>
    <n v="40"/>
    <n v="0.6"/>
    <n v="0.60399999999999998"/>
    <n v="3.0653000000000001E-4"/>
    <n v="0.99968999999999997"/>
    <s v="51.57722376498988"/>
    <s v="0.1195032599426779"/>
    <s v="82.00584153905356"/>
    <s v="7.209772284641861"/>
    <n v="712905708"/>
    <x v="0"/>
    <n v="1.0598798E-3"/>
    <x v="0"/>
  </r>
  <r>
    <n v="39"/>
    <n v="1"/>
    <n v="2"/>
    <n v="3"/>
    <n v="3"/>
    <n v="2"/>
    <n v="0"/>
    <n v="32"/>
    <n v="3"/>
    <n v="2"/>
    <n v="2"/>
    <n v="1715"/>
    <n v="0"/>
    <n v="1715"/>
    <n v="0.89600000000000002"/>
    <n v="5910"/>
    <n v="91"/>
    <n v="0.51700000000000002"/>
    <n v="0"/>
    <n v="1.1065000000000001E-4"/>
    <n v="0.99988999999999995"/>
    <s v="2.207000897753783"/>
    <s v="3.8298725305667216"/>
    <s v="33.06664094531531"/>
    <s v="1.8865792783366715"/>
    <n v="714811533"/>
    <x v="0"/>
    <n v="8.5104400000000002E-4"/>
    <x v="0"/>
  </r>
  <r>
    <n v="51"/>
    <n v="0"/>
    <n v="2"/>
    <n v="6"/>
    <n v="1"/>
    <n v="4"/>
    <n v="0"/>
    <n v="37"/>
    <n v="1"/>
    <n v="2"/>
    <n v="3"/>
    <n v="7098"/>
    <n v="1829"/>
    <n v="5269"/>
    <n v="0.55700000000000005"/>
    <n v="13139"/>
    <n v="102"/>
    <n v="0.78900000000000003"/>
    <n v="0.25800000000000001"/>
    <n v="2.1042000000000001E-4"/>
    <n v="0.99978999999999996"/>
    <s v="24.344602862331143"/>
    <s v="3.605689180261323"/>
    <s v="120.91515580065598"/>
    <n v="0.56360721905698696"/>
    <n v="721524858"/>
    <x v="0"/>
    <n v="3.4656386999999997E-4"/>
    <x v="0"/>
  </r>
  <r>
    <n v="28"/>
    <n v="0"/>
    <n v="1"/>
    <n v="2"/>
    <n v="2"/>
    <n v="4"/>
    <n v="0"/>
    <n v="36"/>
    <n v="4"/>
    <n v="2"/>
    <n v="5"/>
    <n v="1624"/>
    <n v="0"/>
    <n v="1624"/>
    <n v="0.29899999999999999"/>
    <n v="1897"/>
    <n v="35"/>
    <n v="0.25"/>
    <n v="0"/>
    <n v="0.99812000000000001"/>
    <n v="1.88108E-3"/>
    <s v="16.943381272217835"/>
    <s v="30.703545000315025"/>
    <s v="64.34543040716501"/>
    <s v="10.584308132245203"/>
    <n v="713788083"/>
    <x v="1"/>
    <n v="0.99788460000000001"/>
    <x v="1"/>
  </r>
  <r>
    <n v="40"/>
    <n v="1"/>
    <n v="3"/>
    <n v="5"/>
    <n v="2"/>
    <n v="3"/>
    <n v="0"/>
    <n v="34"/>
    <n v="4"/>
    <n v="2"/>
    <n v="2"/>
    <n v="9124"/>
    <n v="2126"/>
    <n v="6998"/>
    <n v="0.44900000000000001"/>
    <n v="4564"/>
    <n v="65"/>
    <n v="0.54800000000000004"/>
    <n v="0.23300000000000001"/>
    <n v="1.2144E-4"/>
    <n v="0.99987999999999999"/>
    <n v="6.1662186298124402"/>
    <s v="33.133771428967734"/>
    <s v="75.34250364906484"/>
    <s v="8.693769782054574"/>
    <n v="769892058"/>
    <x v="0"/>
    <n v="3.3723077000000001E-4"/>
    <x v="0"/>
  </r>
  <r>
    <n v="43"/>
    <n v="0"/>
    <n v="4"/>
    <n v="3"/>
    <n v="2"/>
    <n v="1"/>
    <n v="0"/>
    <n v="36"/>
    <n v="3"/>
    <n v="3"/>
    <n v="2"/>
    <n v="4902"/>
    <n v="2517"/>
    <n v="2385"/>
    <n v="0.98199999999999998"/>
    <n v="4508"/>
    <n v="69"/>
    <n v="0.64300000000000002"/>
    <n v="0.51300000000000001"/>
    <n v="1.8338999999999999E-4"/>
    <n v="0.99982000000000004"/>
    <s v="3.5334324365421867"/>
    <s v="29.39783087009489"/>
    <s v="53.30957848950727"/>
    <s v="11.127748423151278"/>
    <n v="715659333"/>
    <x v="0"/>
    <n v="3.5694459999999998E-4"/>
    <x v="0"/>
  </r>
  <r>
    <n v="42"/>
    <n v="0"/>
    <n v="4"/>
    <n v="5"/>
    <n v="2"/>
    <n v="4"/>
    <n v="0"/>
    <n v="32"/>
    <n v="3"/>
    <n v="3"/>
    <n v="4"/>
    <n v="1438.3"/>
    <n v="838"/>
    <n v="600.29999999999995"/>
    <n v="0.61"/>
    <n v="3910"/>
    <n v="75"/>
    <n v="0.63"/>
    <n v="0.58299999999999996"/>
    <n v="5.5639999999999997E-4"/>
    <n v="0.99944"/>
    <s v="14.582307556391632"/>
    <s v="13.815470195198204"/>
    <s v="151.0685065935635"/>
    <n v="6.64957040911092"/>
    <n v="716477133"/>
    <x v="0"/>
    <n v="5.0206790000000001E-4"/>
    <x v="0"/>
  </r>
  <r>
    <n v="43"/>
    <n v="1"/>
    <n v="4"/>
    <n v="3"/>
    <n v="3"/>
    <n v="3"/>
    <n v="0"/>
    <n v="37"/>
    <n v="4"/>
    <n v="2"/>
    <n v="3"/>
    <n v="13882"/>
    <n v="758"/>
    <n v="13124"/>
    <n v="0.5"/>
    <n v="1646"/>
    <n v="42"/>
    <n v="0.75"/>
    <n v="5.5E-2"/>
    <n v="1.9516999999999999E-4"/>
    <n v="0.99980000000000002"/>
    <s v="58.52982131476711"/>
    <s v="9.421109847679672"/>
    <s v="129.26374878650344"/>
    <n v="1.3915474924792799"/>
    <n v="803648508"/>
    <x v="0"/>
    <n v="2.0156816999999999E-3"/>
    <x v="0"/>
  </r>
  <r>
    <n v="53"/>
    <n v="0"/>
    <n v="3"/>
    <n v="6"/>
    <n v="1"/>
    <n v="1"/>
    <n v="0"/>
    <n v="39"/>
    <n v="3"/>
    <n v="2"/>
    <n v="2"/>
    <n v="4855"/>
    <n v="1912"/>
    <n v="2943"/>
    <n v="0.60599999999999998"/>
    <n v="14969"/>
    <n v="104"/>
    <n v="0.76300000000000001"/>
    <n v="0.39400000000000002"/>
    <n v="1.2982E-4"/>
    <n v="0.99987000000000004"/>
    <s v="18.13058095584189"/>
    <s v="45.10394202878843"/>
    <n v="64.505912589104398"/>
    <s v="9.844712429124623"/>
    <n v="715769958"/>
    <x v="0"/>
    <n v="3.4656386999999997E-4"/>
    <x v="0"/>
  </r>
  <r>
    <n v="48"/>
    <n v="0"/>
    <n v="4"/>
    <n v="0"/>
    <n v="1"/>
    <n v="1"/>
    <n v="0"/>
    <n v="37"/>
    <n v="3"/>
    <n v="6"/>
    <n v="2"/>
    <n v="1792"/>
    <n v="933"/>
    <n v="859"/>
    <n v="0.82099999999999995"/>
    <n v="4120"/>
    <n v="78"/>
    <n v="0.77300000000000002"/>
    <n v="0.52100000000000002"/>
    <n v="1.4478000000000001E-4"/>
    <n v="0.99985999999999997"/>
    <s v="25.115271373847964"/>
    <s v="13.59363464907084"/>
    <s v="125.54012792976737"/>
    <s v="0.3380894679213272"/>
    <n v="716186883"/>
    <x v="0"/>
    <n v="3.9522952000000002E-4"/>
    <x v="0"/>
  </r>
  <r>
    <n v="41"/>
    <n v="1"/>
    <n v="3"/>
    <n v="1"/>
    <n v="2"/>
    <n v="2"/>
    <n v="0"/>
    <n v="30"/>
    <n v="4"/>
    <n v="1"/>
    <n v="3"/>
    <n v="13602"/>
    <n v="0"/>
    <n v="13602"/>
    <n v="0.69899999999999995"/>
    <n v="3582"/>
    <n v="69"/>
    <n v="0.68300000000000005"/>
    <n v="0"/>
    <n v="1.3909999999999999E-4"/>
    <n v="0.99985999999999997"/>
    <s v="11.244004618738966"/>
    <n v="40.937511404751397"/>
    <s v="25.82415509918884"/>
    <s v="7.433553266047607"/>
    <n v="780715683"/>
    <x v="0"/>
    <n v="7.4965424999999997E-4"/>
    <x v="0"/>
  </r>
  <r>
    <n v="50"/>
    <n v="0"/>
    <n v="1"/>
    <n v="4"/>
    <n v="1"/>
    <n v="1"/>
    <n v="0"/>
    <n v="41"/>
    <n v="6"/>
    <n v="3"/>
    <n v="3"/>
    <n v="1694"/>
    <n v="479"/>
    <n v="1215"/>
    <n v="0.83799999999999997"/>
    <n v="2349"/>
    <n v="42"/>
    <n v="0.312"/>
    <n v="0.28299999999999997"/>
    <n v="0.99702000000000002"/>
    <n v="2.98315E-3"/>
    <s v="0.4503229825278663"/>
    <s v="74.23791323964899"/>
    <s v="78.13128977315978"/>
    <s v="12.405877654219632"/>
    <n v="717575958"/>
    <x v="1"/>
    <n v="0.9985134"/>
    <x v="1"/>
  </r>
  <r>
    <n v="41"/>
    <n v="0"/>
    <n v="1"/>
    <n v="3"/>
    <n v="2"/>
    <n v="1"/>
    <n v="0"/>
    <n v="31"/>
    <n v="6"/>
    <n v="3"/>
    <n v="2"/>
    <n v="4969"/>
    <n v="838"/>
    <n v="4131"/>
    <n v="0.59099999999999997"/>
    <n v="1489"/>
    <n v="32"/>
    <n v="0.45500000000000002"/>
    <n v="0.16900000000000001"/>
    <n v="1.6412999999999999E-4"/>
    <n v="0.99983999999999995"/>
    <s v="1.6519488101906272"/>
    <s v="64.88725042870709"/>
    <s v="87.62617126991734"/>
    <s v="2.6021903796621086"/>
    <n v="719229708"/>
    <x v="0"/>
    <n v="1.8868185999999999E-3"/>
    <x v="0"/>
  </r>
  <r>
    <n v="51"/>
    <n v="1"/>
    <n v="1"/>
    <n v="2"/>
    <n v="1"/>
    <n v="3"/>
    <n v="0"/>
    <n v="32"/>
    <n v="3"/>
    <n v="2"/>
    <n v="3"/>
    <n v="34516"/>
    <n v="1549"/>
    <n v="32967"/>
    <n v="0.89200000000000002"/>
    <n v="15151"/>
    <n v="104"/>
    <n v="0.67700000000000005"/>
    <n v="4.4999999999999998E-2"/>
    <n v="1.7969000000000001E-4"/>
    <n v="0.99982000000000004"/>
    <s v="19.30048540714503"/>
    <s v="5.530345562617856"/>
    <s v="21.74101356030992"/>
    <s v="7.419653835515418"/>
    <n v="778956033"/>
    <x v="0"/>
    <n v="4.0555582000000002E-4"/>
    <x v="0"/>
  </r>
  <r>
    <n v="53"/>
    <n v="1"/>
    <n v="3"/>
    <n v="2"/>
    <n v="2"/>
    <n v="2"/>
    <n v="0"/>
    <n v="47"/>
    <n v="6"/>
    <n v="4"/>
    <n v="3"/>
    <n v="16320"/>
    <n v="0"/>
    <n v="16320"/>
    <n v="0.75700000000000001"/>
    <n v="1279"/>
    <n v="41"/>
    <n v="0.70799999999999996"/>
    <n v="0"/>
    <n v="3.7934999999999998E-4"/>
    <n v="0.99961999999999995"/>
    <s v="52.11313782910267"/>
    <s v="62.52435706033063"/>
    <s v="74.43039809132516"/>
    <s v="12.898763451214917"/>
    <n v="769170558"/>
    <x v="0"/>
    <n v="3.6896945E-3"/>
    <x v="0"/>
  </r>
  <r>
    <n v="40"/>
    <n v="1"/>
    <n v="3"/>
    <n v="2"/>
    <n v="1"/>
    <n v="3"/>
    <n v="0"/>
    <n v="31"/>
    <n v="6"/>
    <n v="2"/>
    <n v="4"/>
    <n v="18584"/>
    <n v="2446"/>
    <n v="16138"/>
    <n v="0.76"/>
    <n v="3504"/>
    <n v="64"/>
    <n v="0.88200000000000001"/>
    <n v="0.13200000000000001"/>
    <n v="3.3886000000000002E-4"/>
    <n v="0.99965999999999999"/>
    <s v="4.724162696282915"/>
    <s v="19.48542381830131"/>
    <n v="48.447233133594104"/>
    <s v="5.920850591903198"/>
    <n v="718366983"/>
    <x v="0"/>
    <n v="3.3750320000000002E-4"/>
    <x v="0"/>
  </r>
  <r>
    <n v="46"/>
    <n v="0"/>
    <n v="2"/>
    <n v="4"/>
    <n v="1"/>
    <n v="4"/>
    <n v="0"/>
    <n v="41"/>
    <n v="3"/>
    <n v="1"/>
    <n v="3"/>
    <n v="2552"/>
    <n v="1879"/>
    <n v="673"/>
    <n v="0.88800000000000001"/>
    <n v="4153"/>
    <n v="79"/>
    <n v="0.79500000000000004"/>
    <n v="0.73599999999999999"/>
    <n v="1.0900000000000001E-4"/>
    <n v="0.99988999999999995"/>
    <s v="7.188387823019492"/>
    <s v="8.116124789225475"/>
    <n v="75.667703702132002"/>
    <s v="1.3605954120066708"/>
    <n v="820648608"/>
    <x v="0"/>
    <n v="3.221314E-4"/>
    <x v="0"/>
  </r>
  <r>
    <n v="57"/>
    <n v="1"/>
    <n v="1"/>
    <n v="2"/>
    <n v="1"/>
    <n v="3"/>
    <n v="0"/>
    <n v="36"/>
    <n v="3"/>
    <n v="3"/>
    <n v="3"/>
    <n v="4829"/>
    <n v="2418"/>
    <n v="2411"/>
    <n v="0.60099999999999998"/>
    <n v="938"/>
    <n v="21"/>
    <n v="0.4"/>
    <n v="0.501"/>
    <n v="0.99648999999999999"/>
    <n v="3.5083800000000002E-3"/>
    <s v="5.629387951952017"/>
    <s v="24.009077961324294"/>
    <s v="72.84464205419026"/>
    <s v="32.815291005493485"/>
    <n v="716024808"/>
    <x v="1"/>
    <n v="0.99532556999999999"/>
    <x v="1"/>
  </r>
  <r>
    <n v="52"/>
    <n v="0"/>
    <n v="1"/>
    <n v="5"/>
    <n v="2"/>
    <n v="4"/>
    <n v="0"/>
    <n v="37"/>
    <n v="5"/>
    <n v="3"/>
    <n v="4"/>
    <n v="1717"/>
    <n v="0"/>
    <n v="1717"/>
    <n v="1.028"/>
    <n v="3004"/>
    <n v="46"/>
    <n v="0.58599999999999997"/>
    <n v="0"/>
    <n v="0.998"/>
    <n v="2.003E-3"/>
    <s v="19.56875805999901"/>
    <s v="35.982195052871134"/>
    <s v="82.90319780055088"/>
    <s v="26.735824629888548"/>
    <n v="779348358"/>
    <x v="1"/>
    <n v="0.99813759999999996"/>
    <x v="1"/>
  </r>
  <r>
    <n v="60"/>
    <n v="0"/>
    <n v="2"/>
    <n v="2"/>
    <n v="1"/>
    <n v="5"/>
    <n v="0"/>
    <n v="54"/>
    <n v="1"/>
    <n v="2"/>
    <n v="2"/>
    <n v="3356"/>
    <n v="1664"/>
    <n v="1692"/>
    <n v="0.86199999999999999"/>
    <n v="5200"/>
    <n v="81"/>
    <n v="0.92900000000000005"/>
    <n v="0.496"/>
    <n v="1.1382E-4"/>
    <n v="0.99988999999999995"/>
    <s v="19.68366984697539"/>
    <s v="52.72394049008629"/>
    <s v="66.03062978929762"/>
    <s v="4.924029301721598"/>
    <n v="801363633"/>
    <x v="0"/>
    <n v="3.2101269999999999E-4"/>
    <x v="0"/>
  </r>
  <r>
    <n v="29"/>
    <n v="1"/>
    <n v="1"/>
    <n v="0"/>
    <n v="2"/>
    <n v="2"/>
    <n v="0"/>
    <n v="36"/>
    <n v="5"/>
    <n v="3"/>
    <n v="2"/>
    <n v="5346"/>
    <n v="0"/>
    <n v="5346"/>
    <n v="0.92800000000000005"/>
    <n v="3253"/>
    <n v="80"/>
    <n v="0.81799999999999995"/>
    <n v="0"/>
    <n v="1.6415000000000001E-4"/>
    <n v="0.99983999999999995"/>
    <s v="18.291969599367118"/>
    <s v="76.45658438958996"/>
    <s v="14.579206769795093"/>
    <s v="8.228381232070664"/>
    <n v="708242283"/>
    <x v="0"/>
    <n v="7.4699510000000001E-4"/>
    <x v="0"/>
  </r>
  <r>
    <n v="40"/>
    <n v="1"/>
    <n v="3"/>
    <n v="2"/>
    <n v="3"/>
    <n v="1"/>
    <n v="0"/>
    <n v="28"/>
    <n v="6"/>
    <n v="2"/>
    <n v="2"/>
    <n v="4323"/>
    <n v="0"/>
    <n v="4323"/>
    <n v="0.81699999999999995"/>
    <n v="2451"/>
    <n v="38"/>
    <n v="0.72699999999999998"/>
    <n v="0"/>
    <n v="0.99160999999999999"/>
    <n v="8.3899999999999999E-3"/>
    <s v="12.036565734186954"/>
    <s v="15.973857335326263"/>
    <s v="16.537417494852022"/>
    <s v="4.1418223012709605"/>
    <n v="789052308"/>
    <x v="1"/>
    <n v="0.99846690000000005"/>
    <x v="1"/>
  </r>
  <r>
    <n v="54"/>
    <n v="0"/>
    <n v="3"/>
    <n v="2"/>
    <n v="2"/>
    <n v="4"/>
    <n v="0"/>
    <n v="44"/>
    <n v="3"/>
    <n v="2"/>
    <n v="3"/>
    <n v="2077"/>
    <n v="1634"/>
    <n v="443"/>
    <n v="0.77100000000000002"/>
    <n v="4292"/>
    <n v="66"/>
    <n v="0.83299999999999996"/>
    <n v="0.78700000000000003"/>
    <n v="1.9864000000000001E-4"/>
    <n v="0.99980000000000002"/>
    <s v="15.363924088025769"/>
    <s v="36.589257542629234"/>
    <s v="82.04835348197467"/>
    <s v="7.032676052040432"/>
    <n v="713009208"/>
    <x v="0"/>
    <n v="3.2101269999999999E-4"/>
    <x v="0"/>
  </r>
  <r>
    <n v="38"/>
    <n v="1"/>
    <n v="2"/>
    <n v="6"/>
    <n v="0"/>
    <n v="2"/>
    <n v="3"/>
    <n v="26"/>
    <n v="4"/>
    <n v="2"/>
    <n v="0"/>
    <n v="26437"/>
    <n v="681"/>
    <n v="25756"/>
    <n v="1.0209999999999999"/>
    <n v="2167"/>
    <n v="57"/>
    <n v="0.72699999999999998"/>
    <n v="2.5999999999999999E-2"/>
    <s v="4.17e-05"/>
    <n v="0.99995999999999996"/>
    <s v="31.898956558862164"/>
    <s v="29.79346362223616"/>
    <s v="7.3910140236067265"/>
    <s v="0.1103154731799411"/>
    <n v="717437058"/>
    <x v="0"/>
    <n v="1.0265235000000001E-3"/>
    <x v="0"/>
  </r>
  <r>
    <n v="43"/>
    <n v="0"/>
    <n v="1"/>
    <n v="2"/>
    <n v="3"/>
    <n v="5"/>
    <n v="0"/>
    <n v="36"/>
    <n v="6"/>
    <n v="3"/>
    <n v="3"/>
    <n v="9851"/>
    <n v="0"/>
    <n v="9851"/>
    <n v="1.034"/>
    <n v="1212"/>
    <n v="24"/>
    <n v="0.6"/>
    <n v="0"/>
    <n v="2.8394999999999999E-4"/>
    <n v="0.99972000000000005"/>
    <s v="16.547913974008654"/>
    <s v="13.390713305482112"/>
    <s v="20.071870327881737"/>
    <s v="0.5961167600446864"/>
    <n v="711556533"/>
    <x v="0"/>
    <n v="3.8659226000000001E-3"/>
    <x v="0"/>
  </r>
  <r>
    <n v="45"/>
    <n v="0"/>
    <n v="3"/>
    <n v="3"/>
    <n v="2"/>
    <n v="4"/>
    <n v="0"/>
    <n v="36"/>
    <n v="3"/>
    <n v="2"/>
    <n v="2"/>
    <n v="2589"/>
    <n v="2052"/>
    <n v="537"/>
    <n v="0.63600000000000001"/>
    <n v="4133"/>
    <n v="68"/>
    <n v="0.78900000000000003"/>
    <n v="0.79300000000000004"/>
    <n v="1.1482E-4"/>
    <n v="0.99988999999999995"/>
    <s v="2.1035601677440545"/>
    <s v="50.567473610701285"/>
    <s v="49.74785589164072"/>
    <s v="7.706404632777787"/>
    <n v="710349258"/>
    <x v="0"/>
    <n v="3.2101269999999999E-4"/>
    <x v="0"/>
  </r>
  <r>
    <n v="46"/>
    <n v="0"/>
    <n v="1"/>
    <n v="4"/>
    <n v="1"/>
    <n v="1"/>
    <n v="0"/>
    <n v="38"/>
    <n v="3"/>
    <n v="2"/>
    <n v="2"/>
    <n v="1803"/>
    <n v="0"/>
    <n v="1803"/>
    <n v="0.41499999999999998"/>
    <n v="1979"/>
    <n v="37"/>
    <n v="0.32100000000000001"/>
    <n v="0"/>
    <n v="0.99211000000000005"/>
    <n v="7.8899999999999994E-3"/>
    <s v="34.03595530336849"/>
    <s v="5.588457843786994"/>
    <n v="72.809520530899306"/>
    <s v="13.98386836851093"/>
    <n v="710493558"/>
    <x v="1"/>
    <n v="0.99870276000000002"/>
    <x v="1"/>
  </r>
  <r>
    <n v="51"/>
    <n v="1"/>
    <n v="3"/>
    <n v="6"/>
    <n v="1"/>
    <n v="3"/>
    <n v="0"/>
    <n v="32"/>
    <n v="6"/>
    <n v="3"/>
    <n v="1"/>
    <n v="1817"/>
    <n v="885"/>
    <n v="932"/>
    <n v="0.621"/>
    <n v="3400"/>
    <n v="67"/>
    <n v="0.67500000000000004"/>
    <n v="0.48699999999999999"/>
    <n v="1.2373000000000001E-4"/>
    <n v="0.99987999999999999"/>
    <s v="5.679631162732169"/>
    <s v="26.13290884767537"/>
    <s v="5.566848214815261"/>
    <s v="11.84124302175605"/>
    <n v="778878633"/>
    <x v="0"/>
    <n v="4.2162873000000002E-4"/>
    <x v="0"/>
  </r>
  <r>
    <n v="50"/>
    <n v="1"/>
    <n v="4"/>
    <n v="3"/>
    <n v="0"/>
    <n v="3"/>
    <n v="0"/>
    <n v="45"/>
    <n v="4"/>
    <n v="2"/>
    <n v="2"/>
    <n v="1687"/>
    <n v="992"/>
    <n v="695"/>
    <n v="0.72099999999999997"/>
    <n v="4342"/>
    <n v="82"/>
    <n v="0.78300000000000003"/>
    <n v="0.58799999999999997"/>
    <n v="1.1603999999999999E-4"/>
    <n v="0.99987999999999999"/>
    <s v="18.77277994103309"/>
    <s v="42.45486583565568"/>
    <s v="73.99400701185378"/>
    <s v="1.1829875093211728"/>
    <n v="816549933"/>
    <x v="0"/>
    <n v="3.2101269999999999E-4"/>
    <x v="0"/>
  </r>
  <r>
    <n v="63"/>
    <n v="1"/>
    <n v="1"/>
    <n v="3"/>
    <n v="2"/>
    <n v="4"/>
    <n v="0"/>
    <n v="51"/>
    <n v="5"/>
    <n v="3"/>
    <n v="2"/>
    <n v="6102"/>
    <n v="0"/>
    <n v="6102"/>
    <n v="0.63900000000000001"/>
    <n v="4527"/>
    <n v="67"/>
    <n v="0.55800000000000005"/>
    <n v="0"/>
    <n v="1.6412999999999999E-4"/>
    <n v="0.99983999999999995"/>
    <s v="63.36823855542292"/>
    <s v="12.465141514729082"/>
    <s v="23.813192008691743"/>
    <s v="5.336174687803097"/>
    <n v="717886008"/>
    <x v="0"/>
    <n v="7.9661230000000003E-4"/>
    <x v="0"/>
  </r>
  <r>
    <n v="47"/>
    <n v="0"/>
    <n v="3"/>
    <n v="6"/>
    <n v="1"/>
    <n v="4"/>
    <n v="0"/>
    <n v="37"/>
    <n v="2"/>
    <n v="2"/>
    <n v="2"/>
    <n v="2154"/>
    <n v="1628"/>
    <n v="526"/>
    <n v="0.66500000000000004"/>
    <n v="4538"/>
    <n v="74"/>
    <n v="0.76200000000000001"/>
    <n v="0.75600000000000001"/>
    <n v="1.2982E-4"/>
    <n v="0.99987000000000004"/>
    <s v="21.979247609268395"/>
    <s v="3.543667060346749"/>
    <s v="104.24586368292316"/>
    <s v="11.95863145575979"/>
    <n v="716322783"/>
    <x v="0"/>
    <n v="3.2101269999999999E-4"/>
    <x v="0"/>
  </r>
  <r>
    <n v="52"/>
    <n v="1"/>
    <n v="3"/>
    <n v="5"/>
    <n v="2"/>
    <n v="2"/>
    <n v="0"/>
    <n v="40"/>
    <n v="3"/>
    <n v="1"/>
    <n v="1"/>
    <n v="1438.3"/>
    <n v="512"/>
    <n v="926.3"/>
    <n v="0.77600000000000002"/>
    <n v="4791"/>
    <n v="82"/>
    <n v="0.70799999999999996"/>
    <n v="0.35599999999999998"/>
    <s v="3.5437e-05"/>
    <n v="0.99995999999999996"/>
    <s v="19.254859997139423"/>
    <s v="40.49691140678966"/>
    <s v="40.49850305248551"/>
    <s v="1.818635277754748"/>
    <n v="709945458"/>
    <x v="0"/>
    <n v="6.2459736000000004E-4"/>
    <x v="0"/>
  </r>
  <r>
    <n v="47"/>
    <n v="1"/>
    <n v="4"/>
    <n v="2"/>
    <n v="1"/>
    <n v="1"/>
    <n v="0"/>
    <n v="41"/>
    <n v="5"/>
    <n v="3"/>
    <n v="4"/>
    <n v="14535"/>
    <n v="0"/>
    <n v="14535"/>
    <n v="0.71099999999999997"/>
    <n v="2970"/>
    <n v="76"/>
    <n v="0.68899999999999995"/>
    <n v="0"/>
    <n v="5.4115000000000001E-4"/>
    <n v="0.99946000000000002"/>
    <s v="18.947767546180348"/>
    <s v="15.504397123799883"/>
    <s v="23.025911511120263"/>
    <s v="10.027713915644268"/>
    <n v="781933983"/>
    <x v="0"/>
    <n v="8.1003835999999998E-4"/>
    <x v="0"/>
  </r>
  <r>
    <n v="43"/>
    <n v="0"/>
    <n v="2"/>
    <n v="6"/>
    <n v="1"/>
    <n v="4"/>
    <n v="0"/>
    <n v="30"/>
    <n v="1"/>
    <n v="3"/>
    <n v="2"/>
    <n v="2248"/>
    <n v="1853"/>
    <n v="395"/>
    <n v="0.66600000000000004"/>
    <n v="7739"/>
    <n v="101"/>
    <n v="0.90600000000000003"/>
    <n v="0.82399999999999995"/>
    <n v="1.9771E-4"/>
    <n v="0.99980000000000002"/>
    <s v="22.784896548388065"/>
    <s v="7.424604944375601"/>
    <s v="1.9794459001483369"/>
    <s v="2.842103143763532"/>
    <n v="712984983"/>
    <x v="0"/>
    <n v="3.6856539999999998E-4"/>
    <x v="0"/>
  </r>
  <r>
    <n v="48"/>
    <n v="1"/>
    <n v="4"/>
    <n v="6"/>
    <n v="1"/>
    <n v="2"/>
    <n v="0"/>
    <n v="43"/>
    <n v="5"/>
    <n v="3"/>
    <n v="3"/>
    <n v="8737"/>
    <n v="1629"/>
    <n v="7108"/>
    <n v="0.61799999999999999"/>
    <n v="3876"/>
    <n v="55"/>
    <n v="0.77400000000000002"/>
    <n v="0.186"/>
    <n v="3.4872000000000001E-4"/>
    <n v="0.99965000000000004"/>
    <s v="35.33484947093351"/>
    <s v="32.62702046453196"/>
    <s v="6.923073741921984"/>
    <s v="16.760653446448153"/>
    <n v="819606258"/>
    <x v="0"/>
    <n v="4.8360816000000002E-4"/>
    <x v="0"/>
  </r>
  <r>
    <n v="46"/>
    <n v="1"/>
    <n v="3"/>
    <n v="6"/>
    <n v="3"/>
    <n v="3"/>
    <n v="0"/>
    <n v="41"/>
    <n v="1"/>
    <n v="2"/>
    <n v="2"/>
    <n v="11250"/>
    <n v="0"/>
    <n v="11250"/>
    <n v="0.48199999999999998"/>
    <n v="4514"/>
    <n v="70"/>
    <n v="0.59099999999999997"/>
    <n v="0"/>
    <n v="1.2982E-4"/>
    <n v="0.99987000000000004"/>
    <s v="15.456638530779497"/>
    <s v="39.02962026748794"/>
    <s v="19.565739097005235"/>
    <s v="12.317791664310136"/>
    <n v="805229133"/>
    <x v="0"/>
    <n v="7.9661230000000003E-4"/>
    <x v="0"/>
  </r>
  <r>
    <n v="41"/>
    <n v="0"/>
    <n v="4"/>
    <n v="2"/>
    <n v="2"/>
    <n v="1"/>
    <n v="0"/>
    <n v="31"/>
    <n v="4"/>
    <n v="2"/>
    <n v="3"/>
    <n v="2375"/>
    <n v="1658"/>
    <n v="717"/>
    <n v="0.63800000000000001"/>
    <n v="1071"/>
    <n v="28"/>
    <n v="1"/>
    <n v="0.69799999999999995"/>
    <n v="2.0076999999999999E-4"/>
    <n v="0.99980000000000002"/>
    <s v="17.99583907330576"/>
    <s v="27.404755659364454"/>
    <s v="66.99034153007062"/>
    <s v="1.361952383062364"/>
    <n v="768600558"/>
    <x v="0"/>
    <n v="1.0667827000000001E-3"/>
    <x v="0"/>
  </r>
  <r>
    <n v="38"/>
    <n v="0"/>
    <n v="2"/>
    <n v="3"/>
    <n v="1"/>
    <n v="1"/>
    <n v="0"/>
    <n v="27"/>
    <n v="2"/>
    <n v="1"/>
    <n v="2"/>
    <n v="3140"/>
    <n v="2517"/>
    <n v="623"/>
    <n v="0.80100000000000005"/>
    <n v="13677"/>
    <n v="122"/>
    <n v="0.82099999999999995"/>
    <n v="0.80200000000000005"/>
    <s v="5.3542e-05"/>
    <n v="0.99995000000000001"/>
    <s v="7.672036346306221"/>
    <n v="43.813871309192898"/>
    <s v="80.50654238851433"/>
    <s v="24.01060580534349"/>
    <n v="721382208"/>
    <x v="0"/>
    <n v="3.7453471999999999E-4"/>
    <x v="0"/>
  </r>
  <r>
    <n v="42"/>
    <n v="0"/>
    <n v="1"/>
    <n v="2"/>
    <n v="2"/>
    <n v="4"/>
    <n v="0"/>
    <n v="34"/>
    <n v="5"/>
    <n v="1"/>
    <n v="3"/>
    <n v="3534"/>
    <n v="1175"/>
    <n v="2359"/>
    <n v="0.73699999999999999"/>
    <n v="13588"/>
    <n v="94"/>
    <n v="0.80800000000000005"/>
    <n v="0.33200000000000002"/>
    <s v="8.6952e-05"/>
    <n v="0.99990999999999997"/>
    <s v="4.873934808618647"/>
    <s v="8.566731792706394"/>
    <s v="78.56217232801698"/>
    <s v="12.920529646641985"/>
    <n v="720001758"/>
    <x v="0"/>
    <n v="3.4656386999999997E-4"/>
    <x v="0"/>
  </r>
  <r>
    <n v="56"/>
    <n v="0"/>
    <n v="5"/>
    <n v="1"/>
    <n v="2"/>
    <n v="4"/>
    <n v="0"/>
    <n v="49"/>
    <n v="3"/>
    <n v="3"/>
    <n v="2"/>
    <n v="4132"/>
    <n v="1559"/>
    <n v="2573"/>
    <n v="0.82699999999999996"/>
    <n v="14781"/>
    <n v="108"/>
    <n v="0.68799999999999994"/>
    <n v="0.377"/>
    <n v="2.6871000000000002E-4"/>
    <n v="0.99973000000000001"/>
    <s v="40.68458389094896"/>
    <s v="43.18651477411642"/>
    <s v="86.77386632358733"/>
    <s v="0.3735368998155132"/>
    <n v="758617233"/>
    <x v="0"/>
    <n v="3.4656386999999997E-4"/>
    <x v="0"/>
  </r>
  <r>
    <n v="57"/>
    <n v="0"/>
    <n v="0"/>
    <n v="2"/>
    <n v="2"/>
    <n v="4"/>
    <n v="0"/>
    <n v="45"/>
    <n v="4"/>
    <n v="3"/>
    <n v="3"/>
    <n v="3023"/>
    <n v="2517"/>
    <n v="506"/>
    <n v="0.64600000000000002"/>
    <n v="2477"/>
    <n v="42"/>
    <n v="0.61499999999999999"/>
    <n v="0.83299999999999996"/>
    <n v="0.99616000000000005"/>
    <n v="3.8363E-3"/>
    <s v="6.425319537742758"/>
    <s v="71.36849213761795"/>
    <s v="4.7183840428137405"/>
    <s v="11.404130015636897"/>
    <n v="712267983"/>
    <x v="1"/>
    <n v="0.99535625999999999"/>
    <x v="1"/>
  </r>
  <r>
    <n v="51"/>
    <n v="1"/>
    <n v="1"/>
    <n v="6"/>
    <n v="2"/>
    <n v="3"/>
    <n v="0"/>
    <n v="34"/>
    <n v="4"/>
    <n v="3"/>
    <n v="3"/>
    <n v="3554"/>
    <n v="1563"/>
    <n v="1991"/>
    <n v="0.89300000000000002"/>
    <n v="3640"/>
    <n v="59"/>
    <n v="0.73499999999999999"/>
    <n v="0.44"/>
    <n v="3.1210999999999999E-4"/>
    <n v="0.99968999999999997"/>
    <n v="23.298726489060599"/>
    <s v="39.214773655504175"/>
    <s v="2.4452662443593485"/>
    <s v="2.767568125866563"/>
    <n v="779524833"/>
    <x v="0"/>
    <n v="3.7724319999999999E-4"/>
    <x v="0"/>
  </r>
  <r>
    <n v="38"/>
    <n v="0"/>
    <n v="0"/>
    <n v="3"/>
    <n v="2"/>
    <n v="4"/>
    <n v="0"/>
    <n v="30"/>
    <n v="4"/>
    <n v="2"/>
    <n v="1"/>
    <n v="1438.3"/>
    <n v="1003"/>
    <n v="435.3"/>
    <n v="0.629"/>
    <n v="4247"/>
    <n v="84"/>
    <n v="0.71399999999999997"/>
    <n v="0.69699999999999995"/>
    <s v="5.7261e-05"/>
    <n v="0.99994000000000005"/>
    <s v="4.388256286222173"/>
    <s v="9.670603315401245"/>
    <n v="80.808928144308794"/>
    <s v="4.588383999052656"/>
    <n v="712241433"/>
    <x v="0"/>
    <n v="3.2101269999999999E-4"/>
    <x v="0"/>
  </r>
  <r>
    <n v="39"/>
    <n v="1"/>
    <n v="1"/>
    <n v="6"/>
    <n v="2"/>
    <n v="1"/>
    <n v="0"/>
    <n v="33"/>
    <n v="3"/>
    <n v="3"/>
    <n v="4"/>
    <n v="2088"/>
    <n v="975"/>
    <n v="1113"/>
    <n v="1.1439999999999999"/>
    <n v="2866"/>
    <n v="59"/>
    <n v="0.73499999999999999"/>
    <n v="0.46700000000000003"/>
    <n v="0.99812999999999996"/>
    <n v="1.8738699999999999E-3"/>
    <s v="10.908657282473849"/>
    <s v="56.83565662945816"/>
    <s v="26.93364516762627"/>
    <s v="19.33320657734305"/>
    <n v="803800533"/>
    <x v="1"/>
    <n v="0.98382550000000002"/>
    <x v="1"/>
  </r>
  <r>
    <n v="51"/>
    <n v="0"/>
    <n v="3"/>
    <n v="3"/>
    <n v="1"/>
    <n v="4"/>
    <n v="0"/>
    <n v="32"/>
    <n v="6"/>
    <n v="3"/>
    <n v="3"/>
    <n v="2943"/>
    <n v="2131"/>
    <n v="812"/>
    <n v="0.59699999999999998"/>
    <n v="4554"/>
    <n v="75"/>
    <n v="0.56200000000000006"/>
    <n v="0.72399999999999998"/>
    <n v="3.0516000000000001E-4"/>
    <n v="0.99968999999999997"/>
    <s v="29.098593187707863"/>
    <s v="92.18239590289843"/>
    <s v="25.12828092190612"/>
    <s v="3.295766147493747"/>
    <n v="721045608"/>
    <x v="0"/>
    <n v="3.2914013999999999E-4"/>
    <x v="0"/>
  </r>
  <r>
    <n v="48"/>
    <n v="1"/>
    <n v="3"/>
    <n v="2"/>
    <n v="1"/>
    <n v="3"/>
    <n v="0"/>
    <n v="43"/>
    <n v="1"/>
    <n v="4"/>
    <n v="1"/>
    <n v="9959"/>
    <n v="0"/>
    <n v="9959"/>
    <n v="0.751"/>
    <n v="14948"/>
    <n v="125"/>
    <n v="0.86599999999999999"/>
    <n v="0"/>
    <n v="1.3603000000000001E-4"/>
    <n v="0.99985999999999997"/>
    <s v="4.098976269214534"/>
    <s v="10.374948183527732"/>
    <s v="2.447236320028753"/>
    <s v="8.320259067283237"/>
    <n v="714682233"/>
    <x v="0"/>
    <n v="7.5047980000000002E-4"/>
    <x v="0"/>
  </r>
  <r>
    <n v="50"/>
    <n v="1"/>
    <n v="1"/>
    <n v="0"/>
    <n v="2"/>
    <n v="1"/>
    <n v="0"/>
    <n v="41"/>
    <n v="3"/>
    <n v="1"/>
    <n v="1"/>
    <n v="2800"/>
    <n v="1338"/>
    <n v="1462"/>
    <n v="0.81799999999999995"/>
    <n v="4869"/>
    <n v="90"/>
    <n v="0.8"/>
    <n v="0.47799999999999998"/>
    <s v="3.031e-05"/>
    <n v="0.99997000000000003"/>
    <s v="49.95866679230396"/>
    <s v="81.62600284329211"/>
    <s v="96.58618491946864"/>
    <s v="13.313849328593832"/>
    <n v="708360108"/>
    <x v="0"/>
    <n v="3.2101269999999999E-4"/>
    <x v="0"/>
  </r>
  <r>
    <n v="47"/>
    <n v="0"/>
    <n v="5"/>
    <n v="5"/>
    <n v="1"/>
    <n v="4"/>
    <n v="0"/>
    <n v="36"/>
    <n v="1"/>
    <n v="6"/>
    <n v="1"/>
    <n v="2291"/>
    <n v="1419"/>
    <n v="872"/>
    <n v="0.72499999999999998"/>
    <n v="4498"/>
    <n v="81"/>
    <n v="0.76100000000000001"/>
    <n v="0.61899999999999999"/>
    <s v="9.0898e-05"/>
    <n v="0.99990999999999997"/>
    <s v="43.57694277449823"/>
    <s v="6.190318798097726"/>
    <n v="97.787445807526893"/>
    <n v="9.6060224710618805"/>
    <n v="708652908"/>
    <x v="0"/>
    <n v="3.2101269999999999E-4"/>
    <x v="0"/>
  </r>
  <r>
    <n v="47"/>
    <n v="1"/>
    <n v="1"/>
    <n v="2"/>
    <n v="1"/>
    <n v="2"/>
    <n v="0"/>
    <n v="37"/>
    <n v="6"/>
    <n v="3"/>
    <n v="0"/>
    <n v="2053"/>
    <n v="0"/>
    <n v="2053"/>
    <n v="0.86499999999999999"/>
    <n v="1283"/>
    <n v="28"/>
    <n v="1.1539999999999999"/>
    <n v="0"/>
    <s v="6.2282e-05"/>
    <n v="0.99994000000000005"/>
    <s v="1.833594285310726"/>
    <s v="14.06264132555725"/>
    <s v="5.621137967407231"/>
    <s v="9.023566693159314"/>
    <n v="714578283"/>
    <x v="0"/>
    <n v="3.1488503E-3"/>
    <x v="0"/>
  </r>
  <r>
    <n v="30"/>
    <n v="0"/>
    <n v="2"/>
    <n v="4"/>
    <n v="0"/>
    <n v="4"/>
    <n v="0"/>
    <n v="36"/>
    <n v="3"/>
    <n v="1"/>
    <n v="2"/>
    <n v="2501"/>
    <n v="1845"/>
    <n v="656"/>
    <n v="0.66800000000000004"/>
    <n v="2933"/>
    <n v="65"/>
    <n v="0.80600000000000005"/>
    <n v="0.73799999999999999"/>
    <s v="6.4807e-05"/>
    <n v="0.99994000000000005"/>
    <s v="2.483831683881235"/>
    <s v="9.319509889979171"/>
    <s v="43.855349002518345"/>
    <s v="18.14910953565169"/>
    <n v="715019058"/>
    <x v="0"/>
    <n v="3.7586653999999999E-4"/>
    <x v="0"/>
  </r>
  <r>
    <n v="43"/>
    <n v="1"/>
    <n v="2"/>
    <n v="0"/>
    <n v="1"/>
    <n v="3"/>
    <n v="0"/>
    <n v="24"/>
    <n v="6"/>
    <n v="1"/>
    <n v="4"/>
    <n v="1669"/>
    <n v="0"/>
    <n v="1669"/>
    <n v="0.69799999999999995"/>
    <n v="3591"/>
    <n v="59"/>
    <n v="0.78800000000000003"/>
    <n v="0"/>
    <n v="1.5364999999999999E-4"/>
    <n v="0.99985000000000002"/>
    <s v="24.33239351864375"/>
    <s v="11.363638003521528"/>
    <s v="5.1851753784094265"/>
    <s v="5.428228854328515"/>
    <n v="736145283"/>
    <x v="0"/>
    <n v="9.5221170000000003E-4"/>
    <x v="0"/>
  </r>
  <r>
    <n v="46"/>
    <n v="1"/>
    <n v="3"/>
    <n v="2"/>
    <n v="1"/>
    <n v="1"/>
    <n v="0"/>
    <n v="37"/>
    <n v="6"/>
    <n v="2"/>
    <n v="5"/>
    <n v="2403"/>
    <n v="0"/>
    <n v="2403"/>
    <n v="0.72699999999999998"/>
    <n v="3393"/>
    <n v="64"/>
    <n v="0.88200000000000001"/>
    <n v="0"/>
    <n v="5.8626000000000001E-4"/>
    <n v="0.99941000000000002"/>
    <s v="10.571926903852049"/>
    <s v="37.83047623217731"/>
    <s v="135.12214476524733"/>
    <n v="5.8408686096884397"/>
    <n v="713718558"/>
    <x v="0"/>
    <n v="7.8814493999999999E-4"/>
    <x v="0"/>
  </r>
  <r>
    <n v="41"/>
    <n v="0"/>
    <n v="2"/>
    <n v="5"/>
    <n v="1"/>
    <n v="4"/>
    <n v="0"/>
    <n v="33"/>
    <n v="3"/>
    <n v="3"/>
    <n v="3"/>
    <n v="3893"/>
    <n v="1157"/>
    <n v="2736"/>
    <n v="1.169"/>
    <n v="1536"/>
    <n v="39"/>
    <n v="0.77300000000000002"/>
    <n v="0.29699999999999999"/>
    <n v="3.1104E-4"/>
    <n v="0.99968999999999997"/>
    <s v="16.561527461579395"/>
    <s v="38.046246923732205"/>
    <s v="94.46204861471293"/>
    <s v="7.791231656927394"/>
    <n v="717784983"/>
    <x v="0"/>
    <n v="1.0634780000000001E-3"/>
    <x v="0"/>
  </r>
  <r>
    <n v="40"/>
    <n v="0"/>
    <n v="3"/>
    <n v="2"/>
    <n v="2"/>
    <n v="4"/>
    <n v="0"/>
    <n v="30"/>
    <n v="4"/>
    <n v="3"/>
    <n v="2"/>
    <n v="3319"/>
    <n v="0"/>
    <n v="3319"/>
    <n v="0.26200000000000001"/>
    <n v="4840"/>
    <n v="44"/>
    <n v="0.375"/>
    <n v="0"/>
    <n v="0.99467000000000005"/>
    <n v="5.3299999999999997E-3"/>
    <s v="3.674851112316557"/>
    <s v="76.15382591744539"/>
    <s v="14.14677678245161"/>
    <s v="0.2192390821739645"/>
    <n v="717529233"/>
    <x v="1"/>
    <n v="0.99848190000000003"/>
    <x v="1"/>
  </r>
  <r>
    <n v="50"/>
    <n v="0"/>
    <n v="1"/>
    <n v="4"/>
    <n v="2"/>
    <n v="4"/>
    <n v="0"/>
    <n v="39"/>
    <n v="4"/>
    <n v="2"/>
    <n v="2"/>
    <n v="1438.3"/>
    <n v="851"/>
    <n v="587.29999999999995"/>
    <n v="0.98299999999999998"/>
    <n v="4379"/>
    <n v="64"/>
    <n v="0.82899999999999996"/>
    <n v="0.59199999999999997"/>
    <n v="1.2570999999999999E-4"/>
    <n v="0.99987000000000004"/>
    <s v="13.676800492641028"/>
    <s v="8.664028910702328"/>
    <s v="87.20716261078289"/>
    <s v="1.881406410528241"/>
    <n v="720479058"/>
    <x v="0"/>
    <n v="5.0422300000000004E-4"/>
    <x v="0"/>
  </r>
  <r>
    <n v="36"/>
    <n v="1"/>
    <n v="0"/>
    <n v="3"/>
    <n v="1"/>
    <n v="0"/>
    <n v="0"/>
    <n v="24"/>
    <n v="3"/>
    <n v="3"/>
    <n v="2"/>
    <n v="10097"/>
    <n v="2139"/>
    <n v="7958"/>
    <n v="1.4079999999999999"/>
    <n v="3092"/>
    <n v="67"/>
    <n v="0.76300000000000001"/>
    <n v="0.21199999999999999"/>
    <n v="1.5004999999999999E-4"/>
    <n v="0.99985000000000002"/>
    <s v="41.85442584527508"/>
    <s v="19.265836989048964"/>
    <s v="89.12537189031768"/>
    <n v="5.08999907310276"/>
    <n v="718474683"/>
    <x v="0"/>
    <n v="3.4479058E-4"/>
    <x v="0"/>
  </r>
  <r>
    <n v="46"/>
    <n v="0"/>
    <n v="4"/>
    <n v="0"/>
    <n v="1"/>
    <n v="1"/>
    <n v="0"/>
    <n v="33"/>
    <n v="4"/>
    <n v="1"/>
    <n v="1"/>
    <n v="2423"/>
    <n v="429"/>
    <n v="1994"/>
    <n v="0.625"/>
    <n v="4717"/>
    <n v="80"/>
    <n v="0.73899999999999999"/>
    <n v="0.17699999999999999"/>
    <s v="3.3866e-05"/>
    <n v="0.99997000000000003"/>
    <s v="0.7471837106347463"/>
    <n v="2.55336746786286E-2"/>
    <n v="79.320010767404696"/>
    <s v="6.251824294580664"/>
    <n v="771230508"/>
    <x v="0"/>
    <n v="6.2459736000000004E-4"/>
    <x v="0"/>
  </r>
  <r>
    <n v="48"/>
    <n v="0"/>
    <n v="3"/>
    <n v="3"/>
    <n v="3"/>
    <n v="4"/>
    <n v="0"/>
    <n v="37"/>
    <n v="1"/>
    <n v="2"/>
    <n v="3"/>
    <n v="1438.3"/>
    <n v="0"/>
    <n v="1438.3"/>
    <n v="0.58399999999999996"/>
    <n v="4236"/>
    <n v="83"/>
    <n v="0.84399999999999997"/>
    <n v="0"/>
    <n v="1.9311E-4"/>
    <n v="0.99980999999999998"/>
    <s v="8.519765278216505"/>
    <s v="20.631106478501223"/>
    <s v="98.78763982202392"/>
    <s v="1.2292036380073197"/>
    <n v="713542008"/>
    <x v="0"/>
    <n v="6.9517245999999998E-4"/>
    <x v="0"/>
  </r>
  <r>
    <n v="39"/>
    <n v="1"/>
    <n v="2"/>
    <n v="2"/>
    <n v="2"/>
    <n v="2"/>
    <n v="0"/>
    <n v="19"/>
    <n v="1"/>
    <n v="2"/>
    <n v="1"/>
    <n v="6146"/>
    <n v="0"/>
    <n v="6146"/>
    <n v="0.57699999999999996"/>
    <n v="3645"/>
    <n v="76"/>
    <n v="0.55100000000000005"/>
    <n v="0"/>
    <s v="6.864e-05"/>
    <n v="0.99992999999999999"/>
    <s v="28.226480739102385"/>
    <s v="0.8147012803045801"/>
    <s v="5.681785397830124"/>
    <s v="1.122426613082412"/>
    <n v="778679883"/>
    <x v="0"/>
    <n v="7.387203E-4"/>
    <x v="0"/>
  </r>
  <r>
    <n v="42"/>
    <n v="0"/>
    <n v="5"/>
    <n v="6"/>
    <n v="1"/>
    <n v="4"/>
    <n v="0"/>
    <n v="37"/>
    <n v="5"/>
    <n v="2"/>
    <n v="3"/>
    <n v="2541"/>
    <n v="1398"/>
    <n v="1143"/>
    <n v="0.63500000000000001"/>
    <n v="4698"/>
    <n v="88"/>
    <n v="0.83299999999999996"/>
    <n v="0.55000000000000004"/>
    <n v="2.1724E-4"/>
    <n v="0.99978"/>
    <s v="31.403270558672915"/>
    <s v="32.67758065085101"/>
    <s v="17.970543515708574"/>
    <s v="21.226117047371908"/>
    <n v="821157183"/>
    <x v="0"/>
    <n v="3.2101269999999999E-4"/>
    <x v="0"/>
  </r>
  <r>
    <n v="51"/>
    <n v="1"/>
    <n v="2"/>
    <n v="4"/>
    <n v="2"/>
    <n v="0"/>
    <n v="0"/>
    <n v="45"/>
    <n v="4"/>
    <n v="2"/>
    <n v="2"/>
    <n v="22294"/>
    <n v="0"/>
    <n v="22294"/>
    <n v="0.64700000000000002"/>
    <n v="3444"/>
    <n v="71"/>
    <n v="0.61399999999999999"/>
    <n v="0"/>
    <n v="1.3392999999999999E-4"/>
    <n v="0.99987000000000004"/>
    <s v="49.22333093762751"/>
    <s v="91.12498673981425"/>
    <s v="172.7469307102876"/>
    <n v="0.476338766471115"/>
    <n v="783625008"/>
    <x v="0"/>
    <n v="7.686247E-4"/>
    <x v="0"/>
  </r>
  <r>
    <n v="47"/>
    <n v="0"/>
    <n v="1"/>
    <n v="3"/>
    <n v="2"/>
    <n v="4"/>
    <n v="0"/>
    <n v="36"/>
    <n v="6"/>
    <n v="2"/>
    <n v="3"/>
    <n v="2899"/>
    <n v="2418"/>
    <n v="481"/>
    <n v="0.57499999999999996"/>
    <n v="4296"/>
    <n v="68"/>
    <n v="0.83799999999999997"/>
    <n v="0.83399999999999996"/>
    <n v="1.7468E-4"/>
    <n v="0.99983"/>
    <s v="15.378532878482872"/>
    <s v="3.478693885824571"/>
    <s v="40.93816955694228"/>
    <s v="6.217572412769096"/>
    <n v="716559108"/>
    <x v="0"/>
    <n v="3.2101269999999999E-4"/>
    <x v="0"/>
  </r>
  <r>
    <n v="50"/>
    <n v="1"/>
    <n v="2"/>
    <n v="2"/>
    <n v="1"/>
    <n v="0"/>
    <n v="0"/>
    <n v="42"/>
    <n v="6"/>
    <n v="2"/>
    <n v="1"/>
    <n v="8220"/>
    <n v="1015"/>
    <n v="7205"/>
    <n v="1.0629999999999999"/>
    <n v="4794"/>
    <n v="77"/>
    <n v="0.878"/>
    <n v="0.123"/>
    <s v="6.864e-05"/>
    <n v="0.99992999999999999"/>
    <s v="17.76987738532836"/>
    <s v="26.259227340280543"/>
    <s v="0.2257462811480035"/>
    <s v="12.259943421498935"/>
    <n v="711851583"/>
    <x v="0"/>
    <n v="3.3750932000000002E-4"/>
    <x v="0"/>
  </r>
  <r>
    <n v="40"/>
    <n v="1"/>
    <n v="3"/>
    <n v="5"/>
    <n v="2"/>
    <n v="1"/>
    <n v="3"/>
    <n v="33"/>
    <n v="4"/>
    <n v="1"/>
    <n v="3"/>
    <n v="21308"/>
    <n v="564"/>
    <n v="20744"/>
    <n v="0.44800000000000001"/>
    <n v="1322"/>
    <n v="38"/>
    <n v="0.65200000000000002"/>
    <n v="2.5999999999999999E-2"/>
    <s v="8.9305e-05"/>
    <n v="0.99990999999999997"/>
    <s v="56.71189795747802"/>
    <s v="59.78835334982232"/>
    <s v="33.91551620901266"/>
    <s v="4.469140512598233"/>
    <n v="803833608"/>
    <x v="0"/>
    <n v="3.6896945E-3"/>
    <x v="0"/>
  </r>
  <r>
    <n v="43"/>
    <n v="0"/>
    <n v="3"/>
    <n v="5"/>
    <n v="2"/>
    <n v="4"/>
    <n v="0"/>
    <n v="29"/>
    <n v="3"/>
    <n v="2"/>
    <n v="3"/>
    <n v="4138"/>
    <n v="643"/>
    <n v="3495"/>
    <n v="0.68100000000000005"/>
    <n v="1827"/>
    <n v="49"/>
    <n v="0.58099999999999996"/>
    <n v="0.155"/>
    <n v="2.0424000000000001E-4"/>
    <n v="0.99980000000000002"/>
    <s v="20.468213145203904"/>
    <s v="2.291185986053164"/>
    <s v="53.09425355758546"/>
    <s v="18.516323581545446"/>
    <n v="720462633"/>
    <x v="0"/>
    <n v="2.0691867E-3"/>
    <x v="0"/>
  </r>
  <r>
    <n v="48"/>
    <n v="0"/>
    <n v="3"/>
    <n v="6"/>
    <n v="0"/>
    <n v="4"/>
    <n v="0"/>
    <n v="36"/>
    <n v="5"/>
    <n v="1"/>
    <n v="4"/>
    <n v="3968"/>
    <n v="935"/>
    <n v="3033"/>
    <n v="0.64900000000000002"/>
    <n v="4128"/>
    <n v="72"/>
    <n v="0.67400000000000004"/>
    <n v="0.23599999999999999"/>
    <n v="1.8024999999999999E-4"/>
    <n v="0.99982000000000004"/>
    <s v="45.91210209636228"/>
    <s v="17.910122302350953"/>
    <s v="23.616117174400262"/>
    <s v="16.317404566870938"/>
    <n v="713057658"/>
    <x v="0"/>
    <n v="3.9522952000000002E-4"/>
    <x v="0"/>
  </r>
  <r>
    <n v="47"/>
    <n v="0"/>
    <n v="3"/>
    <n v="2"/>
    <n v="2"/>
    <n v="4"/>
    <n v="0"/>
    <n v="39"/>
    <n v="3"/>
    <n v="3"/>
    <n v="3"/>
    <n v="1438.3"/>
    <n v="0"/>
    <n v="1438.3"/>
    <n v="0.502"/>
    <n v="2476"/>
    <n v="32"/>
    <n v="0.77800000000000002"/>
    <n v="0"/>
    <n v="0.99682999999999999"/>
    <n v="3.1745800000000002E-3"/>
    <s v="24.01493077750956"/>
    <s v="11.44767671642135"/>
    <s v="13.77913004106301"/>
    <s v="2.7973458045113504"/>
    <n v="712807758"/>
    <x v="1"/>
    <n v="0.9985098"/>
    <x v="1"/>
  </r>
  <r>
    <n v="37"/>
    <n v="0"/>
    <n v="2"/>
    <n v="2"/>
    <n v="2"/>
    <n v="1"/>
    <n v="0"/>
    <n v="36"/>
    <n v="4"/>
    <n v="3"/>
    <n v="1"/>
    <n v="2407"/>
    <n v="1552"/>
    <n v="855"/>
    <n v="0.62"/>
    <n v="4983"/>
    <n v="86"/>
    <n v="0.755"/>
    <n v="0.64500000000000002"/>
    <n v="1.0848E-4"/>
    <n v="0.99988999999999995"/>
    <s v="17.984610597311605"/>
    <s v="3.606336406272036"/>
    <s v="6.654684522656572"/>
    <s v="23.289283257895686"/>
    <n v="712181658"/>
    <x v="0"/>
    <n v="3.2101269999999999E-4"/>
    <x v="0"/>
  </r>
  <r>
    <n v="34"/>
    <n v="0"/>
    <n v="4"/>
    <n v="2"/>
    <n v="0"/>
    <n v="1"/>
    <n v="0"/>
    <n v="26"/>
    <n v="5"/>
    <n v="5"/>
    <n v="3"/>
    <n v="3038"/>
    <n v="1539"/>
    <n v="1499"/>
    <n v="0.70699999999999996"/>
    <n v="2189"/>
    <n v="54"/>
    <n v="0.68799999999999994"/>
    <n v="0.50700000000000001"/>
    <n v="3.5434000000000003E-4"/>
    <n v="0.99965000000000004"/>
    <s v="5.710264701185121"/>
    <s v="57.41326818707163"/>
    <s v="13.33249806389865"/>
    <s v="14.51833733028797"/>
    <n v="809967783"/>
    <x v="0"/>
    <n v="6.5596290000000004E-4"/>
    <x v="0"/>
  </r>
  <r>
    <n v="59"/>
    <n v="1"/>
    <n v="1"/>
    <n v="1"/>
    <n v="2"/>
    <n v="3"/>
    <n v="0"/>
    <n v="49"/>
    <n v="4"/>
    <n v="2"/>
    <n v="2"/>
    <n v="22715"/>
    <n v="707"/>
    <n v="22008"/>
    <n v="0.84799999999999998"/>
    <n v="15004"/>
    <n v="117"/>
    <n v="0.88700000000000001"/>
    <n v="3.1E-2"/>
    <n v="1.5459999999999999E-4"/>
    <n v="0.99985000000000002"/>
    <s v="20.75059552646492"/>
    <s v="12.608501722506553"/>
    <s v="88.92957437955933"/>
    <s v="5.066728743878448"/>
    <n v="720237408"/>
    <x v="0"/>
    <n v="6.5472092999999999E-4"/>
    <x v="0"/>
  </r>
  <r>
    <n v="41"/>
    <n v="1"/>
    <n v="3"/>
    <n v="2"/>
    <n v="2"/>
    <n v="3"/>
    <n v="0"/>
    <n v="37"/>
    <n v="3"/>
    <n v="3"/>
    <n v="3"/>
    <n v="19402"/>
    <n v="0"/>
    <n v="19402"/>
    <n v="0.57999999999999996"/>
    <n v="1937"/>
    <n v="51"/>
    <n v="0.59399999999999997"/>
    <n v="0"/>
    <n v="0.99682999999999999"/>
    <n v="3.1745800000000002E-3"/>
    <s v="2.0915256086238303"/>
    <s v="126.0202682239622"/>
    <s v="141.39106094403226"/>
    <s v="7.958100089117993"/>
    <n v="821749608"/>
    <x v="1"/>
    <n v="0.99842819999999999"/>
    <x v="1"/>
  </r>
  <r>
    <n v="39"/>
    <n v="0"/>
    <n v="2"/>
    <n v="2"/>
    <n v="1"/>
    <n v="4"/>
    <n v="0"/>
    <n v="29"/>
    <n v="3"/>
    <n v="2"/>
    <n v="2"/>
    <n v="1677"/>
    <n v="0"/>
    <n v="1677"/>
    <n v="0.86899999999999999"/>
    <n v="2437"/>
    <n v="41"/>
    <n v="0.70799999999999996"/>
    <n v="0"/>
    <n v="0.99129"/>
    <n v="8.7100000000000007E-3"/>
    <s v="28.41098353368921"/>
    <s v="42.66716171805209"/>
    <s v="104.99434992430034"/>
    <s v="32.692857867675336"/>
    <n v="773228133"/>
    <x v="1"/>
    <n v="0.99854195000000001"/>
    <x v="1"/>
  </r>
  <r>
    <n v="47"/>
    <n v="1"/>
    <n v="2"/>
    <n v="2"/>
    <n v="2"/>
    <n v="1"/>
    <n v="0"/>
    <n v="35"/>
    <n v="1"/>
    <n v="6"/>
    <n v="3"/>
    <n v="5791"/>
    <n v="1957"/>
    <n v="3834"/>
    <n v="0.65400000000000003"/>
    <n v="7823"/>
    <n v="93"/>
    <n v="0.72199999999999998"/>
    <n v="0.33800000000000002"/>
    <n v="2.3881E-4"/>
    <n v="0.99975999999999998"/>
    <s v="26.84922447128345"/>
    <s v="19.483009287573392"/>
    <s v="31.536596586385404"/>
    <s v="9.261953883365754"/>
    <n v="715575258"/>
    <x v="0"/>
    <n v="3.6856539999999998E-4"/>
    <x v="0"/>
  </r>
  <r>
    <n v="31"/>
    <n v="0"/>
    <n v="0"/>
    <n v="2"/>
    <n v="2"/>
    <n v="4"/>
    <n v="0"/>
    <n v="17"/>
    <n v="4"/>
    <n v="2"/>
    <n v="3"/>
    <n v="2787"/>
    <n v="1761"/>
    <n v="1026"/>
    <n v="0.67"/>
    <n v="4358"/>
    <n v="89"/>
    <n v="0.64800000000000002"/>
    <n v="0.63200000000000001"/>
    <n v="1.6427999999999999E-4"/>
    <n v="0.99983999999999995"/>
    <s v="17.609592550353767"/>
    <s v="7.558848167001245"/>
    <s v="24.877165548058883"/>
    <s v="15.613514944469484"/>
    <n v="769577358"/>
    <x v="0"/>
    <n v="3.2914013999999999E-4"/>
    <x v="0"/>
  </r>
  <r>
    <n v="54"/>
    <n v="1"/>
    <n v="3"/>
    <n v="3"/>
    <n v="1"/>
    <n v="1"/>
    <n v="0"/>
    <n v="44"/>
    <n v="2"/>
    <n v="1"/>
    <n v="5"/>
    <n v="3032"/>
    <n v="0"/>
    <n v="3032"/>
    <n v="0.94899999999999995"/>
    <n v="1037"/>
    <n v="14"/>
    <n v="2.5"/>
    <n v="0"/>
    <n v="0.99639"/>
    <n v="3.61108E-3"/>
    <s v="10.879486683121415"/>
    <n v="46.598866772048297"/>
    <s v="168.96533161976896"/>
    <s v="31.627795034707407"/>
    <n v="789853533"/>
    <x v="1"/>
    <n v="0.99728240000000001"/>
    <x v="1"/>
  </r>
  <r>
    <n v="37"/>
    <n v="0"/>
    <n v="1"/>
    <n v="3"/>
    <n v="2"/>
    <n v="1"/>
    <n v="0"/>
    <n v="27"/>
    <n v="4"/>
    <n v="2"/>
    <n v="2"/>
    <n v="1793"/>
    <n v="792"/>
    <n v="1001"/>
    <n v="0.72299999999999998"/>
    <n v="2374"/>
    <n v="40"/>
    <n v="0.42899999999999999"/>
    <n v="0.442"/>
    <n v="0.99046000000000001"/>
    <n v="9.5399999999999999E-3"/>
    <s v="56.47168203021591"/>
    <s v="19.92377258992421"/>
    <n v="10.985301098444999"/>
    <s v="32.95921224283847"/>
    <n v="787974108"/>
    <x v="1"/>
    <n v="0.99747220000000003"/>
    <x v="1"/>
  </r>
  <r>
    <n v="45"/>
    <n v="0"/>
    <n v="3"/>
    <n v="5"/>
    <n v="0"/>
    <n v="4"/>
    <n v="0"/>
    <n v="36"/>
    <n v="5"/>
    <n v="1"/>
    <n v="0"/>
    <n v="2697"/>
    <n v="2216"/>
    <n v="481"/>
    <n v="0.68100000000000005"/>
    <n v="4063"/>
    <n v="75"/>
    <n v="0.78600000000000003"/>
    <n v="0.82199999999999995"/>
    <s v="2.1676e-05"/>
    <n v="0.99997999999999998"/>
    <s v="1.189982259385871"/>
    <s v="78.10099331847366"/>
    <s v="85.75449601402471"/>
    <s v="10.89911028818738"/>
    <n v="716825808"/>
    <x v="0"/>
    <n v="3.2101269999999999E-4"/>
    <x v="0"/>
  </r>
  <r>
    <n v="47"/>
    <n v="0"/>
    <n v="5"/>
    <n v="2"/>
    <n v="1"/>
    <n v="4"/>
    <n v="0"/>
    <n v="39"/>
    <n v="3"/>
    <n v="3"/>
    <n v="4"/>
    <n v="7128"/>
    <n v="1560"/>
    <n v="5568"/>
    <n v="0.57299999999999995"/>
    <n v="1468"/>
    <n v="44"/>
    <n v="0.76"/>
    <n v="0.219"/>
    <n v="5.3271999999999998E-4"/>
    <n v="0.99946999999999997"/>
    <s v="31.278378120239907"/>
    <s v="20.126075364143343"/>
    <s v="40.70652274427279"/>
    <s v="8.447755918186068"/>
    <n v="716169258"/>
    <x v="0"/>
    <n v="1.0634780000000001E-3"/>
    <x v="0"/>
  </r>
  <r>
    <n v="43"/>
    <n v="1"/>
    <n v="3"/>
    <n v="2"/>
    <n v="3"/>
    <n v="0"/>
    <n v="0"/>
    <n v="36"/>
    <n v="6"/>
    <n v="1"/>
    <n v="2"/>
    <n v="25937"/>
    <n v="0"/>
    <n v="25937"/>
    <n v="0.93600000000000005"/>
    <n v="3785"/>
    <n v="68"/>
    <n v="0.7"/>
    <n v="0"/>
    <s v="5.7151e-05"/>
    <n v="0.99994000000000005"/>
    <s v="80.90188552291752"/>
    <s v="11.110746630428665"/>
    <s v="11.513676246344808"/>
    <s v="12.431314413028982"/>
    <n v="715354008"/>
    <x v="0"/>
    <n v="8.0553500000000002E-4"/>
    <x v="0"/>
  </r>
  <r>
    <n v="38"/>
    <n v="0"/>
    <n v="2"/>
    <n v="5"/>
    <n v="1"/>
    <n v="4"/>
    <n v="0"/>
    <n v="28"/>
    <n v="3"/>
    <n v="3"/>
    <n v="3"/>
    <n v="7049"/>
    <n v="0"/>
    <n v="7049"/>
    <n v="0.98799999999999999"/>
    <n v="1475"/>
    <n v="27"/>
    <n v="1.7"/>
    <n v="0"/>
    <n v="3.1104E-4"/>
    <n v="0.99968999999999997"/>
    <s v="64.50520008093487"/>
    <s v="14.788896465883738"/>
    <s v="101.0217137327774"/>
    <s v="6.870857748509465"/>
    <n v="779993208"/>
    <x v="0"/>
    <n v="3.2693911E-3"/>
    <x v="0"/>
  </r>
  <r>
    <n v="54"/>
    <n v="0"/>
    <n v="2"/>
    <n v="4"/>
    <n v="1"/>
    <n v="4"/>
    <n v="0"/>
    <n v="48"/>
    <n v="3"/>
    <n v="6"/>
    <n v="3"/>
    <n v="1638"/>
    <n v="0"/>
    <n v="1638"/>
    <n v="0.16300000000000001"/>
    <n v="1702"/>
    <n v="36"/>
    <n v="0.125"/>
    <n v="0"/>
    <n v="0.99644999999999995"/>
    <n v="3.5451900000000001E-3"/>
    <s v="19.556562617994597"/>
    <s v="86.51962053453391"/>
    <s v="38.67504207421847"/>
    <s v="4.571930531694737"/>
    <n v="716282208"/>
    <x v="1"/>
    <n v="0.99860470000000001"/>
    <x v="1"/>
  </r>
  <r>
    <n v="44"/>
    <n v="1"/>
    <n v="1"/>
    <n v="5"/>
    <n v="0"/>
    <n v="0"/>
    <n v="0"/>
    <n v="39"/>
    <n v="3"/>
    <n v="2"/>
    <n v="3"/>
    <n v="11362"/>
    <n v="0"/>
    <n v="11362"/>
    <n v="0.66800000000000004"/>
    <n v="3197"/>
    <n v="61"/>
    <n v="0.56399999999999995"/>
    <n v="0"/>
    <n v="1.8474999999999999E-4"/>
    <n v="0.99982000000000004"/>
    <s v="22.183151342364383"/>
    <s v="68.44664115022991"/>
    <s v="97.04165694636022"/>
    <n v="12.695809599073099"/>
    <n v="807990108"/>
    <x v="0"/>
    <n v="8.6334743999999996E-4"/>
    <x v="0"/>
  </r>
  <r>
    <n v="41"/>
    <n v="1"/>
    <n v="4"/>
    <n v="2"/>
    <n v="2"/>
    <n v="3"/>
    <n v="3"/>
    <n v="29"/>
    <n v="2"/>
    <n v="3"/>
    <n v="6"/>
    <n v="34516"/>
    <n v="0"/>
    <n v="34516"/>
    <n v="0.434"/>
    <n v="3526"/>
    <n v="53"/>
    <n v="0.82799999999999996"/>
    <n v="0"/>
    <n v="0.99933000000000005"/>
    <n v="6.7246999999999999E-4"/>
    <s v="31.61674760315096"/>
    <s v="10.468345274600235"/>
    <s v="116.68856450284753"/>
    <s v="5.8786096297362125"/>
    <n v="718458858"/>
    <x v="1"/>
    <n v="0.99538934000000001"/>
    <x v="1"/>
  </r>
  <r>
    <n v="35"/>
    <n v="0"/>
    <n v="2"/>
    <n v="3"/>
    <n v="1"/>
    <n v="4"/>
    <n v="0"/>
    <n v="22"/>
    <n v="4"/>
    <n v="3"/>
    <n v="3"/>
    <n v="2544"/>
    <n v="1848"/>
    <n v="696"/>
    <n v="0.80400000000000005"/>
    <n v="2289"/>
    <n v="49"/>
    <n v="0.441"/>
    <n v="0.72599999999999998"/>
    <n v="2.9408E-4"/>
    <n v="0.99970999999999999"/>
    <s v="0.8332079439748832"/>
    <s v="12.366452970199724"/>
    <s v="129.2636029543573"/>
    <s v="13.02646902367142"/>
    <n v="708735183"/>
    <x v="0"/>
    <n v="1.237803E-3"/>
    <x v="0"/>
  </r>
  <r>
    <n v="56"/>
    <n v="0"/>
    <n v="2"/>
    <n v="3"/>
    <n v="2"/>
    <n v="4"/>
    <n v="0"/>
    <n v="42"/>
    <n v="5"/>
    <n v="4"/>
    <n v="2"/>
    <n v="2423"/>
    <n v="268"/>
    <n v="2155"/>
    <n v="0.80400000000000005"/>
    <n v="2516"/>
    <n v="59"/>
    <n v="0.63900000000000001"/>
    <n v="0.111"/>
    <n v="0.99529000000000001"/>
    <n v="4.7088599999999996E-3"/>
    <s v="30.664367471043157"/>
    <n v="40.0916386090815"/>
    <s v="80.75398262372201"/>
    <s v="22.24374708218113"/>
    <n v="719098308"/>
    <x v="1"/>
    <n v="0.99387110000000001"/>
    <x v="1"/>
  </r>
  <r>
    <n v="41"/>
    <n v="0"/>
    <n v="3"/>
    <n v="3"/>
    <n v="2"/>
    <n v="5"/>
    <n v="0"/>
    <n v="32"/>
    <n v="2"/>
    <n v="1"/>
    <n v="1"/>
    <n v="4745"/>
    <n v="1157"/>
    <n v="3588"/>
    <n v="0.96499999999999997"/>
    <n v="4705"/>
    <n v="78"/>
    <n v="0.90200000000000002"/>
    <n v="0.24399999999999999"/>
    <s v="3.3505e-05"/>
    <n v="0.99997000000000003"/>
    <n v="36.802152582564503"/>
    <s v="22.316550662231723"/>
    <s v="1.2105188569146523"/>
    <s v="10.257338820364192"/>
    <n v="710794983"/>
    <x v="0"/>
    <n v="3.3750932000000002E-4"/>
    <x v="0"/>
  </r>
  <r>
    <n v="57"/>
    <n v="0"/>
    <n v="3"/>
    <n v="2"/>
    <n v="1"/>
    <n v="4"/>
    <n v="0"/>
    <n v="45"/>
    <n v="1"/>
    <n v="4"/>
    <n v="2"/>
    <n v="1759"/>
    <n v="186"/>
    <n v="1573"/>
    <n v="0.75600000000000001"/>
    <n v="2705"/>
    <n v="35"/>
    <n v="0.52200000000000002"/>
    <n v="0.106"/>
    <n v="0.99558999999999997"/>
    <n v="4.4127699999999999E-3"/>
    <s v="4.856141833353581"/>
    <s v="25.00196889465112"/>
    <s v="26.81462549997004"/>
    <s v="3.354088118423857"/>
    <n v="771422883"/>
    <x v="1"/>
    <n v="0.99850744000000002"/>
    <x v="1"/>
  </r>
  <r>
    <n v="51"/>
    <n v="0"/>
    <n v="1"/>
    <n v="2"/>
    <n v="2"/>
    <n v="1"/>
    <n v="0"/>
    <n v="36"/>
    <n v="3"/>
    <n v="3"/>
    <n v="1"/>
    <n v="2146"/>
    <n v="967"/>
    <n v="1179"/>
    <n v="0.56899999999999995"/>
    <n v="4253"/>
    <n v="74"/>
    <n v="0.72099999999999997"/>
    <n v="0.45100000000000001"/>
    <n v="1.0182E-4"/>
    <n v="0.99990000000000001"/>
    <n v="27.472091224176999"/>
    <s v="9.723200572578522"/>
    <s v="135.5351124482739"/>
    <n v="4.9305788064206197"/>
    <n v="717087858"/>
    <x v="0"/>
    <n v="3.8272605000000003E-4"/>
    <x v="0"/>
  </r>
  <r>
    <n v="59"/>
    <n v="0"/>
    <n v="0"/>
    <n v="6"/>
    <n v="2"/>
    <n v="1"/>
    <n v="0"/>
    <n v="42"/>
    <n v="6"/>
    <n v="2"/>
    <n v="2"/>
    <n v="1931"/>
    <n v="1409"/>
    <n v="522"/>
    <n v="0.88700000000000001"/>
    <n v="4797"/>
    <n v="65"/>
    <n v="0.625"/>
    <n v="0.73"/>
    <n v="1.0736E-4"/>
    <n v="0.99988999999999995"/>
    <s v="12.73100858473775"/>
    <s v="18.089156595938192"/>
    <s v="66.85844502695825"/>
    <s v="24.128114520432437"/>
    <n v="779651058"/>
    <x v="0"/>
    <n v="3.3028650000000001E-4"/>
    <x v="0"/>
  </r>
  <r>
    <n v="49"/>
    <n v="0"/>
    <n v="3"/>
    <n v="5"/>
    <n v="2"/>
    <n v="1"/>
    <n v="0"/>
    <n v="38"/>
    <n v="1"/>
    <n v="2"/>
    <n v="3"/>
    <n v="2655"/>
    <n v="2283"/>
    <n v="372"/>
    <n v="0.751"/>
    <n v="2386"/>
    <n v="49"/>
    <n v="0.48499999999999999"/>
    <n v="0.86"/>
    <n v="0.99512999999999996"/>
    <n v="4.8712599999999997E-3"/>
    <n v="31.938839213738401"/>
    <s v="2.8681809994745198"/>
    <s v="36.77294118030489"/>
    <s v="4.955498838351291"/>
    <n v="719449533"/>
    <x v="1"/>
    <n v="0.99568354999999997"/>
    <x v="1"/>
  </r>
  <r>
    <n v="39"/>
    <n v="0"/>
    <n v="5"/>
    <n v="2"/>
    <n v="1"/>
    <n v="4"/>
    <n v="0"/>
    <n v="36"/>
    <n v="3"/>
    <n v="3"/>
    <n v="3"/>
    <n v="3664"/>
    <n v="0"/>
    <n v="3664"/>
    <n v="0.41899999999999998"/>
    <n v="1479"/>
    <n v="44"/>
    <n v="0.91300000000000003"/>
    <n v="0"/>
    <n v="0.99680999999999997"/>
    <n v="3.1907200000000002E-3"/>
    <s v="36.64602438637145"/>
    <s v="85.66942389385852"/>
    <s v="8.565804072616666"/>
    <s v="6.589708318637515"/>
    <n v="715485483"/>
    <x v="1"/>
    <n v="0.99818379999999995"/>
    <x v="1"/>
  </r>
  <r>
    <n v="55"/>
    <n v="0"/>
    <n v="3"/>
    <n v="5"/>
    <n v="2"/>
    <n v="4"/>
    <n v="0"/>
    <n v="47"/>
    <n v="2"/>
    <n v="5"/>
    <n v="4"/>
    <n v="4841"/>
    <n v="859"/>
    <n v="3982"/>
    <n v="1.0029999999999999"/>
    <n v="8918"/>
    <n v="87"/>
    <n v="0.97699999999999998"/>
    <n v="0.17699999999999999"/>
    <n v="0.99838000000000005"/>
    <n v="1.6227500000000001E-3"/>
    <s v="24.256069647460286"/>
    <s v="59.85259938253196"/>
    <s v="28.087245162346093"/>
    <s v="10.35176391846335"/>
    <n v="716717733"/>
    <x v="1"/>
    <n v="0.98621714000000005"/>
    <x v="1"/>
  </r>
  <r>
    <n v="40"/>
    <n v="1"/>
    <n v="3"/>
    <n v="2"/>
    <n v="0"/>
    <n v="4"/>
    <n v="3"/>
    <n v="36"/>
    <n v="1"/>
    <n v="3"/>
    <n v="2"/>
    <n v="11409"/>
    <n v="1658"/>
    <n v="9751"/>
    <n v="0.98899999999999999"/>
    <n v="4677"/>
    <n v="58"/>
    <n v="0.70599999999999996"/>
    <n v="0.14499999999999999"/>
    <n v="1.6865000000000001E-4"/>
    <n v="0.99983"/>
    <s v="27.35325130017595"/>
    <s v="14.513883891104337"/>
    <s v="80.01266747206894"/>
    <s v="11.390461249001012"/>
    <n v="712571883"/>
    <x v="0"/>
    <n v="4.5575495E-4"/>
    <x v="0"/>
  </r>
  <r>
    <n v="48"/>
    <n v="0"/>
    <n v="4"/>
    <n v="2"/>
    <n v="2"/>
    <n v="5"/>
    <n v="0"/>
    <n v="40"/>
    <n v="3"/>
    <n v="2"/>
    <n v="2"/>
    <n v="11164"/>
    <n v="859"/>
    <n v="10305"/>
    <n v="0.91500000000000004"/>
    <n v="4227"/>
    <n v="67"/>
    <n v="0.63400000000000001"/>
    <n v="7.6999999999999999E-2"/>
    <n v="1.1937E-4"/>
    <n v="0.99987999999999999"/>
    <s v="4.206005287629901"/>
    <s v="56.60037200409529"/>
    <s v="61.359778072580646"/>
    <s v="17.75956974526894"/>
    <n v="709453833"/>
    <x v="0"/>
    <n v="5.5720279999999997E-4"/>
    <x v="0"/>
  </r>
  <r>
    <n v="43"/>
    <n v="1"/>
    <n v="4"/>
    <n v="6"/>
    <n v="1"/>
    <n v="1"/>
    <n v="0"/>
    <n v="37"/>
    <n v="3"/>
    <n v="2"/>
    <n v="3"/>
    <n v="10800"/>
    <n v="1491"/>
    <n v="9309"/>
    <n v="0.54300000000000004"/>
    <n v="3966"/>
    <n v="77"/>
    <n v="0.63800000000000001"/>
    <n v="0.13800000000000001"/>
    <n v="2.2068000000000001E-4"/>
    <n v="0.99978"/>
    <s v="8.829429637381837"/>
    <n v="8.5319383635406396"/>
    <s v="42.829153421794366"/>
    <s v="11.12709931919252"/>
    <n v="797138883"/>
    <x v="0"/>
    <n v="3.2914013999999999E-4"/>
    <x v="0"/>
  </r>
  <r>
    <n v="43"/>
    <n v="0"/>
    <n v="2"/>
    <n v="6"/>
    <n v="1"/>
    <n v="4"/>
    <n v="0"/>
    <n v="29"/>
    <n v="4"/>
    <n v="1"/>
    <n v="1"/>
    <n v="3327"/>
    <n v="2517"/>
    <n v="810"/>
    <n v="0.79300000000000004"/>
    <n v="4901"/>
    <n v="88"/>
    <n v="0.91300000000000003"/>
    <n v="0.75700000000000001"/>
    <s v="3.6508e-05"/>
    <n v="0.99995999999999996"/>
    <s v="0.1129991094712007"/>
    <s v="10.90289939756836"/>
    <s v="103.58471151249924"/>
    <s v="8.880724246653326"/>
    <n v="720967233"/>
    <x v="0"/>
    <n v="3.4692350000000002E-4"/>
    <x v="0"/>
  </r>
  <r>
    <n v="41"/>
    <n v="1"/>
    <n v="4"/>
    <n v="0"/>
    <n v="1"/>
    <n v="0"/>
    <n v="0"/>
    <n v="28"/>
    <n v="5"/>
    <n v="3"/>
    <n v="0"/>
    <n v="28020"/>
    <n v="1470"/>
    <n v="26550"/>
    <n v="1.226"/>
    <n v="1723"/>
    <n v="36"/>
    <n v="1.25"/>
    <n v="5.1999999999999998E-2"/>
    <s v="6.7657e-05"/>
    <n v="0.99992999999999999"/>
    <s v="12.92288984471184"/>
    <s v="63.48928173948501"/>
    <s v="45.79274908690583"/>
    <s v="12.067135851276689"/>
    <n v="771169458"/>
    <x v="0"/>
    <n v="1.0985557E-3"/>
    <x v="0"/>
  </r>
  <r>
    <n v="26"/>
    <n v="1"/>
    <n v="0"/>
    <n v="2"/>
    <n v="2"/>
    <n v="4"/>
    <n v="0"/>
    <n v="15"/>
    <n v="6"/>
    <n v="3"/>
    <n v="3"/>
    <n v="2740"/>
    <n v="2069"/>
    <n v="671"/>
    <n v="0.41799999999999998"/>
    <n v="1997"/>
    <n v="44"/>
    <n v="0.41899999999999998"/>
    <n v="0.755"/>
    <n v="2.5960000000000002E-4"/>
    <n v="0.99973999999999996"/>
    <s v="24.55521477708355"/>
    <s v="4.039559660777327"/>
    <s v="22.48468815881564"/>
    <n v="40.700428565344502"/>
    <n v="719494983"/>
    <x v="0"/>
    <n v="1.3273743E-3"/>
    <x v="0"/>
  </r>
  <r>
    <n v="59"/>
    <n v="0"/>
    <n v="0"/>
    <n v="6"/>
    <n v="1"/>
    <n v="4"/>
    <n v="0"/>
    <n v="36"/>
    <n v="6"/>
    <n v="1"/>
    <n v="4"/>
    <n v="2448"/>
    <n v="1969"/>
    <n v="479"/>
    <n v="0.71299999999999997"/>
    <n v="5066"/>
    <n v="84"/>
    <n v="0.75"/>
    <n v="0.80400000000000005"/>
    <n v="1.4907000000000001E-4"/>
    <n v="0.99985000000000002"/>
    <s v="12.56371334248188"/>
    <s v="51.37942726761603"/>
    <s v="36.092073321347165"/>
    <s v="24.02084427674991"/>
    <n v="719809533"/>
    <x v="0"/>
    <n v="3.2101269999999999E-4"/>
    <x v="0"/>
  </r>
  <r>
    <n v="47"/>
    <n v="0"/>
    <n v="4"/>
    <n v="3"/>
    <n v="1"/>
    <n v="5"/>
    <n v="0"/>
    <n v="39"/>
    <n v="6"/>
    <n v="4"/>
    <n v="0"/>
    <n v="1537"/>
    <n v="0"/>
    <n v="1537"/>
    <n v="0.71199999999999997"/>
    <n v="4234"/>
    <n v="75"/>
    <n v="0.78600000000000003"/>
    <n v="0"/>
    <s v="8.1758e-05"/>
    <n v="0.99992000000000003"/>
    <s v="5.412519267941106"/>
    <s v="50.63216230118115"/>
    <s v="21.849108799723208"/>
    <s v="20.81530646460301"/>
    <n v="711994458"/>
    <x v="0"/>
    <n v="6.9517245999999998E-4"/>
    <x v="0"/>
  </r>
  <r>
    <n v="50"/>
    <n v="1"/>
    <n v="3"/>
    <n v="5"/>
    <n v="1"/>
    <n v="2"/>
    <n v="0"/>
    <n v="45"/>
    <n v="2"/>
    <n v="2"/>
    <n v="5"/>
    <n v="21096"/>
    <n v="0"/>
    <n v="21096"/>
    <n v="0.63700000000000001"/>
    <n v="1882"/>
    <n v="39"/>
    <n v="0.34499999999999997"/>
    <n v="0"/>
    <n v="0.99834000000000001"/>
    <n v="1.6552400000000001E-3"/>
    <s v="54.65309399626505"/>
    <s v="21.75209464974034"/>
    <s v="62.02307818273282"/>
    <s v="12.166640346863748"/>
    <n v="807584958"/>
    <x v="1"/>
    <n v="0.99805500000000003"/>
    <x v="1"/>
  </r>
  <r>
    <n v="41"/>
    <n v="1"/>
    <n v="1"/>
    <n v="2"/>
    <n v="1"/>
    <n v="3"/>
    <n v="0"/>
    <n v="31"/>
    <n v="5"/>
    <n v="3"/>
    <n v="4"/>
    <n v="10239"/>
    <n v="2224"/>
    <n v="8015"/>
    <n v="0.54500000000000004"/>
    <n v="2149"/>
    <n v="40"/>
    <n v="1.105"/>
    <n v="0.217"/>
    <n v="4.8434999999999998E-4"/>
    <n v="0.99951999999999996"/>
    <s v="16.640073670089865"/>
    <s v="94.37283745157178"/>
    <s v="100.47596363562552"/>
    <s v="19.69803916854128"/>
    <n v="710874933"/>
    <x v="0"/>
    <n v="1.2356120000000001E-3"/>
    <x v="0"/>
  </r>
  <r>
    <n v="35"/>
    <n v="0"/>
    <n v="0"/>
    <n v="2"/>
    <n v="1"/>
    <n v="4"/>
    <n v="0"/>
    <n v="36"/>
    <n v="1"/>
    <n v="2"/>
    <n v="2"/>
    <n v="3019"/>
    <n v="1462"/>
    <n v="1557"/>
    <n v="0.71799999999999997"/>
    <n v="4509"/>
    <n v="71"/>
    <n v="0.73199999999999998"/>
    <n v="0.48399999999999999"/>
    <s v="9.7673e-05"/>
    <n v="0.99990000000000001"/>
    <s v="55.33471680903117"/>
    <s v="33.18695647816172"/>
    <s v="27.25868761101007"/>
    <s v="5.409214424137271"/>
    <n v="714181008"/>
    <x v="0"/>
    <n v="3.2101269999999999E-4"/>
    <x v="0"/>
  </r>
  <r>
    <n v="28"/>
    <n v="1"/>
    <n v="1"/>
    <n v="6"/>
    <n v="3"/>
    <n v="1"/>
    <n v="0"/>
    <n v="15"/>
    <n v="5"/>
    <n v="2"/>
    <n v="4"/>
    <n v="9283"/>
    <n v="2288"/>
    <n v="6995"/>
    <n v="0.92800000000000005"/>
    <n v="13804"/>
    <n v="110"/>
    <n v="0.71899999999999997"/>
    <n v="0.246"/>
    <n v="3.3691999999999999E-4"/>
    <n v="0.99965999999999999"/>
    <s v="9.037513939863112"/>
    <s v="73.00478300161787"/>
    <s v="43.98324185378677"/>
    <s v="6.374111981431659"/>
    <n v="710190858"/>
    <x v="0"/>
    <n v="3.6437239999999999E-4"/>
    <x v="0"/>
  </r>
  <r>
    <n v="34"/>
    <n v="0"/>
    <n v="0"/>
    <n v="2"/>
    <n v="1"/>
    <n v="5"/>
    <n v="0"/>
    <n v="13"/>
    <n v="4"/>
    <n v="1"/>
    <n v="4"/>
    <n v="7942"/>
    <n v="2087"/>
    <n v="5855"/>
    <n v="0.754"/>
    <n v="4068"/>
    <n v="66"/>
    <n v="0.61"/>
    <n v="0.26300000000000001"/>
    <n v="1.3562000000000001E-4"/>
    <n v="0.99985999999999997"/>
    <s v="7.470422526348827"/>
    <s v="39.919743771384695"/>
    <n v="5.5569194759155804"/>
    <s v="14.938040478495337"/>
    <n v="715583283"/>
    <x v="0"/>
    <n v="3.2914013999999999E-4"/>
    <x v="0"/>
  </r>
  <r>
    <n v="37"/>
    <n v="1"/>
    <n v="3"/>
    <n v="2"/>
    <n v="0"/>
    <n v="1"/>
    <n v="0"/>
    <n v="36"/>
    <n v="5"/>
    <n v="2"/>
    <n v="0"/>
    <n v="5987"/>
    <n v="1405"/>
    <n v="4582"/>
    <n v="0.95199999999999996"/>
    <n v="4011"/>
    <n v="72"/>
    <n v="0.67400000000000004"/>
    <n v="0.23499999999999999"/>
    <s v="4.3568e-05"/>
    <n v="0.99995999999999996"/>
    <s v="2.0841027244110912"/>
    <s v="16.849902635899706"/>
    <n v="137.69077248806599"/>
    <s v="22.60600373392667"/>
    <n v="718982058"/>
    <x v="0"/>
    <n v="3.3750932000000002E-4"/>
    <x v="0"/>
  </r>
  <r>
    <n v="50"/>
    <n v="1"/>
    <n v="4"/>
    <n v="0"/>
    <n v="2"/>
    <n v="1"/>
    <n v="0"/>
    <n v="45"/>
    <n v="4"/>
    <n v="3"/>
    <n v="1"/>
    <n v="6943"/>
    <n v="600"/>
    <n v="6343"/>
    <n v="0.65300000000000002"/>
    <n v="4946"/>
    <n v="80"/>
    <n v="0.73899999999999999"/>
    <n v="8.5999999999999993E-2"/>
    <n v="1.1061E-4"/>
    <n v="0.99988999999999995"/>
    <s v="7.7061102235749885"/>
    <s v="7.701251210112344"/>
    <s v="25.327448784529395"/>
    <s v="17.438112056533257"/>
    <n v="711027183"/>
    <x v="0"/>
    <n v="5.7984352999999997E-4"/>
    <x v="0"/>
  </r>
  <r>
    <n v="42"/>
    <n v="0"/>
    <n v="4"/>
    <n v="2"/>
    <n v="3"/>
    <n v="4"/>
    <n v="0"/>
    <n v="32"/>
    <n v="3"/>
    <n v="1"/>
    <n v="2"/>
    <n v="2314"/>
    <n v="1547"/>
    <n v="767"/>
    <n v="0.80400000000000005"/>
    <n v="4678"/>
    <n v="74"/>
    <n v="1"/>
    <n v="0.66900000000000004"/>
    <s v="5.7762e-05"/>
    <n v="0.99994000000000005"/>
    <s v="10.01058056768288"/>
    <s v="5.618139240965146"/>
    <s v="8.001612029612104"/>
    <s v="1.159560294831707"/>
    <n v="714140133"/>
    <x v="0"/>
    <n v="3.2101269999999999E-4"/>
    <x v="0"/>
  </r>
  <r>
    <n v="50"/>
    <n v="1"/>
    <n v="3"/>
    <n v="2"/>
    <n v="1"/>
    <n v="0"/>
    <n v="0"/>
    <n v="38"/>
    <n v="5"/>
    <n v="2"/>
    <n v="4"/>
    <n v="34516"/>
    <n v="1662"/>
    <n v="32854"/>
    <n v="0.504"/>
    <n v="3806"/>
    <n v="76"/>
    <n v="0.9"/>
    <n v="4.8000000000000001E-2"/>
    <n v="3.3886000000000002E-4"/>
    <n v="0.99965999999999999"/>
    <s v="59.70439282050803"/>
    <s v="25.073446366514005"/>
    <s v="2.2843948827865392"/>
    <s v="3.752269424676176"/>
    <n v="715670058"/>
    <x v="0"/>
    <n v="3.5729867999999997E-4"/>
    <x v="0"/>
  </r>
  <r>
    <n v="49"/>
    <n v="0"/>
    <n v="1"/>
    <n v="0"/>
    <n v="1"/>
    <n v="5"/>
    <n v="0"/>
    <n v="36"/>
    <n v="1"/>
    <n v="3"/>
    <n v="2"/>
    <n v="5039"/>
    <n v="2489"/>
    <n v="2550"/>
    <n v="0.875"/>
    <n v="4770"/>
    <n v="74"/>
    <n v="0.94699999999999995"/>
    <n v="0.49399999999999999"/>
    <n v="1.6415000000000001E-4"/>
    <n v="0.99983999999999995"/>
    <s v="30.042734980090597"/>
    <s v="45.62306520024187"/>
    <s v="60.37904385793307"/>
    <s v="15.39297268462413"/>
    <n v="718279983"/>
    <x v="0"/>
    <n v="3.4692350000000002E-4"/>
    <x v="0"/>
  </r>
  <r>
    <n v="40"/>
    <n v="0"/>
    <n v="4"/>
    <n v="2"/>
    <n v="1"/>
    <n v="5"/>
    <n v="0"/>
    <n v="36"/>
    <n v="3"/>
    <n v="1"/>
    <n v="2"/>
    <n v="3706"/>
    <n v="1043"/>
    <n v="2663"/>
    <n v="0.38400000000000001"/>
    <n v="1688"/>
    <n v="38"/>
    <n v="0.58299999999999996"/>
    <n v="0.28100000000000003"/>
    <s v="5.7762e-05"/>
    <n v="0.99994000000000005"/>
    <s v="15.38917319523905"/>
    <s v="42.99036546035504"/>
    <s v="13.855814757293617"/>
    <s v="2.3525981720807403"/>
    <n v="715362183"/>
    <x v="0"/>
    <n v="1.0903810999999999E-3"/>
    <x v="0"/>
  </r>
  <r>
    <n v="55"/>
    <n v="1"/>
    <n v="2"/>
    <n v="3"/>
    <n v="1"/>
    <n v="3"/>
    <n v="0"/>
    <n v="47"/>
    <n v="3"/>
    <n v="1"/>
    <n v="4"/>
    <n v="5741"/>
    <n v="1894"/>
    <n v="3847"/>
    <n v="1.111"/>
    <n v="2170"/>
    <n v="51"/>
    <n v="0.96199999999999997"/>
    <n v="0.33"/>
    <n v="1.5363E-4"/>
    <n v="0.99985000000000002"/>
    <s v="34.85594977039151"/>
    <s v="45.48660652830717"/>
    <n v="46.636053974738203"/>
    <s v="7.146820801610693"/>
    <n v="781131483"/>
    <x v="0"/>
    <n v="8.981118E-4"/>
    <x v="0"/>
  </r>
  <r>
    <n v="53"/>
    <n v="1"/>
    <n v="0"/>
    <n v="5"/>
    <n v="0"/>
    <n v="0"/>
    <n v="0"/>
    <n v="47"/>
    <n v="5"/>
    <n v="2"/>
    <n v="1"/>
    <n v="26129"/>
    <n v="1752"/>
    <n v="24377"/>
    <n v="0.74199999999999999"/>
    <n v="4919"/>
    <n v="75"/>
    <n v="0.74399999999999999"/>
    <n v="6.7000000000000004E-2"/>
    <s v="6.0563e-05"/>
    <n v="0.99994000000000005"/>
    <s v="30.097122236792288"/>
    <s v="7.665923999797629"/>
    <s v="136.8043939246036"/>
    <s v="4.212087395488716"/>
    <n v="768661758"/>
    <x v="0"/>
    <n v="3.5729867999999997E-4"/>
    <x v="0"/>
  </r>
  <r>
    <n v="53"/>
    <n v="1"/>
    <n v="4"/>
    <n v="2"/>
    <n v="2"/>
    <n v="1"/>
    <n v="0"/>
    <n v="36"/>
    <n v="4"/>
    <n v="5"/>
    <n v="3"/>
    <n v="2300"/>
    <n v="0"/>
    <n v="2300"/>
    <n v="0.65500000000000003"/>
    <n v="4527"/>
    <n v="79"/>
    <n v="0.75600000000000001"/>
    <n v="0"/>
    <n v="3.5434000000000003E-4"/>
    <n v="0.99965000000000004"/>
    <s v="1.2488974003373403"/>
    <s v="31.63995464064023"/>
    <s v="28.811876351034723"/>
    <s v="3.324185977911701"/>
    <n v="709575858"/>
    <x v="0"/>
    <n v="6.9517245999999998E-4"/>
    <x v="0"/>
  </r>
  <r>
    <n v="47"/>
    <n v="1"/>
    <n v="2"/>
    <n v="4"/>
    <n v="1"/>
    <n v="3"/>
    <n v="0"/>
    <n v="35"/>
    <n v="1"/>
    <n v="3"/>
    <n v="1"/>
    <n v="30300"/>
    <n v="1166"/>
    <n v="29134"/>
    <n v="0.71499999999999997"/>
    <n v="4146"/>
    <n v="64"/>
    <n v="0.88200000000000001"/>
    <n v="3.7999999999999999E-2"/>
    <n v="1.2763999999999999E-4"/>
    <n v="0.99987000000000004"/>
    <s v="17.41407468990649"/>
    <s v="48.25963044333769"/>
    <s v="195.5802393936484"/>
    <s v="8.925962789674475"/>
    <n v="711178383"/>
    <x v="0"/>
    <n v="3.756516E-4"/>
    <x v="0"/>
  </r>
  <r>
    <n v="47"/>
    <n v="0"/>
    <n v="4"/>
    <n v="2"/>
    <n v="2"/>
    <n v="4"/>
    <n v="0"/>
    <n v="37"/>
    <n v="4"/>
    <n v="3"/>
    <n v="2"/>
    <n v="1438.3"/>
    <n v="780"/>
    <n v="658.3"/>
    <n v="0.66"/>
    <n v="4422"/>
    <n v="59"/>
    <n v="0.84399999999999997"/>
    <n v="0.54200000000000004"/>
    <n v="1.8864000000000001E-4"/>
    <n v="0.99980999999999998"/>
    <s v="23.25839385187988"/>
    <s v="41.78806536831561"/>
    <s v="48.49574484007245"/>
    <s v="24.95008253871457"/>
    <n v="709265208"/>
    <x v="0"/>
    <n v="6.307067E-4"/>
    <x v="0"/>
  </r>
  <r>
    <n v="49"/>
    <n v="1"/>
    <n v="4"/>
    <n v="2"/>
    <n v="1"/>
    <n v="3"/>
    <n v="0"/>
    <n v="39"/>
    <n v="5"/>
    <n v="1"/>
    <n v="1"/>
    <n v="34516"/>
    <n v="543"/>
    <n v="33973"/>
    <n v="0.745"/>
    <n v="3951"/>
    <n v="76"/>
    <n v="0.9"/>
    <n v="1.6E-2"/>
    <s v="3.4833e-05"/>
    <n v="0.99997000000000003"/>
    <s v="5.8949911660177765"/>
    <s v="48.67691305150174"/>
    <s v="22.666511791542668"/>
    <s v="7.715132124510294"/>
    <n v="708758658"/>
    <x v="0"/>
    <n v="6.9517245999999998E-4"/>
    <x v="0"/>
  </r>
  <r>
    <n v="34"/>
    <n v="1"/>
    <n v="3"/>
    <n v="3"/>
    <n v="1"/>
    <n v="3"/>
    <n v="0"/>
    <n v="23"/>
    <n v="5"/>
    <n v="1"/>
    <n v="4"/>
    <n v="4185"/>
    <n v="2517"/>
    <n v="1668"/>
    <n v="0.86099999999999999"/>
    <n v="2179"/>
    <n v="55"/>
    <n v="0.77400000000000002"/>
    <n v="0.60099999999999998"/>
    <n v="1.5941999999999999E-4"/>
    <n v="0.99983999999999995"/>
    <s v="29.372135292743824"/>
    <s v="24.296847175830383"/>
    <s v="74.65501527098695"/>
    <s v="8.296727639781224"/>
    <n v="708980283"/>
    <x v="0"/>
    <n v="6.4226205000000001E-4"/>
    <x v="0"/>
  </r>
  <r>
    <n v="61"/>
    <n v="1"/>
    <n v="1"/>
    <n v="2"/>
    <n v="1"/>
    <n v="1"/>
    <n v="0"/>
    <n v="50"/>
    <n v="6"/>
    <n v="2"/>
    <n v="4"/>
    <n v="2531"/>
    <n v="2360"/>
    <n v="171"/>
    <n v="0.95499999999999996"/>
    <n v="1263"/>
    <n v="35"/>
    <n v="0.59099999999999997"/>
    <n v="0.93200000000000005"/>
    <n v="3.0653000000000001E-4"/>
    <n v="0.99968999999999997"/>
    <s v="36.79533148917283"/>
    <s v="23.16561806662838"/>
    <s v="52.30750712172785"/>
    <s v="4.464234501535093"/>
    <n v="779612808"/>
    <x v="0"/>
    <n v="1.0598798E-3"/>
    <x v="0"/>
  </r>
  <r>
    <n v="54"/>
    <n v="0"/>
    <n v="2"/>
    <n v="2"/>
    <n v="1"/>
    <n v="4"/>
    <n v="0"/>
    <n v="44"/>
    <n v="1"/>
    <n v="2"/>
    <n v="3"/>
    <n v="3034"/>
    <n v="2033"/>
    <n v="1001"/>
    <n v="0.64200000000000002"/>
    <n v="4349"/>
    <n v="90"/>
    <n v="0.73099999999999998"/>
    <n v="0.67"/>
    <n v="1.9143E-4"/>
    <n v="0.99980999999999998"/>
    <s v="49.27214559917484"/>
    <s v="37.50742806331996"/>
    <s v="90.14365527484568"/>
    <s v="17.755471537553728"/>
    <n v="713160258"/>
    <x v="0"/>
    <n v="3.2101269999999999E-4"/>
    <x v="0"/>
  </r>
  <r>
    <n v="54"/>
    <n v="0"/>
    <n v="2"/>
    <n v="3"/>
    <n v="1"/>
    <n v="5"/>
    <n v="0"/>
    <n v="44"/>
    <n v="3"/>
    <n v="3"/>
    <n v="1"/>
    <n v="6094"/>
    <n v="0"/>
    <n v="6094"/>
    <n v="1.129"/>
    <n v="909"/>
    <n v="14"/>
    <n v="0.27300000000000002"/>
    <n v="0"/>
    <n v="0.99060999999999999"/>
    <n v="9.3900000000000008E-3"/>
    <s v="20.77285314055065"/>
    <s v="43.71846561409015"/>
    <s v="152.16842790474078"/>
    <s v="11.10478434528589"/>
    <n v="718621608"/>
    <x v="1"/>
    <n v="0.99870884000000004"/>
    <x v="1"/>
  </r>
  <r>
    <n v="61"/>
    <n v="0"/>
    <n v="0"/>
    <n v="2"/>
    <n v="1"/>
    <n v="5"/>
    <n v="0"/>
    <n v="56"/>
    <n v="4"/>
    <n v="1"/>
    <n v="3"/>
    <n v="5585"/>
    <n v="1465"/>
    <n v="4120"/>
    <n v="1.5029999999999999"/>
    <n v="1787"/>
    <n v="31"/>
    <n v="0.72199999999999998"/>
    <n v="0.26200000000000001"/>
    <s v="7.9494e-05"/>
    <n v="0.99992000000000003"/>
    <s v="39.15399903324439"/>
    <s v="60.315011414874576"/>
    <s v="38.82379186686536"/>
    <s v="30.561949409503654"/>
    <n v="822969858"/>
    <x v="0"/>
    <n v="1.0337284E-3"/>
    <x v="0"/>
  </r>
  <r>
    <n v="47"/>
    <n v="1"/>
    <n v="2"/>
    <n v="4"/>
    <n v="2"/>
    <n v="2"/>
    <n v="0"/>
    <n v="39"/>
    <n v="1"/>
    <n v="3"/>
    <n v="2"/>
    <n v="17575"/>
    <n v="618"/>
    <n v="16957"/>
    <n v="0.91700000000000004"/>
    <n v="15473"/>
    <n v="128"/>
    <n v="0.68400000000000005"/>
    <n v="3.5000000000000003E-2"/>
    <n v="2.1164999999999999E-4"/>
    <n v="0.99978999999999996"/>
    <n v="7.2183697865260203"/>
    <s v="46.34132535652435"/>
    <s v="75.51328625679102"/>
    <s v="19.801329039177897"/>
    <n v="708873183"/>
    <x v="0"/>
    <n v="6.8835315E-4"/>
    <x v="0"/>
  </r>
  <r>
    <n v="45"/>
    <n v="1"/>
    <n v="4"/>
    <n v="6"/>
    <n v="2"/>
    <n v="4"/>
    <n v="0"/>
    <n v="36"/>
    <n v="5"/>
    <n v="2"/>
    <n v="3"/>
    <n v="1963"/>
    <n v="1549"/>
    <n v="414"/>
    <n v="0.77800000000000002"/>
    <n v="3718"/>
    <n v="75"/>
    <n v="0.59599999999999997"/>
    <n v="0.78900000000000003"/>
    <n v="2.2068000000000001E-4"/>
    <n v="0.99978"/>
    <s v="45.09451606481326"/>
    <s v="11.56070902795015"/>
    <s v="108.8381959915954"/>
    <s v="6.874934576190419"/>
    <n v="720242733"/>
    <x v="0"/>
    <n v="3.2914013999999999E-4"/>
    <x v="0"/>
  </r>
  <r>
    <n v="59"/>
    <n v="0"/>
    <n v="0"/>
    <n v="1"/>
    <n v="1"/>
    <n v="4"/>
    <n v="0"/>
    <n v="52"/>
    <n v="6"/>
    <n v="4"/>
    <n v="2"/>
    <n v="2302"/>
    <n v="0"/>
    <n v="2302"/>
    <n v="0.52"/>
    <n v="2256"/>
    <n v="40"/>
    <n v="0.66700000000000004"/>
    <n v="0"/>
    <n v="0.99631000000000003"/>
    <n v="3.6900100000000001E-3"/>
    <s v="26.78101368131452"/>
    <n v="2.2199319933835202"/>
    <s v="46.28283959006219"/>
    <s v="1.3446049444199648"/>
    <n v="714372333"/>
    <x v="1"/>
    <n v="0.99846690000000005"/>
    <x v="1"/>
  </r>
  <r>
    <n v="62"/>
    <n v="1"/>
    <n v="1"/>
    <n v="2"/>
    <n v="2"/>
    <n v="2"/>
    <n v="0"/>
    <n v="49"/>
    <n v="3"/>
    <n v="3"/>
    <n v="2"/>
    <n v="21805"/>
    <n v="1777"/>
    <n v="20028"/>
    <n v="0.51900000000000002"/>
    <n v="4694"/>
    <n v="79"/>
    <n v="0.41099999999999998"/>
    <n v="8.1000000000000003E-2"/>
    <n v="1.6882999999999999E-4"/>
    <n v="0.99983"/>
    <s v="15.301571360129625"/>
    <s v="56.22312924744574"/>
    <s v="6.091586401858795"/>
    <s v="9.400688784922847"/>
    <n v="711982383"/>
    <x v="0"/>
    <n v="3.7735005E-4"/>
    <x v="0"/>
  </r>
  <r>
    <n v="46"/>
    <n v="1"/>
    <n v="5"/>
    <n v="5"/>
    <n v="0"/>
    <n v="2"/>
    <n v="0"/>
    <n v="36"/>
    <n v="3"/>
    <n v="1"/>
    <n v="2"/>
    <n v="17196"/>
    <n v="1646"/>
    <n v="15550"/>
    <n v="0.54200000000000004"/>
    <n v="1466"/>
    <n v="41"/>
    <n v="1.278"/>
    <n v="9.6000000000000002E-2"/>
    <s v="5.8465e-05"/>
    <n v="0.99994000000000005"/>
    <s v="25.218538262529076"/>
    <s v="27.83420300949508"/>
    <s v="22.516063782910734"/>
    <s v="2.5827379179166754"/>
    <n v="715528983"/>
    <x v="0"/>
    <n v="1.0249399E-3"/>
    <x v="0"/>
  </r>
  <r>
    <n v="65"/>
    <n v="0"/>
    <n v="0"/>
    <n v="3"/>
    <n v="2"/>
    <n v="1"/>
    <n v="0"/>
    <n v="53"/>
    <n v="4"/>
    <n v="1"/>
    <n v="3"/>
    <n v="2418"/>
    <n v="2205"/>
    <n v="213"/>
    <n v="0.84"/>
    <n v="3918"/>
    <n v="74"/>
    <n v="0.51"/>
    <n v="0.91200000000000003"/>
    <s v="7.7279e-05"/>
    <n v="0.99992000000000003"/>
    <s v="63.863208474095615"/>
    <n v="24.712402280647598"/>
    <s v="14.312213006592534"/>
    <s v="29.01545497715723"/>
    <n v="718693683"/>
    <x v="0"/>
    <n v="3.4439339999999999E-4"/>
    <x v="0"/>
  </r>
  <r>
    <n v="43"/>
    <n v="0"/>
    <n v="3"/>
    <n v="2"/>
    <n v="1"/>
    <n v="5"/>
    <n v="0"/>
    <n v="33"/>
    <n v="6"/>
    <n v="1"/>
    <n v="3"/>
    <n v="7951"/>
    <n v="1456"/>
    <n v="6495"/>
    <n v="0.88200000000000001"/>
    <n v="4452"/>
    <n v="65"/>
    <n v="0.51200000000000001"/>
    <n v="0.183"/>
    <s v="9.6126e-05"/>
    <n v="0.99990000000000001"/>
    <s v="33.106957461736826"/>
    <s v="12.509968152879017"/>
    <s v="27.586713890892632"/>
    <s v="0.6673467823791475"/>
    <n v="717893358"/>
    <x v="0"/>
    <n v="3.5285820000000002E-4"/>
    <x v="0"/>
  </r>
  <r>
    <n v="53"/>
    <n v="0"/>
    <n v="3"/>
    <n v="6"/>
    <n v="2"/>
    <n v="4"/>
    <n v="0"/>
    <n v="42"/>
    <n v="1"/>
    <n v="1"/>
    <n v="3"/>
    <n v="2915"/>
    <n v="2041"/>
    <n v="874"/>
    <n v="0.92700000000000005"/>
    <n v="4272"/>
    <n v="70"/>
    <n v="0.75"/>
    <n v="0.7"/>
    <n v="1.0566E-4"/>
    <n v="0.99988999999999995"/>
    <s v="32.234106247134385"/>
    <s v="138.46953268051482"/>
    <s v="7.544621434476917"/>
    <s v="3.914434497900792"/>
    <n v="718548558"/>
    <x v="0"/>
    <n v="3.221314E-4"/>
    <x v="0"/>
  </r>
  <r>
    <n v="38"/>
    <n v="1"/>
    <n v="3"/>
    <n v="3"/>
    <n v="2"/>
    <n v="2"/>
    <n v="3"/>
    <n v="33"/>
    <n v="6"/>
    <n v="1"/>
    <n v="2"/>
    <n v="34516"/>
    <n v="1793"/>
    <n v="32723"/>
    <n v="0.76700000000000002"/>
    <n v="4533"/>
    <n v="78"/>
    <n v="0.47199999999999998"/>
    <n v="5.1999999999999998E-2"/>
    <s v="5.0201e-05"/>
    <n v="0.99995000000000001"/>
    <s v="4.165000723772451"/>
    <s v="45.96996115646551"/>
    <s v="46.37361565800495"/>
    <s v="1.6602499087900653"/>
    <n v="816772908"/>
    <x v="0"/>
    <n v="3.9788143000000001E-4"/>
    <x v="0"/>
  </r>
  <r>
    <n v="48"/>
    <n v="1"/>
    <n v="4"/>
    <n v="4"/>
    <n v="1"/>
    <n v="1"/>
    <n v="0"/>
    <n v="29"/>
    <n v="6"/>
    <n v="1"/>
    <n v="2"/>
    <n v="2916"/>
    <n v="1074"/>
    <n v="1842"/>
    <n v="0.77400000000000002"/>
    <n v="4020"/>
    <n v="84"/>
    <n v="0.68"/>
    <n v="0.36799999999999999"/>
    <s v="6.7967e-05"/>
    <n v="0.99992999999999999"/>
    <s v="7.014161460721251"/>
    <s v="7.467645739275377"/>
    <s v="98.19146091864998"/>
    <s v="9.820838685509594"/>
    <n v="710863308"/>
    <x v="0"/>
    <n v="3.2101269999999999E-4"/>
    <x v="0"/>
  </r>
  <r>
    <n v="44"/>
    <n v="1"/>
    <n v="3"/>
    <n v="6"/>
    <n v="1"/>
    <n v="1"/>
    <n v="0"/>
    <n v="36"/>
    <n v="4"/>
    <n v="2"/>
    <n v="1"/>
    <n v="2534"/>
    <n v="1706"/>
    <n v="828"/>
    <n v="0.79300000000000004"/>
    <n v="3965"/>
    <n v="57"/>
    <n v="1.111"/>
    <n v="0.67300000000000004"/>
    <s v="7.8291e-05"/>
    <n v="0.99992000000000003"/>
    <s v="31.80250154045219"/>
    <s v="16.089850996595207"/>
    <s v="3.876798601278265"/>
    <s v="9.694732864194313"/>
    <n v="789526458"/>
    <x v="0"/>
    <n v="4.2673005000000002E-4"/>
    <x v="0"/>
  </r>
  <r>
    <n v="32"/>
    <n v="0"/>
    <n v="0"/>
    <n v="6"/>
    <n v="1"/>
    <n v="4"/>
    <n v="0"/>
    <n v="36"/>
    <n v="5"/>
    <n v="3"/>
    <n v="3"/>
    <n v="1438.3"/>
    <n v="0"/>
    <n v="1438.3"/>
    <n v="0.56899999999999995"/>
    <n v="2464"/>
    <n v="37"/>
    <n v="0.32100000000000001"/>
    <n v="0"/>
    <n v="0.99651000000000001"/>
    <n v="3.4913000000000001E-3"/>
    <s v="66.08257753473622"/>
    <s v="17.770330791615965"/>
    <s v="69.50603721957636"/>
    <s v="2.0365358140620278"/>
    <n v="712683633"/>
    <x v="1"/>
    <n v="0.99873226999999998"/>
    <x v="1"/>
  </r>
  <r>
    <n v="45"/>
    <n v="1"/>
    <n v="4"/>
    <n v="0"/>
    <n v="1"/>
    <n v="2"/>
    <n v="0"/>
    <n v="26"/>
    <n v="6"/>
    <n v="2"/>
    <n v="2"/>
    <n v="3035"/>
    <n v="1498"/>
    <n v="1537"/>
    <n v="0.90300000000000002"/>
    <n v="4275"/>
    <n v="67"/>
    <n v="0.67500000000000004"/>
    <n v="0.49399999999999999"/>
    <n v="1.1605E-4"/>
    <n v="0.99987999999999999"/>
    <s v="8.993532170559696"/>
    <n v="39.548624531930002"/>
    <n v="93.527525130734404"/>
    <s v="5.4321430105170005"/>
    <n v="788770908"/>
    <x v="0"/>
    <n v="3.221314E-4"/>
    <x v="0"/>
  </r>
  <r>
    <n v="55"/>
    <n v="0"/>
    <n v="2"/>
    <n v="0"/>
    <n v="2"/>
    <n v="5"/>
    <n v="0"/>
    <n v="49"/>
    <n v="1"/>
    <n v="0"/>
    <n v="6"/>
    <n v="1438.3"/>
    <n v="0"/>
    <n v="1438.3"/>
    <n v="0.60799999999999998"/>
    <n v="2278"/>
    <n v="57"/>
    <n v="0.72699999999999998"/>
    <n v="0"/>
    <n v="0.99424000000000001"/>
    <n v="5.7600000000000004E-3"/>
    <s v="24.18433262771538"/>
    <s v="3.062002650566109"/>
    <s v="61.95370273409015"/>
    <s v="12.873448176218425"/>
    <n v="796083783"/>
    <x v="1"/>
    <n v="0.99357057000000004"/>
    <x v="1"/>
  </r>
  <r>
    <n v="53"/>
    <n v="0"/>
    <n v="2"/>
    <n v="5"/>
    <n v="1"/>
    <n v="4"/>
    <n v="0"/>
    <n v="42"/>
    <n v="6"/>
    <n v="1"/>
    <n v="5"/>
    <n v="2322"/>
    <n v="1284"/>
    <n v="1038"/>
    <n v="0.67300000000000004"/>
    <n v="1573"/>
    <n v="27"/>
    <n v="0.92900000000000005"/>
    <n v="0.55300000000000005"/>
    <n v="2.8116000000000003E-4"/>
    <n v="0.99972000000000005"/>
    <s v="11.883787423401362"/>
    <s v="29.459583595439774"/>
    <s v="101.54552676297746"/>
    <s v="1.9577149857553011"/>
    <n v="717260058"/>
    <x v="0"/>
    <n v="9.8706899999999992E-4"/>
    <x v="0"/>
  </r>
  <r>
    <n v="48"/>
    <n v="0"/>
    <n v="4"/>
    <n v="0"/>
    <n v="2"/>
    <n v="4"/>
    <n v="0"/>
    <n v="42"/>
    <n v="2"/>
    <n v="3"/>
    <n v="2"/>
    <n v="1438.3"/>
    <n v="0"/>
    <n v="1438.3"/>
    <n v="0.70699999999999996"/>
    <n v="5045"/>
    <n v="82"/>
    <n v="0.745"/>
    <n v="0"/>
    <n v="1.8340000000000001E-4"/>
    <n v="0.99982000000000004"/>
    <n v="46.882666699934802"/>
    <s v="37.313619718457495"/>
    <s v="16.38605970051302"/>
    <s v="4.146773382702165"/>
    <n v="795855258"/>
    <x v="0"/>
    <n v="6.9517245999999998E-4"/>
    <x v="0"/>
  </r>
  <r>
    <n v="58"/>
    <n v="0"/>
    <n v="1"/>
    <n v="0"/>
    <n v="2"/>
    <n v="4"/>
    <n v="0"/>
    <n v="46"/>
    <n v="1"/>
    <n v="5"/>
    <n v="1"/>
    <n v="1552"/>
    <n v="0"/>
    <n v="1552"/>
    <n v="0.76200000000000001"/>
    <n v="4731"/>
    <n v="71"/>
    <n v="0.65100000000000002"/>
    <n v="0"/>
    <n v="1.1056999999999999E-4"/>
    <n v="0.99988999999999995"/>
    <s v="33.23455618894113"/>
    <n v="9.3718428788205603"/>
    <s v="2.9566637255683825"/>
    <s v="19.666754796618267"/>
    <n v="718632933"/>
    <x v="0"/>
    <n v="7.4965424999999997E-4"/>
    <x v="0"/>
  </r>
  <r>
    <n v="45"/>
    <n v="1"/>
    <n v="2"/>
    <n v="3"/>
    <n v="1"/>
    <n v="1"/>
    <n v="0"/>
    <n v="33"/>
    <n v="1"/>
    <n v="3"/>
    <n v="3"/>
    <n v="11529"/>
    <n v="1823"/>
    <n v="9706"/>
    <n v="0.72699999999999998"/>
    <n v="8135"/>
    <n v="97"/>
    <n v="0.70199999999999996"/>
    <n v="0.158"/>
    <n v="2.9408E-4"/>
    <n v="0.99970999999999999"/>
    <s v="11.916655901802129"/>
    <s v="32.48570467564716"/>
    <s v="8.457291777467674"/>
    <s v="3.5561968473594594"/>
    <n v="771674958"/>
    <x v="0"/>
    <n v="3.6856539999999998E-4"/>
    <x v="0"/>
  </r>
  <r>
    <n v="44"/>
    <n v="1"/>
    <n v="3"/>
    <n v="0"/>
    <n v="3"/>
    <n v="2"/>
    <n v="0"/>
    <n v="33"/>
    <n v="6"/>
    <n v="3"/>
    <n v="2"/>
    <n v="15468"/>
    <n v="1187"/>
    <n v="14281"/>
    <n v="0.93"/>
    <n v="4484"/>
    <n v="81"/>
    <n v="0.84099999999999997"/>
    <n v="7.6999999999999999E-2"/>
    <n v="1.8145999999999999E-4"/>
    <n v="0.99982000000000004"/>
    <s v="26.252305811920884"/>
    <s v="5.411271170201345"/>
    <s v="63.18533153055527"/>
    <n v="24.6378901612566"/>
    <n v="772220433"/>
    <x v="0"/>
    <n v="3.5627351999999998E-4"/>
    <x v="0"/>
  </r>
  <r>
    <n v="40"/>
    <n v="1"/>
    <n v="4"/>
    <n v="6"/>
    <n v="3"/>
    <n v="3"/>
    <n v="0"/>
    <n v="27"/>
    <n v="4"/>
    <n v="3"/>
    <n v="2"/>
    <n v="22863"/>
    <n v="927"/>
    <n v="21936"/>
    <n v="0.56899999999999995"/>
    <n v="4071"/>
    <n v="69"/>
    <n v="0.72499999999999998"/>
    <n v="4.1000000000000002E-2"/>
    <n v="2.0735E-4"/>
    <n v="0.99978999999999996"/>
    <s v="15.181918170345511"/>
    <s v="29.32136184537211"/>
    <s v="67.99440687596504"/>
    <s v="26.279472420519934"/>
    <n v="709664658"/>
    <x v="0"/>
    <n v="4.3989909999999998E-4"/>
    <x v="0"/>
  </r>
  <r>
    <n v="40"/>
    <n v="0"/>
    <n v="3"/>
    <n v="5"/>
    <n v="1"/>
    <n v="4"/>
    <n v="0"/>
    <n v="29"/>
    <n v="4"/>
    <n v="1"/>
    <n v="2"/>
    <n v="2490"/>
    <n v="2225"/>
    <n v="265"/>
    <n v="0.56599999999999995"/>
    <n v="3339"/>
    <n v="71"/>
    <n v="0.54300000000000004"/>
    <n v="0.89400000000000002"/>
    <s v="5.8763e-05"/>
    <n v="0.99994000000000005"/>
    <s v="23.75219124398066"/>
    <s v="23.314162393621352"/>
    <s v="72.18514934639752"/>
    <n v="12.736892767692201"/>
    <n v="709567758"/>
    <x v="0"/>
    <n v="3.2914013999999999E-4"/>
    <x v="0"/>
  </r>
  <r>
    <n v="42"/>
    <n v="0"/>
    <n v="2"/>
    <n v="2"/>
    <n v="3"/>
    <n v="4"/>
    <n v="0"/>
    <n v="32"/>
    <n v="3"/>
    <n v="3"/>
    <n v="3"/>
    <n v="1507"/>
    <n v="0"/>
    <n v="1507"/>
    <n v="0.80600000000000005"/>
    <n v="2528"/>
    <n v="41"/>
    <n v="0.64"/>
    <n v="0"/>
    <n v="0.99670999999999998"/>
    <n v="3.29379E-3"/>
    <s v="5.499334839637559"/>
    <s v="22.547902558362267"/>
    <s v="94.19308435307198"/>
    <s v="31.99542479565048"/>
    <n v="778289883"/>
    <x v="1"/>
    <n v="0.99854653999999998"/>
    <x v="1"/>
  </r>
  <r>
    <n v="48"/>
    <n v="1"/>
    <n v="4"/>
    <n v="6"/>
    <n v="1"/>
    <n v="3"/>
    <n v="0"/>
    <n v="41"/>
    <n v="2"/>
    <n v="3"/>
    <n v="6"/>
    <n v="4806"/>
    <n v="1357"/>
    <n v="3449"/>
    <n v="0.57299999999999995"/>
    <n v="1771"/>
    <n v="35"/>
    <n v="0.34599999999999997"/>
    <n v="0.28199999999999997"/>
    <n v="0.99944999999999995"/>
    <n v="5.5285000000000002E-4"/>
    <s v="5.252421678962534"/>
    <s v="29.899662349289656"/>
    <s v="25.325064078499526"/>
    <s v="21.47356732500568"/>
    <n v="717840108"/>
    <x v="1"/>
    <n v="0.9931411"/>
    <x v="1"/>
  </r>
  <r>
    <n v="53"/>
    <n v="1"/>
    <n v="2"/>
    <n v="3"/>
    <n v="0"/>
    <n v="2"/>
    <n v="0"/>
    <n v="36"/>
    <n v="5"/>
    <n v="3"/>
    <n v="2"/>
    <n v="7753"/>
    <n v="2100"/>
    <n v="5653"/>
    <n v="0.83899999999999997"/>
    <n v="991"/>
    <n v="26"/>
    <n v="0.73299999999999998"/>
    <n v="0.27100000000000002"/>
    <n v="1.7485999999999999E-4"/>
    <n v="0.99983"/>
    <s v="71.89960441054795"/>
    <s v="32.18370981184151"/>
    <s v="51.42344109031847"/>
    <s v="30.61056014390036"/>
    <n v="719154483"/>
    <x v="0"/>
    <n v="1.1172062E-3"/>
    <x v="0"/>
  </r>
  <r>
    <n v="46"/>
    <n v="0"/>
    <n v="4"/>
    <n v="2"/>
    <n v="1"/>
    <n v="1"/>
    <n v="0"/>
    <n v="34"/>
    <n v="5"/>
    <n v="3"/>
    <n v="1"/>
    <n v="4152"/>
    <n v="1446"/>
    <n v="2706"/>
    <n v="0.82599999999999996"/>
    <n v="2218"/>
    <n v="30"/>
    <n v="0.30399999999999999"/>
    <n v="0.34799999999999998"/>
    <n v="0.99129"/>
    <n v="8.7100000000000007E-3"/>
    <s v="20.497740431766807"/>
    <s v="0.2086816938335042"/>
    <n v="54.779296597463699"/>
    <s v="24.57892300035757"/>
    <n v="708684108"/>
    <x v="1"/>
    <n v="0.99573140000000004"/>
    <x v="1"/>
  </r>
  <r>
    <n v="50"/>
    <n v="1"/>
    <n v="1"/>
    <n v="2"/>
    <n v="1"/>
    <n v="0"/>
    <n v="3"/>
    <n v="38"/>
    <n v="4"/>
    <n v="3"/>
    <n v="3"/>
    <n v="34516"/>
    <n v="1915"/>
    <n v="32601"/>
    <n v="0.625"/>
    <n v="3828"/>
    <n v="65"/>
    <n v="1.321"/>
    <n v="5.5E-2"/>
    <n v="2.5657000000000002E-4"/>
    <n v="0.99973999999999996"/>
    <n v="64.258000510678002"/>
    <s v="17.815914482811266"/>
    <s v="2.248420689400865"/>
    <s v="7.870416332980242"/>
    <n v="718267233"/>
    <x v="0"/>
    <n v="3.6608052E-4"/>
    <x v="0"/>
  </r>
  <r>
    <n v="52"/>
    <n v="0"/>
    <n v="1"/>
    <n v="2"/>
    <n v="2"/>
    <n v="4"/>
    <n v="0"/>
    <n v="44"/>
    <n v="5"/>
    <n v="2"/>
    <n v="2"/>
    <n v="2019"/>
    <n v="991"/>
    <n v="1028"/>
    <n v="0.79900000000000004"/>
    <n v="3603"/>
    <n v="59"/>
    <n v="0.96699999999999997"/>
    <n v="0.49099999999999999"/>
    <n v="1.0684E-4"/>
    <n v="0.99988999999999995"/>
    <s v="13.427955535297052"/>
    <s v="19.64386538662052"/>
    <s v="66.88134044510736"/>
    <s v="27.40912014800279"/>
    <n v="711676008"/>
    <x v="0"/>
    <n v="3.8517435000000002E-4"/>
    <x v="0"/>
  </r>
  <r>
    <n v="36"/>
    <n v="1"/>
    <n v="1"/>
    <n v="2"/>
    <n v="2"/>
    <n v="3"/>
    <n v="0"/>
    <n v="27"/>
    <n v="3"/>
    <n v="2"/>
    <n v="4"/>
    <n v="3761"/>
    <n v="1710"/>
    <n v="2051"/>
    <n v="0.627"/>
    <n v="3240"/>
    <n v="65"/>
    <n v="0.58499999999999996"/>
    <n v="0.45500000000000002"/>
    <n v="3.0653000000000001E-4"/>
    <n v="0.99968999999999997"/>
    <s v="7.304925847002302"/>
    <s v="5.577469404560016"/>
    <s v="6.208988973467866"/>
    <s v="0.2562607854539227"/>
    <n v="708255633"/>
    <x v="0"/>
    <n v="3.3723077000000001E-4"/>
    <x v="0"/>
  </r>
  <r>
    <n v="51"/>
    <n v="0"/>
    <n v="2"/>
    <n v="0"/>
    <n v="2"/>
    <n v="4"/>
    <n v="0"/>
    <n v="37"/>
    <n v="4"/>
    <n v="4"/>
    <n v="2"/>
    <n v="3264"/>
    <n v="2508"/>
    <n v="756"/>
    <n v="0.88700000000000001"/>
    <n v="4966"/>
    <n v="78"/>
    <n v="0.81399999999999995"/>
    <n v="0.76800000000000002"/>
    <n v="2.1133999999999999E-4"/>
    <n v="0.99978999999999996"/>
    <s v="3.563056842677772"/>
    <s v="19.337604818252423"/>
    <s v="51.882792929792096"/>
    <n v="9.9310136319615605"/>
    <n v="708551508"/>
    <x v="0"/>
    <n v="3.4813132000000003E-4"/>
    <x v="0"/>
  </r>
  <r>
    <n v="45"/>
    <n v="0"/>
    <n v="5"/>
    <n v="2"/>
    <n v="2"/>
    <n v="4"/>
    <n v="0"/>
    <n v="33"/>
    <n v="5"/>
    <n v="3"/>
    <n v="3"/>
    <n v="2288"/>
    <n v="1249"/>
    <n v="1039"/>
    <n v="0.60499999999999998"/>
    <n v="4504"/>
    <n v="87"/>
    <n v="0.70599999999999996"/>
    <n v="0.54600000000000004"/>
    <n v="3.1231E-4"/>
    <n v="0.99968999999999997"/>
    <s v="7.956679892027609"/>
    <s v="21.769605273247635"/>
    <s v="33.84483424753175"/>
    <s v="14.170325458311762"/>
    <n v="721269108"/>
    <x v="0"/>
    <n v="3.2101269999999999E-4"/>
    <x v="0"/>
  </r>
  <r>
    <n v="52"/>
    <n v="1"/>
    <n v="2"/>
    <n v="3"/>
    <n v="1"/>
    <n v="2"/>
    <n v="0"/>
    <n v="45"/>
    <n v="5"/>
    <n v="1"/>
    <n v="4"/>
    <n v="24287"/>
    <n v="1676"/>
    <n v="22611"/>
    <n v="0.50600000000000001"/>
    <n v="5495"/>
    <n v="69"/>
    <n v="0.81599999999999995"/>
    <n v="6.9000000000000006E-2"/>
    <n v="1.5363E-4"/>
    <n v="0.99985000000000002"/>
    <n v="36.122563146190899"/>
    <s v="28.89809588203853"/>
    <s v="89.73996806056262"/>
    <s v="2.0525674138639918"/>
    <n v="715276683"/>
    <x v="0"/>
    <n v="6.2157260000000002E-4"/>
    <x v="0"/>
  </r>
  <r>
    <n v="43"/>
    <n v="1"/>
    <n v="2"/>
    <n v="4"/>
    <n v="2"/>
    <n v="2"/>
    <n v="0"/>
    <n v="36"/>
    <n v="2"/>
    <n v="3"/>
    <n v="3"/>
    <n v="17306"/>
    <n v="0"/>
    <n v="17306"/>
    <n v="0.4"/>
    <n v="6205"/>
    <n v="65"/>
    <n v="0.80600000000000005"/>
    <n v="0"/>
    <n v="0.99719999999999998"/>
    <n v="2.8005899999999999E-3"/>
    <s v="40.55546234224199"/>
    <s v="27.814060403882216"/>
    <s v="31.71272780181558"/>
    <s v="23.18406089906845"/>
    <n v="720565458"/>
    <x v="1"/>
    <n v="0.99520869999999995"/>
    <x v="1"/>
  </r>
  <r>
    <n v="39"/>
    <n v="0"/>
    <n v="2"/>
    <n v="0"/>
    <n v="2"/>
    <n v="4"/>
    <n v="3"/>
    <n v="20"/>
    <n v="1"/>
    <n v="2"/>
    <n v="3"/>
    <n v="12338"/>
    <n v="1277"/>
    <n v="11061"/>
    <n v="0.82799999999999996"/>
    <n v="15869"/>
    <n v="109"/>
    <n v="0.75800000000000001"/>
    <n v="0.104"/>
    <n v="1.6817000000000001E-4"/>
    <n v="0.99983"/>
    <s v="0.6505783732570568"/>
    <s v="64.23561453420359"/>
    <s v="7.018340981286997"/>
    <s v="9.355354506253269"/>
    <n v="788778033"/>
    <x v="0"/>
    <n v="3.4656386999999997E-4"/>
    <x v="0"/>
  </r>
  <r>
    <n v="45"/>
    <n v="1"/>
    <n v="3"/>
    <n v="2"/>
    <n v="3"/>
    <n v="0"/>
    <n v="0"/>
    <n v="36"/>
    <n v="1"/>
    <n v="4"/>
    <n v="3"/>
    <n v="8858"/>
    <n v="1359"/>
    <n v="7499"/>
    <n v="0.74099999999999999"/>
    <n v="14223"/>
    <n v="103"/>
    <n v="0.77600000000000002"/>
    <n v="0.153"/>
    <n v="3.7934999999999998E-4"/>
    <n v="0.99961999999999995"/>
    <s v="18.15393068509245"/>
    <s v="43.30167430978121"/>
    <s v="9.640104090609796"/>
    <s v="6.612550010883664"/>
    <n v="718764708"/>
    <x v="0"/>
    <n v="3.4656386999999997E-4"/>
    <x v="0"/>
  </r>
  <r>
    <n v="37"/>
    <n v="0"/>
    <n v="3"/>
    <n v="3"/>
    <n v="1"/>
    <n v="4"/>
    <n v="0"/>
    <n v="19"/>
    <n v="5"/>
    <n v="1"/>
    <n v="3"/>
    <n v="4138"/>
    <n v="0"/>
    <n v="4138"/>
    <n v="1.1679999999999999"/>
    <n v="2420"/>
    <n v="50"/>
    <n v="0.61299999999999999"/>
    <n v="0"/>
    <s v="9.3448e-05"/>
    <n v="0.99990999999999997"/>
    <s v="10.927891236963909"/>
    <s v="16.945279224267768"/>
    <s v="4.167562217930314"/>
    <s v="26.59916116384742"/>
    <n v="779236083"/>
    <x v="0"/>
    <n v="3.0660435999999998E-3"/>
    <x v="0"/>
  </r>
  <r>
    <n v="36"/>
    <n v="0"/>
    <n v="3"/>
    <n v="5"/>
    <n v="2"/>
    <n v="4"/>
    <n v="0"/>
    <n v="22"/>
    <n v="3"/>
    <n v="3"/>
    <n v="1"/>
    <n v="2784"/>
    <n v="2378"/>
    <n v="406"/>
    <n v="0.52500000000000002"/>
    <n v="2021"/>
    <n v="57"/>
    <n v="0.67600000000000005"/>
    <n v="0.85399999999999998"/>
    <n v="0.99143000000000003"/>
    <n v="8.5699999999999995E-3"/>
    <s v="22.58334686481127"/>
    <s v="63.79979494803945"/>
    <s v="52.56228186840295"/>
    <s v="1.562008358525619"/>
    <n v="713597658"/>
    <x v="1"/>
    <n v="0.98873805999999997"/>
    <x v="1"/>
  </r>
  <r>
    <n v="52"/>
    <n v="0"/>
    <n v="4"/>
    <n v="3"/>
    <n v="2"/>
    <n v="4"/>
    <n v="0"/>
    <n v="44"/>
    <n v="1"/>
    <n v="1"/>
    <n v="3"/>
    <n v="5721"/>
    <n v="0"/>
    <n v="5721"/>
    <n v="0.56999999999999995"/>
    <n v="4188"/>
    <n v="79"/>
    <n v="0.88100000000000001"/>
    <n v="0"/>
    <s v="9.4447e-05"/>
    <n v="0.99990999999999997"/>
    <s v="9.942425162872295"/>
    <s v="1.5695660723085316"/>
    <s v="4.260328629751091"/>
    <s v="12.268342021529737"/>
    <n v="713723433"/>
    <x v="0"/>
    <n v="6.9517245999999998E-4"/>
    <x v="0"/>
  </r>
  <r>
    <n v="43"/>
    <n v="1"/>
    <n v="2"/>
    <n v="3"/>
    <n v="2"/>
    <n v="2"/>
    <n v="0"/>
    <n v="35"/>
    <n v="5"/>
    <n v="2"/>
    <n v="2"/>
    <n v="1849"/>
    <n v="1293"/>
    <n v="556"/>
    <n v="0.83499999999999996"/>
    <n v="4678"/>
    <n v="71"/>
    <n v="0.97199999999999998"/>
    <n v="0.69899999999999995"/>
    <n v="1.1065000000000001E-4"/>
    <n v="0.99988999999999995"/>
    <s v="12.477004200847478"/>
    <s v="43.37655190900745"/>
    <s v="10.091885863279986"/>
    <s v="23.01005905322496"/>
    <n v="711772983"/>
    <x v="0"/>
    <n v="3.2101269999999999E-4"/>
    <x v="0"/>
  </r>
  <r>
    <n v="59"/>
    <n v="1"/>
    <n v="1"/>
    <n v="0"/>
    <n v="2"/>
    <n v="2"/>
    <n v="0"/>
    <n v="53"/>
    <n v="2"/>
    <n v="3"/>
    <n v="3"/>
    <n v="14979"/>
    <n v="0"/>
    <n v="14979"/>
    <n v="0.71"/>
    <n v="530"/>
    <n v="10"/>
    <n v="1"/>
    <n v="0"/>
    <n v="0.99639"/>
    <n v="3.6082499999999999E-3"/>
    <s v="7.743963826062239"/>
    <s v="36.527225995329374"/>
    <s v="19.956013327726254"/>
    <s v="13.555834076108546"/>
    <n v="767712558"/>
    <x v="1"/>
    <n v="0.99824740000000001"/>
    <x v="1"/>
  </r>
  <r>
    <n v="32"/>
    <n v="1"/>
    <n v="0"/>
    <n v="3"/>
    <n v="1"/>
    <n v="2"/>
    <n v="0"/>
    <n v="26"/>
    <n v="5"/>
    <n v="2"/>
    <n v="3"/>
    <n v="5397"/>
    <n v="1784"/>
    <n v="3613"/>
    <n v="0.90400000000000003"/>
    <n v="2056"/>
    <n v="49"/>
    <n v="0.63300000000000001"/>
    <n v="0.33100000000000002"/>
    <n v="1.5970000000000001E-4"/>
    <n v="0.99983999999999995"/>
    <s v="2.058571753436598"/>
    <s v="60.86837791588127"/>
    <s v="8.481689614066815"/>
    <s v="5.234750289032434"/>
    <n v="793222008"/>
    <x v="0"/>
    <n v="1.0948938000000001E-3"/>
    <x v="0"/>
  </r>
  <r>
    <n v="43"/>
    <n v="1"/>
    <n v="3"/>
    <n v="2"/>
    <n v="1"/>
    <n v="3"/>
    <n v="0"/>
    <n v="32"/>
    <n v="2"/>
    <n v="1"/>
    <n v="2"/>
    <n v="4196"/>
    <n v="1331"/>
    <n v="2865"/>
    <n v="0.53700000000000003"/>
    <n v="14545"/>
    <n v="116"/>
    <n v="0.84099999999999997"/>
    <n v="0.317"/>
    <s v="5.7151e-05"/>
    <n v="0.99994000000000005"/>
    <s v="2.022319451901258"/>
    <s v="45.052293922142326"/>
    <s v="11.41780114292002"/>
    <s v="25.070553255058663"/>
    <n v="708866133"/>
    <x v="0"/>
    <n v="3.4656386999999997E-4"/>
    <x v="0"/>
  </r>
  <r>
    <n v="44"/>
    <n v="0"/>
    <n v="3"/>
    <n v="3"/>
    <n v="1"/>
    <n v="4"/>
    <n v="0"/>
    <n v="31"/>
    <n v="6"/>
    <n v="2"/>
    <n v="5"/>
    <n v="1438.3"/>
    <n v="688"/>
    <n v="750.3"/>
    <n v="0.97599999999999998"/>
    <n v="4208"/>
    <n v="86"/>
    <n v="0.72"/>
    <n v="0.47799999999999998"/>
    <n v="5.6992999999999996E-4"/>
    <n v="0.99943000000000004"/>
    <s v="30.946032119380973"/>
    <n v="49.489434616770403"/>
    <s v="75.35430320185822"/>
    <s v="16.978655983684227"/>
    <n v="742552683"/>
    <x v="0"/>
    <n v="5.4678856000000002E-4"/>
    <x v="0"/>
  </r>
  <r>
    <n v="56"/>
    <n v="0"/>
    <n v="3"/>
    <n v="2"/>
    <n v="1"/>
    <n v="1"/>
    <n v="0"/>
    <n v="36"/>
    <n v="2"/>
    <n v="3"/>
    <n v="2"/>
    <n v="1872"/>
    <n v="661"/>
    <n v="1211"/>
    <n v="0.75600000000000001"/>
    <n v="4970"/>
    <n v="81"/>
    <n v="0.92900000000000005"/>
    <n v="0.35299999999999998"/>
    <n v="1.8665000000000001E-4"/>
    <n v="0.99980999999999998"/>
    <n v="56.020355973980003"/>
    <s v="11.486735015067527"/>
    <s v="28.283362087964058"/>
    <s v="9.081887127872138"/>
    <n v="709261383"/>
    <x v="0"/>
    <n v="5.4489190000000002E-4"/>
    <x v="0"/>
  </r>
  <r>
    <n v="42"/>
    <n v="0"/>
    <n v="2"/>
    <n v="6"/>
    <n v="1"/>
    <n v="4"/>
    <n v="0"/>
    <n v="36"/>
    <n v="5"/>
    <n v="1"/>
    <n v="3"/>
    <n v="5928"/>
    <n v="2517"/>
    <n v="3411"/>
    <n v="0.81699999999999995"/>
    <n v="3536"/>
    <n v="69"/>
    <n v="0.76900000000000002"/>
    <n v="0.42499999999999999"/>
    <n v="1.0183000000000001E-4"/>
    <n v="0.99990000000000001"/>
    <s v="28.77348012467961"/>
    <s v="18.932810551266822"/>
    <s v="13.83827651577945"/>
    <s v="8.185044982069472"/>
    <n v="767835558"/>
    <x v="0"/>
    <n v="3.4692350000000002E-4"/>
    <x v="0"/>
  </r>
  <r>
    <n v="59"/>
    <n v="1"/>
    <n v="0"/>
    <n v="5"/>
    <n v="2"/>
    <n v="1"/>
    <n v="0"/>
    <n v="46"/>
    <n v="3"/>
    <n v="3"/>
    <n v="3"/>
    <n v="1648"/>
    <n v="997"/>
    <n v="651"/>
    <n v="0.77600000000000002"/>
    <n v="1776"/>
    <n v="36"/>
    <n v="0.56499999999999995"/>
    <n v="0.60499999999999998"/>
    <n v="2.6692000000000003E-4"/>
    <n v="0.99973000000000001"/>
    <s v="1.908879063273662"/>
    <s v="10.84022734427009"/>
    <s v="63.26429134025962"/>
    <s v="19.281205439976087"/>
    <n v="720668358"/>
    <x v="0"/>
    <n v="1.0903810999999999E-3"/>
    <x v="0"/>
  </r>
  <r>
    <n v="55"/>
    <n v="0"/>
    <n v="2"/>
    <n v="6"/>
    <n v="2"/>
    <n v="5"/>
    <n v="0"/>
    <n v="36"/>
    <n v="4"/>
    <n v="3"/>
    <n v="2"/>
    <n v="10241"/>
    <n v="1545"/>
    <n v="8696"/>
    <n v="0.58099999999999996"/>
    <n v="2513"/>
    <n v="47"/>
    <n v="0.42399999999999999"/>
    <n v="0.151"/>
    <n v="0.99497000000000002"/>
    <n v="5.0299999999999997E-3"/>
    <s v="29.612595880343004"/>
    <n v="2.05905334667532"/>
    <s v="121.47899335937164"/>
    <s v="6.314713432265604"/>
    <n v="710661333"/>
    <x v="1"/>
    <n v="0.99573140000000004"/>
    <x v="1"/>
  </r>
  <r>
    <n v="53"/>
    <n v="1"/>
    <n v="3"/>
    <n v="3"/>
    <n v="2"/>
    <n v="4"/>
    <n v="0"/>
    <n v="47"/>
    <n v="5"/>
    <n v="1"/>
    <n v="1"/>
    <n v="3351"/>
    <n v="1474"/>
    <n v="1877"/>
    <n v="0.39300000000000002"/>
    <n v="4294"/>
    <n v="66"/>
    <n v="0.73699999999999999"/>
    <n v="0.44"/>
    <s v="3.3505e-05"/>
    <n v="0.99997000000000003"/>
    <s v="29.802969331172967"/>
    <s v="3.2707760701291813"/>
    <s v="135.55886391330304"/>
    <s v="17.637694221865267"/>
    <n v="803231058"/>
    <x v="0"/>
    <n v="3.2101269999999999E-4"/>
    <x v="0"/>
  </r>
  <r>
    <n v="59"/>
    <n v="0"/>
    <n v="0"/>
    <n v="5"/>
    <n v="1"/>
    <n v="4"/>
    <n v="0"/>
    <n v="39"/>
    <n v="6"/>
    <n v="3"/>
    <n v="4"/>
    <n v="2417"/>
    <n v="1932"/>
    <n v="485"/>
    <n v="1.044"/>
    <n v="2367"/>
    <n v="50"/>
    <n v="0.78600000000000003"/>
    <n v="0.79900000000000004"/>
    <n v="4.5531E-4"/>
    <n v="0.99953999999999998"/>
    <s v="11.06438979149618"/>
    <s v="5.6532457612103855"/>
    <s v="0.3260773242508289"/>
    <s v="12.428825983303796"/>
    <n v="778407033"/>
    <x v="0"/>
    <n v="9.575877E-4"/>
    <x v="0"/>
  </r>
  <r>
    <n v="36"/>
    <n v="0"/>
    <n v="2"/>
    <n v="5"/>
    <n v="2"/>
    <n v="4"/>
    <n v="0"/>
    <n v="30"/>
    <n v="6"/>
    <n v="2"/>
    <n v="3"/>
    <n v="2684"/>
    <n v="1474"/>
    <n v="1210"/>
    <n v="1.042"/>
    <n v="2346"/>
    <n v="51"/>
    <n v="1.04"/>
    <n v="0.54900000000000004"/>
    <n v="1.9683E-4"/>
    <n v="0.99980000000000002"/>
    <s v="24.38799048644581"/>
    <s v="0.8199671061708542"/>
    <s v="49.16863952981517"/>
    <s v="20.795966583274343"/>
    <n v="792565908"/>
    <x v="0"/>
    <n v="9.575877E-4"/>
    <x v="0"/>
  </r>
  <r>
    <n v="41"/>
    <n v="0"/>
    <n v="4"/>
    <n v="2"/>
    <n v="1"/>
    <n v="4"/>
    <n v="0"/>
    <n v="26"/>
    <n v="4"/>
    <n v="2"/>
    <n v="2"/>
    <n v="3159"/>
    <n v="0"/>
    <n v="3159"/>
    <n v="0.91600000000000004"/>
    <n v="2925"/>
    <n v="46"/>
    <n v="0.35299999999999998"/>
    <n v="0"/>
    <n v="0.99168999999999996"/>
    <n v="8.3099999999999997E-3"/>
    <s v="28.387118701470623"/>
    <s v="32.77936843246613"/>
    <s v="33.93399345612037"/>
    <s v="0.6669879427967776"/>
    <n v="794554683"/>
    <x v="1"/>
    <n v="0.99863679999999999"/>
    <x v="1"/>
  </r>
  <r>
    <n v="36"/>
    <n v="1"/>
    <n v="3"/>
    <n v="3"/>
    <n v="1"/>
    <n v="3"/>
    <n v="0"/>
    <n v="27"/>
    <n v="3"/>
    <n v="1"/>
    <n v="2"/>
    <n v="7056"/>
    <n v="0"/>
    <n v="7056"/>
    <n v="0.81499999999999995"/>
    <n v="1739"/>
    <n v="35"/>
    <n v="0.84199999999999997"/>
    <n v="0"/>
    <s v="5.5559e-05"/>
    <n v="0.99994000000000005"/>
    <s v="7.908402523939169"/>
    <s v="20.04815108927894"/>
    <s v="107.70694438532212"/>
    <s v="20.72758945478253"/>
    <n v="714024858"/>
    <x v="0"/>
    <n v="3.6584084999999999E-3"/>
    <x v="0"/>
  </r>
  <r>
    <n v="50"/>
    <n v="0"/>
    <n v="0"/>
    <n v="3"/>
    <n v="1"/>
    <n v="1"/>
    <n v="0"/>
    <n v="43"/>
    <n v="2"/>
    <n v="3"/>
    <n v="1"/>
    <n v="4154"/>
    <n v="1060"/>
    <n v="3094"/>
    <n v="0.54400000000000004"/>
    <n v="4325"/>
    <n v="86"/>
    <n v="0.72"/>
    <n v="0.255"/>
    <s v="9.0493e-05"/>
    <n v="0.99990999999999997"/>
    <n v="20.557668822709601"/>
    <s v="11.020191681098735"/>
    <s v="36.08742714301891"/>
    <s v="11.67815307894773"/>
    <n v="758168133"/>
    <x v="0"/>
    <n v="3.2101269999999999E-4"/>
    <x v="0"/>
  </r>
  <r>
    <n v="45"/>
    <n v="0"/>
    <n v="3"/>
    <n v="3"/>
    <n v="1"/>
    <n v="4"/>
    <n v="0"/>
    <n v="37"/>
    <n v="4"/>
    <n v="1"/>
    <n v="3"/>
    <n v="2104"/>
    <n v="1267"/>
    <n v="837"/>
    <n v="0.67700000000000005"/>
    <n v="1732"/>
    <n v="35"/>
    <n v="1.0589999999999999"/>
    <n v="0.60199999999999998"/>
    <s v="9.3448e-05"/>
    <n v="0.99990999999999997"/>
    <s v="20.00707398546851"/>
    <s v="29.840950596908627"/>
    <s v="46.89347304475256"/>
    <s v="6.849716683771428"/>
    <n v="708878508"/>
    <x v="0"/>
    <n v="9.8706899999999992E-4"/>
    <x v="0"/>
  </r>
  <r>
    <n v="57"/>
    <n v="0"/>
    <n v="2"/>
    <n v="2"/>
    <n v="2"/>
    <n v="4"/>
    <n v="0"/>
    <n v="36"/>
    <n v="1"/>
    <n v="2"/>
    <n v="3"/>
    <n v="6482"/>
    <n v="1686"/>
    <n v="4796"/>
    <n v="0.753"/>
    <n v="7544"/>
    <n v="101"/>
    <n v="0.629"/>
    <n v="0.26"/>
    <n v="1.9143E-4"/>
    <n v="0.99980999999999998"/>
    <s v="34.479827773213124"/>
    <s v="13.577595889131358"/>
    <s v="112.18647276727155"/>
    <s v="46.51108274288479"/>
    <n v="721335558"/>
    <x v="0"/>
    <n v="3.7789578000000003E-4"/>
    <x v="0"/>
  </r>
  <r>
    <n v="35"/>
    <n v="1"/>
    <n v="1"/>
    <n v="2"/>
    <n v="2"/>
    <n v="2"/>
    <n v="0"/>
    <n v="25"/>
    <n v="6"/>
    <n v="1"/>
    <n v="2"/>
    <n v="14365"/>
    <n v="0"/>
    <n v="14365"/>
    <n v="0.61"/>
    <n v="2290"/>
    <n v="62"/>
    <n v="0.63200000000000001"/>
    <n v="0"/>
    <s v="5.1697e-05"/>
    <n v="0.99995000000000001"/>
    <s v="19.169401281975425"/>
    <s v="66.72887331770573"/>
    <s v="55.01804743819505"/>
    <s v="3.496250072448612"/>
    <n v="789849108"/>
    <x v="0"/>
    <n v="1.0437767E-3"/>
    <x v="0"/>
  </r>
  <r>
    <n v="37"/>
    <n v="0"/>
    <n v="2"/>
    <n v="5"/>
    <n v="2"/>
    <n v="1"/>
    <n v="0"/>
    <n v="27"/>
    <n v="1"/>
    <n v="3"/>
    <n v="2"/>
    <n v="3050"/>
    <n v="2517"/>
    <n v="533"/>
    <n v="1.177"/>
    <n v="4698"/>
    <n v="75"/>
    <n v="0.92300000000000004"/>
    <n v="0.82499999999999996"/>
    <n v="1.8494E-4"/>
    <n v="0.99982000000000004"/>
    <s v="31.73374665841053"/>
    <s v="49.03844121251897"/>
    <s v="7.984000642796598"/>
    <s v="3.2247448467742674"/>
    <n v="714714558"/>
    <x v="0"/>
    <n v="3.4813132000000003E-4"/>
    <x v="0"/>
  </r>
  <r>
    <n v="43"/>
    <n v="1"/>
    <n v="0"/>
    <n v="3"/>
    <n v="2"/>
    <n v="3"/>
    <n v="0"/>
    <n v="36"/>
    <n v="2"/>
    <n v="2"/>
    <n v="2"/>
    <n v="11247"/>
    <n v="0"/>
    <n v="11247"/>
    <n v="0.63"/>
    <n v="4894"/>
    <n v="85"/>
    <n v="0.97699999999999998"/>
    <n v="0"/>
    <s v="9.4951e-05"/>
    <n v="0.99990999999999997"/>
    <s v="27.160327042777546"/>
    <s v="4.749505710776455"/>
    <n v="136.50999198517101"/>
    <s v="11.299358055464245"/>
    <n v="712533708"/>
    <x v="0"/>
    <n v="6.9517245999999998E-4"/>
    <x v="0"/>
  </r>
  <r>
    <n v="55"/>
    <n v="1"/>
    <n v="2"/>
    <n v="2"/>
    <n v="2"/>
    <n v="3"/>
    <n v="3"/>
    <n v="36"/>
    <n v="5"/>
    <n v="1"/>
    <n v="1"/>
    <n v="34516"/>
    <n v="1316"/>
    <n v="33200"/>
    <n v="0.81799999999999995"/>
    <n v="3542"/>
    <n v="60"/>
    <n v="0.71399999999999997"/>
    <n v="3.7999999999999999E-2"/>
    <s v="3.0011e-05"/>
    <n v="0.99997000000000003"/>
    <s v="15.40457835222951"/>
    <s v="11.085147715640147"/>
    <s v="158.17549485380206"/>
    <s v="27.772399516445955"/>
    <n v="711046383"/>
    <x v="0"/>
    <n v="4.034504E-4"/>
    <x v="0"/>
  </r>
  <r>
    <n v="61"/>
    <n v="1"/>
    <n v="0"/>
    <n v="4"/>
    <n v="1"/>
    <n v="4"/>
    <n v="0"/>
    <n v="56"/>
    <n v="6"/>
    <n v="3"/>
    <n v="4"/>
    <n v="1438.3"/>
    <n v="0"/>
    <n v="1438.3"/>
    <n v="0.58899999999999997"/>
    <n v="1448"/>
    <n v="31"/>
    <n v="0.29199999999999998"/>
    <n v="0"/>
    <n v="5.2101999999999997E-4"/>
    <n v="0.99948000000000004"/>
    <s v="17.920044529466978"/>
    <s v="41.89167297499005"/>
    <s v="170.5516439150374"/>
    <s v="15.320455535627223"/>
    <n v="808909008"/>
    <x v="0"/>
    <n v="4.459518E-3"/>
    <x v="0"/>
  </r>
  <r>
    <n v="43"/>
    <n v="1"/>
    <n v="4"/>
    <n v="2"/>
    <n v="2"/>
    <n v="2"/>
    <n v="0"/>
    <n v="24"/>
    <n v="5"/>
    <n v="3"/>
    <n v="2"/>
    <n v="19188"/>
    <n v="0"/>
    <n v="19188"/>
    <n v="0.45300000000000001"/>
    <n v="4366"/>
    <n v="69"/>
    <n v="0.81599999999999995"/>
    <n v="0"/>
    <n v="1.8864000000000001E-4"/>
    <n v="0.99980999999999998"/>
    <s v="15.96238525861948"/>
    <s v="11.93284573374402"/>
    <s v="50.81523845625416"/>
    <n v="0.47459525694435201"/>
    <n v="719951208"/>
    <x v="0"/>
    <n v="7.4965424999999997E-4"/>
    <x v="0"/>
  </r>
  <r>
    <n v="41"/>
    <n v="1"/>
    <n v="2"/>
    <n v="5"/>
    <n v="1"/>
    <n v="3"/>
    <n v="0"/>
    <n v="33"/>
    <n v="5"/>
    <n v="3"/>
    <n v="3"/>
    <n v="8004"/>
    <n v="1452"/>
    <n v="6552"/>
    <n v="0.92900000000000005"/>
    <n v="1084"/>
    <n v="32"/>
    <n v="0.52400000000000002"/>
    <n v="0.18099999999999999"/>
    <n v="0.99680000000000002"/>
    <n v="3.2037400000000001E-3"/>
    <s v="22.72737684329916"/>
    <s v="10.887664688415216"/>
    <n v="77.320559243783507"/>
    <s v="10.15497165577883"/>
    <n v="716608608"/>
    <x v="1"/>
    <n v="0.99487150000000002"/>
    <x v="1"/>
  </r>
  <r>
    <n v="38"/>
    <n v="1"/>
    <n v="0"/>
    <n v="5"/>
    <n v="1"/>
    <n v="2"/>
    <n v="0"/>
    <n v="19"/>
    <n v="3"/>
    <n v="1"/>
    <n v="3"/>
    <n v="3238"/>
    <n v="2146"/>
    <n v="1092"/>
    <n v="0.67300000000000004"/>
    <n v="1501"/>
    <n v="45"/>
    <n v="0.66700000000000004"/>
    <n v="0.66300000000000003"/>
    <s v="8.1736e-05"/>
    <n v="0.99992000000000003"/>
    <s v="89.40108434852175"/>
    <s v="24.899495266598223"/>
    <n v="12.3153483068736"/>
    <s v="13.113705092887509"/>
    <n v="794664183"/>
    <x v="0"/>
    <n v="1.0634780000000001E-3"/>
    <x v="0"/>
  </r>
  <r>
    <n v="48"/>
    <n v="1"/>
    <n v="2"/>
    <n v="3"/>
    <n v="1"/>
    <n v="3"/>
    <n v="0"/>
    <n v="44"/>
    <n v="5"/>
    <n v="1"/>
    <n v="2"/>
    <n v="11332"/>
    <n v="1647"/>
    <n v="9685"/>
    <n v="0.54200000000000004"/>
    <n v="4674"/>
    <n v="72"/>
    <n v="0.71399999999999997"/>
    <n v="0.14499999999999999"/>
    <s v="5.3542e-05"/>
    <n v="0.99995000000000001"/>
    <s v="15.210490399100166"/>
    <s v="2.7970676720754173"/>
    <n v="69.450997943615604"/>
    <n v="3.6876084318595801"/>
    <n v="824155458"/>
    <x v="0"/>
    <n v="3.2101269999999999E-4"/>
    <x v="0"/>
  </r>
  <r>
    <n v="31"/>
    <n v="0"/>
    <n v="0"/>
    <n v="2"/>
    <n v="1"/>
    <n v="4"/>
    <n v="0"/>
    <n v="21"/>
    <n v="4"/>
    <n v="1"/>
    <n v="4"/>
    <n v="6315"/>
    <n v="1305"/>
    <n v="5010"/>
    <n v="0.54200000000000004"/>
    <n v="2205"/>
    <n v="43"/>
    <n v="0.26500000000000001"/>
    <n v="0.20699999999999999"/>
    <n v="1.3562000000000001E-4"/>
    <n v="0.99985999999999997"/>
    <s v="11.507611539094706"/>
    <n v="57.683577044681897"/>
    <s v="49.75698659269195"/>
    <s v="23.13270944892013"/>
    <n v="812788233"/>
    <x v="0"/>
    <n v="1.4998564000000001E-3"/>
    <x v="0"/>
  </r>
  <r>
    <n v="46"/>
    <n v="0"/>
    <n v="2"/>
    <n v="6"/>
    <n v="1"/>
    <n v="4"/>
    <n v="0"/>
    <n v="36"/>
    <n v="2"/>
    <n v="3"/>
    <n v="2"/>
    <n v="4065"/>
    <n v="2517"/>
    <n v="1548"/>
    <n v="0.95699999999999996"/>
    <n v="2899"/>
    <n v="51"/>
    <n v="0.82099999999999995"/>
    <n v="0.61899999999999999"/>
    <n v="0.99497000000000002"/>
    <n v="5.0299999999999997E-3"/>
    <s v="60.25685914259478"/>
    <n v="8.8771187022543607"/>
    <s v="38.39087005061121"/>
    <s v="14.388485181520103"/>
    <n v="812218908"/>
    <x v="1"/>
    <n v="0.99448230000000004"/>
    <x v="1"/>
  </r>
  <r>
    <n v="45"/>
    <n v="1"/>
    <n v="3"/>
    <n v="2"/>
    <n v="1"/>
    <n v="1"/>
    <n v="0"/>
    <n v="40"/>
    <n v="1"/>
    <n v="4"/>
    <n v="3"/>
    <n v="7979"/>
    <n v="0"/>
    <n v="7979"/>
    <n v="0.46500000000000002"/>
    <n v="5056"/>
    <n v="63"/>
    <n v="0.85299999999999998"/>
    <n v="0"/>
    <n v="0.99736999999999998"/>
    <n v="2.6281999999999998E-3"/>
    <s v="11.118400085538148"/>
    <s v="20.337585256428863"/>
    <s v="215.62989393760915"/>
    <n v="9.6558139512022994"/>
    <n v="811076883"/>
    <x v="1"/>
    <n v="0.99214279999999999"/>
    <x v="1"/>
  </r>
  <r>
    <n v="47"/>
    <n v="0"/>
    <n v="5"/>
    <n v="4"/>
    <n v="1"/>
    <n v="1"/>
    <n v="0"/>
    <n v="41"/>
    <n v="6"/>
    <n v="2"/>
    <n v="2"/>
    <n v="4466"/>
    <n v="777"/>
    <n v="3689"/>
    <n v="1.02"/>
    <n v="1757"/>
    <n v="59"/>
    <n v="0.59499999999999997"/>
    <n v="0.17399999999999999"/>
    <n v="1.3826999999999999E-4"/>
    <n v="0.99985999999999997"/>
    <s v="33.25096542180973"/>
    <s v="18.36767819509602"/>
    <s v="69.05882483911513"/>
    <s v="13.504861927512122"/>
    <n v="801369258"/>
    <x v="0"/>
    <n v="7.5210079999999996E-4"/>
    <x v="0"/>
  </r>
  <r>
    <n v="29"/>
    <n v="0"/>
    <n v="2"/>
    <n v="5"/>
    <n v="2"/>
    <n v="5"/>
    <n v="0"/>
    <n v="18"/>
    <n v="4"/>
    <n v="1"/>
    <n v="2"/>
    <n v="23125"/>
    <n v="1236"/>
    <n v="21889"/>
    <n v="0.995"/>
    <n v="2536"/>
    <n v="69"/>
    <n v="0.86499999999999999"/>
    <n v="5.2999999999999999E-2"/>
    <s v="5.663e-05"/>
    <n v="0.99994000000000005"/>
    <s v="5.660161251684887"/>
    <s v="2.4019013877734325"/>
    <s v="110.76181350891844"/>
    <n v="8.8261921605445703"/>
    <n v="789804933"/>
    <x v="0"/>
    <n v="4.6166019999999998E-4"/>
    <x v="0"/>
  </r>
  <r>
    <n v="59"/>
    <n v="0"/>
    <n v="0"/>
    <n v="2"/>
    <n v="2"/>
    <n v="1"/>
    <n v="0"/>
    <n v="48"/>
    <n v="4"/>
    <n v="1"/>
    <n v="2"/>
    <n v="4205"/>
    <n v="710"/>
    <n v="3495"/>
    <n v="0.504"/>
    <n v="2023"/>
    <n v="38"/>
    <n v="0.72699999999999998"/>
    <n v="0.16900000000000001"/>
    <s v="4.7263e-05"/>
    <n v="0.99995000000000001"/>
    <s v="6.877328455667991"/>
    <s v="22.306497639804224"/>
    <s v="43.337024431581455"/>
    <s v="9.324978686516232"/>
    <n v="712555233"/>
    <x v="0"/>
    <n v="2.1120691999999999E-3"/>
    <x v="0"/>
  </r>
  <r>
    <n v="58"/>
    <n v="1"/>
    <n v="0"/>
    <n v="5"/>
    <n v="1"/>
    <n v="3"/>
    <n v="0"/>
    <n v="38"/>
    <n v="6"/>
    <n v="3"/>
    <n v="3"/>
    <n v="3785"/>
    <n v="1935"/>
    <n v="1850"/>
    <n v="1.5580000000000001"/>
    <n v="1824"/>
    <n v="49"/>
    <n v="1.45"/>
    <n v="0.51100000000000001"/>
    <n v="2.6692000000000003E-4"/>
    <n v="0.99973000000000001"/>
    <s v="8.955892131569119"/>
    <s v="58.218275882293554"/>
    <s v="52.681513901832254"/>
    <s v="5.836305411899732"/>
    <n v="778623858"/>
    <x v="0"/>
    <n v="8.1453624000000005E-4"/>
    <x v="0"/>
  </r>
  <r>
    <n v="44"/>
    <n v="0"/>
    <n v="4"/>
    <n v="6"/>
    <n v="1"/>
    <n v="4"/>
    <n v="0"/>
    <n v="28"/>
    <n v="5"/>
    <n v="2"/>
    <n v="3"/>
    <n v="2020"/>
    <n v="0"/>
    <n v="2020"/>
    <n v="0.71599999999999997"/>
    <n v="2621"/>
    <n v="45"/>
    <n v="0.55200000000000005"/>
    <n v="0"/>
    <n v="0.99548999999999999"/>
    <n v="4.5100699999999997E-3"/>
    <s v="42.48173211413064"/>
    <s v="25.818592032135776"/>
    <s v="41.862844906184016"/>
    <s v="14.553957780118465"/>
    <n v="711234783"/>
    <x v="1"/>
    <n v="0.99873226999999998"/>
    <x v="1"/>
  </r>
  <r>
    <n v="58"/>
    <n v="0"/>
    <n v="2"/>
    <n v="6"/>
    <n v="1"/>
    <n v="4"/>
    <n v="0"/>
    <n v="43"/>
    <n v="6"/>
    <n v="2"/>
    <n v="2"/>
    <n v="3034"/>
    <n v="2517"/>
    <n v="517"/>
    <n v="0.63"/>
    <n v="1617"/>
    <n v="29"/>
    <n v="1.417"/>
    <n v="0.83"/>
    <n v="1.2511E-4"/>
    <n v="0.99987000000000004"/>
    <s v="15.70560030488753"/>
    <s v="16.381469596628065"/>
    <s v="52.747075288390974"/>
    <s v="11.940581860105675"/>
    <n v="780070833"/>
    <x v="0"/>
    <n v="1.0254878999999999E-3"/>
    <x v="0"/>
  </r>
  <r>
    <n v="57"/>
    <n v="0"/>
    <n v="2"/>
    <n v="5"/>
    <n v="2"/>
    <n v="4"/>
    <n v="0"/>
    <n v="50"/>
    <n v="5"/>
    <n v="0"/>
    <n v="3"/>
    <n v="2475"/>
    <n v="0"/>
    <n v="2475"/>
    <n v="0.82299999999999995"/>
    <n v="2574"/>
    <n v="43"/>
    <n v="0.65400000000000003"/>
    <n v="0"/>
    <n v="0.97241"/>
    <n v="2.759E-2"/>
    <s v="25.99541197776332"/>
    <s v="26.44200981729965"/>
    <s v="42.95479997116395"/>
    <s v="36.230790141296346"/>
    <n v="755996583"/>
    <x v="1"/>
    <n v="0.99846690000000005"/>
    <x v="1"/>
  </r>
  <r>
    <n v="40"/>
    <n v="1"/>
    <n v="3"/>
    <n v="2"/>
    <n v="1"/>
    <n v="2"/>
    <n v="0"/>
    <n v="31"/>
    <n v="6"/>
    <n v="3"/>
    <n v="4"/>
    <n v="17126"/>
    <n v="1201"/>
    <n v="15925"/>
    <n v="0.80200000000000005"/>
    <n v="3891"/>
    <n v="79"/>
    <n v="0.88100000000000001"/>
    <n v="7.0000000000000007E-2"/>
    <n v="5.3543000000000004E-4"/>
    <n v="0.99946000000000002"/>
    <s v="26.11854266026481"/>
    <s v="13.41252149397056"/>
    <s v="72.49406570597087"/>
    <s v="35.77952864760597"/>
    <n v="715057383"/>
    <x v="0"/>
    <n v="3.5729867999999997E-4"/>
    <x v="0"/>
  </r>
  <r>
    <n v="38"/>
    <n v="0"/>
    <n v="3"/>
    <n v="2"/>
    <n v="1"/>
    <n v="4"/>
    <n v="0"/>
    <n v="36"/>
    <n v="5"/>
    <n v="4"/>
    <n v="3"/>
    <n v="1757"/>
    <n v="1352"/>
    <n v="405"/>
    <n v="0.879"/>
    <n v="4121"/>
    <n v="81"/>
    <n v="0.42099999999999999"/>
    <n v="0.76900000000000002"/>
    <n v="3.7934999999999998E-4"/>
    <n v="0.99961999999999995"/>
    <s v="39.09837258712167"/>
    <s v="2.699810707362767"/>
    <s v="82.18931596316197"/>
    <s v="1.3730488698727823"/>
    <n v="719887008"/>
    <x v="0"/>
    <n v="3.5747702000000001E-4"/>
    <x v="0"/>
  </r>
  <r>
    <n v="36"/>
    <n v="0"/>
    <n v="3"/>
    <n v="5"/>
    <n v="1"/>
    <n v="5"/>
    <n v="0"/>
    <n v="23"/>
    <n v="6"/>
    <n v="6"/>
    <n v="1"/>
    <n v="2161"/>
    <n v="1404"/>
    <n v="757"/>
    <n v="0.68"/>
    <n v="4389"/>
    <n v="77"/>
    <n v="0.878"/>
    <n v="0.65"/>
    <s v="9.1362e-05"/>
    <n v="0.99990999999999997"/>
    <s v="15.153405302717024"/>
    <s v="66.71356898793744"/>
    <s v="22.572899643955903"/>
    <s v="22.19571865707646"/>
    <n v="713591283"/>
    <x v="0"/>
    <n v="3.2101269999999999E-4"/>
    <x v="0"/>
  </r>
  <r>
    <n v="48"/>
    <n v="0"/>
    <n v="2"/>
    <n v="0"/>
    <n v="1"/>
    <n v="5"/>
    <n v="0"/>
    <n v="37"/>
    <n v="5"/>
    <n v="2"/>
    <n v="4"/>
    <n v="2220"/>
    <n v="0"/>
    <n v="2220"/>
    <n v="0.73699999999999999"/>
    <n v="2456"/>
    <n v="45"/>
    <n v="0.45200000000000001"/>
    <n v="0"/>
    <n v="0.99685999999999997"/>
    <n v="3.1388000000000002E-3"/>
    <s v="71.39121248225639"/>
    <s v="145.74355794747953"/>
    <s v="0.2906772424137271"/>
    <s v="0.4155479950839143"/>
    <n v="720634683"/>
    <x v="1"/>
    <n v="0.99837339999999997"/>
    <x v="1"/>
  </r>
  <r>
    <n v="45"/>
    <n v="0"/>
    <n v="5"/>
    <n v="6"/>
    <n v="1"/>
    <n v="5"/>
    <n v="0"/>
    <n v="40"/>
    <n v="3"/>
    <n v="2"/>
    <n v="2"/>
    <n v="14728"/>
    <n v="0"/>
    <n v="14728"/>
    <n v="0.70799999999999996"/>
    <n v="4660"/>
    <n v="85"/>
    <n v="0.73499999999999999"/>
    <n v="0"/>
    <n v="1.2915999999999999E-4"/>
    <n v="0.99987000000000004"/>
    <s v="11.190349955367092"/>
    <n v="82.952034279573496"/>
    <s v="64.30957668027786"/>
    <s v="10.62167646216595"/>
    <n v="714483033"/>
    <x v="0"/>
    <n v="6.9517245999999998E-4"/>
    <x v="0"/>
  </r>
  <r>
    <n v="45"/>
    <n v="0"/>
    <n v="4"/>
    <n v="2"/>
    <n v="1"/>
    <n v="1"/>
    <n v="0"/>
    <n v="34"/>
    <n v="4"/>
    <n v="4"/>
    <n v="2"/>
    <n v="4244"/>
    <n v="1066"/>
    <n v="3178"/>
    <n v="0.60599999999999998"/>
    <n v="4016"/>
    <n v="89"/>
    <n v="0.85399999999999998"/>
    <n v="0.251"/>
    <n v="2.2797E-4"/>
    <n v="0.99977000000000005"/>
    <s v="3.7670195555971646"/>
    <s v="44.06015437660815"/>
    <s v="33.982279210284275"/>
    <s v="1.4475225434910597"/>
    <n v="715798608"/>
    <x v="0"/>
    <n v="3.2101269999999999E-4"/>
    <x v="0"/>
  </r>
  <r>
    <n v="51"/>
    <n v="0"/>
    <n v="0"/>
    <n v="2"/>
    <n v="1"/>
    <n v="4"/>
    <n v="0"/>
    <n v="32"/>
    <n v="4"/>
    <n v="2"/>
    <n v="3"/>
    <n v="1757"/>
    <n v="331"/>
    <n v="1426"/>
    <n v="0.879"/>
    <n v="2377"/>
    <n v="47"/>
    <n v="0.51600000000000001"/>
    <n v="0.188"/>
    <n v="0.99395"/>
    <n v="6.0499999999999998E-3"/>
    <s v="10.576420172828996"/>
    <s v="12.753720567153762"/>
    <s v="32.59194661577503"/>
    <s v="22.34666306259371"/>
    <n v="778915233"/>
    <x v="1"/>
    <n v="0.9985134"/>
    <x v="1"/>
  </r>
  <r>
    <n v="40"/>
    <n v="1"/>
    <n v="2"/>
    <n v="3"/>
    <n v="2"/>
    <n v="0"/>
    <n v="3"/>
    <n v="36"/>
    <n v="3"/>
    <n v="4"/>
    <n v="2"/>
    <n v="34516"/>
    <n v="1436"/>
    <n v="33080"/>
    <n v="0.68799999999999994"/>
    <n v="3564"/>
    <n v="73"/>
    <n v="0.82499999999999996"/>
    <n v="4.2000000000000003E-2"/>
    <n v="1.9094000000000001E-4"/>
    <n v="0.99980999999999998"/>
    <s v="0.8782755175567902"/>
    <s v="33.816254663058466"/>
    <s v="35.33403682454969"/>
    <s v="11.240482786641005"/>
    <n v="719100633"/>
    <x v="0"/>
    <n v="3.5729867999999997E-4"/>
    <x v="0"/>
  </r>
  <r>
    <n v="36"/>
    <n v="0"/>
    <n v="3"/>
    <n v="3"/>
    <n v="1"/>
    <n v="4"/>
    <n v="0"/>
    <n v="26"/>
    <n v="6"/>
    <n v="1"/>
    <n v="4"/>
    <n v="4331"/>
    <n v="1445"/>
    <n v="2886"/>
    <n v="1.07"/>
    <n v="2053"/>
    <n v="33"/>
    <n v="1.75"/>
    <n v="0.33400000000000002"/>
    <n v="1.5941999999999999E-4"/>
    <n v="0.99983999999999995"/>
    <s v="23.238683634775064"/>
    <s v="50.11402233152239"/>
    <s v="6.649614472709915"/>
    <s v="10.184822315239249"/>
    <n v="717364458"/>
    <x v="0"/>
    <n v="1.0481173E-3"/>
    <x v="0"/>
  </r>
  <r>
    <n v="33"/>
    <n v="0"/>
    <n v="1"/>
    <n v="3"/>
    <n v="2"/>
    <n v="4"/>
    <n v="3"/>
    <n v="24"/>
    <n v="5"/>
    <n v="2"/>
    <n v="2"/>
    <n v="12956"/>
    <n v="0"/>
    <n v="12956"/>
    <n v="1.0529999999999999"/>
    <n v="2492"/>
    <n v="56"/>
    <n v="0.93100000000000005"/>
    <n v="0"/>
    <s v="9.3844e-05"/>
    <n v="0.99990999999999997"/>
    <s v="43.78845056707649"/>
    <s v="57.891944044614846"/>
    <s v="28.410835762432196"/>
    <s v="8.361442780303797"/>
    <n v="718654533"/>
    <x v="0"/>
    <n v="1.52024E-3"/>
    <x v="0"/>
  </r>
  <r>
    <n v="52"/>
    <n v="0"/>
    <n v="1"/>
    <n v="2"/>
    <n v="1"/>
    <n v="4"/>
    <n v="0"/>
    <n v="47"/>
    <n v="3"/>
    <n v="1"/>
    <n v="3"/>
    <n v="1438.3"/>
    <n v="0"/>
    <n v="1438.3"/>
    <n v="0.77500000000000002"/>
    <n v="5015"/>
    <n v="68"/>
    <n v="0.78900000000000003"/>
    <n v="0"/>
    <s v="8.6952e-05"/>
    <n v="0.99990999999999997"/>
    <s v="25.494906518162235"/>
    <s v="15.62457976686406"/>
    <s v="26.29832029239964"/>
    <s v="6.761155604478313"/>
    <n v="808669083"/>
    <x v="0"/>
    <n v="7.4965424999999997E-4"/>
    <x v="0"/>
  </r>
  <r>
    <n v="54"/>
    <n v="0"/>
    <n v="3"/>
    <n v="6"/>
    <n v="1"/>
    <n v="4"/>
    <n v="0"/>
    <n v="36"/>
    <n v="6"/>
    <n v="2"/>
    <n v="4"/>
    <n v="2556"/>
    <n v="2260"/>
    <n v="296"/>
    <n v="0.48699999999999999"/>
    <n v="1401"/>
    <n v="30"/>
    <n v="0.57899999999999996"/>
    <n v="0.88400000000000001"/>
    <n v="3.7246000000000002E-4"/>
    <n v="0.99963000000000002"/>
    <s v="15.21642517623152"/>
    <s v="3.055308025304536"/>
    <s v="2.7334134059650075"/>
    <s v="8.402756111254078"/>
    <n v="718215033"/>
    <x v="0"/>
    <n v="1.0598798E-3"/>
    <x v="0"/>
  </r>
  <r>
    <n v="52"/>
    <n v="1"/>
    <n v="3"/>
    <n v="3"/>
    <n v="2"/>
    <n v="0"/>
    <n v="0"/>
    <n v="47"/>
    <n v="6"/>
    <n v="1"/>
    <n v="3"/>
    <n v="19032"/>
    <n v="0"/>
    <n v="19032"/>
    <n v="0.41699999999999998"/>
    <n v="1726"/>
    <n v="42"/>
    <n v="0.312"/>
    <n v="0"/>
    <n v="0.98941000000000001"/>
    <n v="1.059E-2"/>
    <s v="19.364046473215065"/>
    <s v="116.49858322825528"/>
    <s v="26.368700594316294"/>
    <s v="13.392605912619018"/>
    <n v="815851233"/>
    <x v="1"/>
    <n v="0.99856453999999994"/>
    <x v="1"/>
  </r>
  <r>
    <n v="47"/>
    <n v="1"/>
    <n v="3"/>
    <n v="2"/>
    <n v="2"/>
    <n v="1"/>
    <n v="0"/>
    <n v="34"/>
    <n v="4"/>
    <n v="3"/>
    <n v="3"/>
    <n v="4413"/>
    <n v="232"/>
    <n v="4181"/>
    <n v="0.79900000000000004"/>
    <n v="7869"/>
    <n v="76"/>
    <n v="0.76700000000000002"/>
    <n v="5.2999999999999999E-2"/>
    <n v="0.99682999999999999"/>
    <n v="3.1745800000000002E-3"/>
    <s v="1.3272826941924016"/>
    <s v="72.46402877533806"/>
    <s v="54.27025378945488"/>
    <s v="0.1241882739795192"/>
    <n v="780511683"/>
    <x v="1"/>
    <n v="0.99470853999999997"/>
    <x v="1"/>
  </r>
  <r>
    <n v="47"/>
    <n v="1"/>
    <n v="3"/>
    <n v="0"/>
    <n v="1"/>
    <n v="4"/>
    <n v="0"/>
    <n v="34"/>
    <n v="2"/>
    <n v="1"/>
    <n v="2"/>
    <n v="8390"/>
    <n v="0"/>
    <n v="8390"/>
    <n v="0.8"/>
    <n v="8316"/>
    <n v="92"/>
    <n v="0.70399999999999996"/>
    <n v="0"/>
    <s v="5.5564e-05"/>
    <n v="0.99994000000000005"/>
    <s v="38.13530516719561"/>
    <s v="12.155446366067135"/>
    <n v="62.344603131883197"/>
    <s v="8.699412820924188"/>
    <n v="709008708"/>
    <x v="0"/>
    <n v="7.9810305E-4"/>
    <x v="0"/>
  </r>
  <r>
    <n v="48"/>
    <n v="0"/>
    <n v="3"/>
    <n v="5"/>
    <n v="2"/>
    <n v="4"/>
    <n v="0"/>
    <n v="43"/>
    <n v="5"/>
    <n v="4"/>
    <n v="2"/>
    <n v="1532"/>
    <n v="1183"/>
    <n v="349"/>
    <n v="0.61699999999999999"/>
    <n v="4359"/>
    <n v="78"/>
    <n v="0.85699999999999998"/>
    <n v="0.77200000000000002"/>
    <n v="2.3191999999999999E-4"/>
    <n v="0.99977000000000005"/>
    <s v="7.008420027791042"/>
    <s v="16.066752370148514"/>
    <s v="29.213812382054744"/>
    <s v="12.548121260381969"/>
    <n v="811081083"/>
    <x v="0"/>
    <n v="3.2101269999999999E-4"/>
    <x v="0"/>
  </r>
  <r>
    <n v="51"/>
    <n v="1"/>
    <n v="1"/>
    <n v="5"/>
    <n v="1"/>
    <n v="3"/>
    <n v="0"/>
    <n v="42"/>
    <n v="6"/>
    <n v="2"/>
    <n v="2"/>
    <n v="25197"/>
    <n v="2517"/>
    <n v="22680"/>
    <n v="0.72099999999999997"/>
    <n v="3002"/>
    <n v="58"/>
    <n v="0.81200000000000006"/>
    <n v="0.1"/>
    <n v="1.0985E-4"/>
    <n v="0.99988999999999995"/>
    <s v="8.650549100305469"/>
    <s v="73.27308566857083"/>
    <s v="113.96195575935803"/>
    <s v="2.4716772800032096"/>
    <n v="713819283"/>
    <x v="0"/>
    <n v="4.8396323000000002E-4"/>
    <x v="0"/>
  </r>
  <r>
    <n v="53"/>
    <n v="0"/>
    <n v="4"/>
    <n v="2"/>
    <n v="1"/>
    <n v="4"/>
    <n v="0"/>
    <n v="46"/>
    <n v="6"/>
    <n v="3"/>
    <n v="3"/>
    <n v="4430"/>
    <n v="1579"/>
    <n v="2851"/>
    <n v="0.83599999999999997"/>
    <n v="4833"/>
    <n v="82"/>
    <n v="0.67300000000000004"/>
    <n v="0.35599999999999998"/>
    <n v="3.1725999999999998E-4"/>
    <n v="0.99968000000000001"/>
    <n v="6.3944019727759498"/>
    <s v="6.226267047466218"/>
    <s v="36.06189525083083"/>
    <s v="13.582877863579894"/>
    <n v="716108283"/>
    <x v="0"/>
    <n v="3.2101269999999999E-4"/>
    <x v="0"/>
  </r>
  <r>
    <n v="51"/>
    <n v="0"/>
    <n v="3"/>
    <n v="3"/>
    <n v="1"/>
    <n v="5"/>
    <n v="0"/>
    <n v="31"/>
    <n v="5"/>
    <n v="1"/>
    <n v="5"/>
    <n v="15340"/>
    <n v="2331"/>
    <n v="13009"/>
    <n v="0.56499999999999995"/>
    <n v="2965"/>
    <n v="51"/>
    <n v="0.59399999999999997"/>
    <n v="0.152"/>
    <n v="2.7585000000000001E-4"/>
    <n v="0.99972000000000005"/>
    <s v="15.24097679180927"/>
    <s v="22.68293786301023"/>
    <s v="32.070154434776896"/>
    <s v="14.46506447869704"/>
    <n v="712851108"/>
    <x v="0"/>
    <n v="1.0181769000000001E-3"/>
    <x v="0"/>
  </r>
  <r>
    <n v="33"/>
    <n v="1"/>
    <n v="1"/>
    <n v="5"/>
    <n v="2"/>
    <n v="2"/>
    <n v="0"/>
    <n v="28"/>
    <n v="6"/>
    <n v="3"/>
    <n v="4"/>
    <n v="2618"/>
    <n v="1812"/>
    <n v="806"/>
    <n v="0.70599999999999996"/>
    <n v="3319"/>
    <n v="86"/>
    <n v="0.91100000000000003"/>
    <n v="0.69199999999999995"/>
    <n v="4.9799999999999996E-4"/>
    <n v="0.99950000000000006"/>
    <s v="49.17215597499453"/>
    <s v="9.945612540878669"/>
    <n v="33.171133675137703"/>
    <s v="1.9713885885892848"/>
    <n v="803587533"/>
    <x v="0"/>
    <n v="3.2101269999999999E-4"/>
    <x v="0"/>
  </r>
  <r>
    <n v="47"/>
    <n v="1"/>
    <n v="4"/>
    <n v="5"/>
    <n v="2"/>
    <n v="2"/>
    <n v="0"/>
    <n v="41"/>
    <n v="6"/>
    <n v="2"/>
    <n v="2"/>
    <n v="2405"/>
    <n v="1540"/>
    <n v="865"/>
    <n v="0.46899999999999997"/>
    <n v="1087"/>
    <n v="29"/>
    <n v="1.2310000000000001"/>
    <n v="0.64"/>
    <n v="1.2274000000000001E-4"/>
    <n v="0.99987999999999999"/>
    <s v="26.359742904589705"/>
    <s v="62.39277552381639"/>
    <s v="19.18999172834183"/>
    <s v="5.121759823655997"/>
    <n v="773827008"/>
    <x v="0"/>
    <n v="1.0667827000000001E-3"/>
    <x v="0"/>
  </r>
  <r>
    <n v="36"/>
    <n v="1"/>
    <n v="2"/>
    <n v="2"/>
    <n v="1"/>
    <n v="1"/>
    <n v="0"/>
    <n v="18"/>
    <n v="3"/>
    <n v="1"/>
    <n v="3"/>
    <n v="7758"/>
    <n v="1408"/>
    <n v="6350"/>
    <n v="0.36499999999999999"/>
    <n v="569"/>
    <n v="23"/>
    <n v="0.64300000000000002"/>
    <n v="0.18099999999999999"/>
    <n v="0.98931999999999998"/>
    <n v="1.068E-2"/>
    <s v="11.577063050415417"/>
    <s v="8.479631146619521"/>
    <s v="110.86802993264916"/>
    <s v="5.525814297050304"/>
    <n v="710899833"/>
    <x v="1"/>
    <n v="0.9945716"/>
    <x v="1"/>
  </r>
  <r>
    <n v="44"/>
    <n v="1"/>
    <n v="4"/>
    <n v="6"/>
    <n v="2"/>
    <n v="3"/>
    <n v="0"/>
    <n v="36"/>
    <n v="6"/>
    <n v="2"/>
    <n v="3"/>
    <n v="5877"/>
    <n v="1160"/>
    <n v="4717"/>
    <n v="0.44600000000000001"/>
    <n v="3565"/>
    <n v="83"/>
    <n v="0.72899999999999998"/>
    <n v="0.19700000000000001"/>
    <n v="2.2068000000000001E-4"/>
    <n v="0.99978"/>
    <s v="61.46250018257368"/>
    <s v="43.26076016401536"/>
    <n v="45.999912284160402"/>
    <s v="4.573372757968329"/>
    <n v="715814433"/>
    <x v="0"/>
    <n v="3.2101269999999999E-4"/>
    <x v="0"/>
  </r>
  <r>
    <n v="38"/>
    <n v="1"/>
    <n v="3"/>
    <n v="3"/>
    <n v="2"/>
    <n v="3"/>
    <n v="0"/>
    <n v="27"/>
    <n v="4"/>
    <n v="1"/>
    <n v="4"/>
    <n v="6162"/>
    <n v="943"/>
    <n v="5219"/>
    <n v="0.48399999999999999"/>
    <n v="1527"/>
    <n v="35"/>
    <n v="0.20699999999999999"/>
    <n v="0.153"/>
    <n v="1.5941999999999999E-4"/>
    <n v="0.99983999999999995"/>
    <s v="8.120912924181338"/>
    <s v="34.96472371219894"/>
    <s v="229.1344812637416"/>
    <s v="19.66954177514418"/>
    <n v="772086408"/>
    <x v="0"/>
    <n v="1.5233171E-3"/>
    <x v="0"/>
  </r>
  <r>
    <n v="63"/>
    <n v="1"/>
    <n v="2"/>
    <n v="3"/>
    <n v="1"/>
    <n v="3"/>
    <n v="0"/>
    <n v="51"/>
    <n v="4"/>
    <n v="2"/>
    <n v="3"/>
    <n v="6922"/>
    <n v="1704"/>
    <n v="5218"/>
    <n v="0.27800000000000002"/>
    <n v="1449"/>
    <n v="28"/>
    <n v="0.217"/>
    <n v="0.246"/>
    <n v="1.861E-4"/>
    <n v="0.99980999999999998"/>
    <n v="21.240889548616298"/>
    <s v="23.03393694053706"/>
    <s v="60.78980447943732"/>
    <s v="18.55137177098804"/>
    <n v="717648783"/>
    <x v="0"/>
    <n v="1.1982243E-3"/>
    <x v="0"/>
  </r>
  <r>
    <n v="49"/>
    <n v="0"/>
    <n v="2"/>
    <n v="3"/>
    <n v="0"/>
    <n v="4"/>
    <n v="0"/>
    <n v="36"/>
    <n v="6"/>
    <n v="3"/>
    <n v="3"/>
    <n v="2976"/>
    <n v="2257"/>
    <n v="719"/>
    <n v="0.75"/>
    <n v="3837"/>
    <n v="57"/>
    <n v="0.78100000000000003"/>
    <n v="0.75800000000000001"/>
    <n v="2.9408E-4"/>
    <n v="0.99970999999999999"/>
    <s v="1.5075247306076958"/>
    <s v="54.48329775275484"/>
    <s v="0.7778671372422634"/>
    <s v="3.764339536097878"/>
    <n v="717387933"/>
    <x v="0"/>
    <n v="4.4691373000000002E-4"/>
    <x v="0"/>
  </r>
  <r>
    <n v="54"/>
    <n v="0"/>
    <n v="2"/>
    <n v="3"/>
    <n v="2"/>
    <n v="5"/>
    <n v="0"/>
    <n v="45"/>
    <n v="5"/>
    <n v="3"/>
    <n v="5"/>
    <n v="7563"/>
    <n v="1465"/>
    <n v="6098"/>
    <n v="0.51100000000000001"/>
    <n v="4175"/>
    <n v="67"/>
    <n v="0.71799999999999997"/>
    <n v="0.19400000000000001"/>
    <n v="8.6777000000000002E-4"/>
    <n v="0.99912999999999996"/>
    <s v="41.53236720605894"/>
    <s v="14.295533258310403"/>
    <s v="48.83374441265964"/>
    <s v="18.66036863059523"/>
    <n v="715399908"/>
    <x v="0"/>
    <n v="2.4990048000000001E-2"/>
    <x v="0"/>
  </r>
  <r>
    <n v="46"/>
    <n v="0"/>
    <n v="4"/>
    <n v="6"/>
    <n v="2"/>
    <n v="5"/>
    <n v="3"/>
    <n v="34"/>
    <n v="1"/>
    <n v="2"/>
    <n v="3"/>
    <n v="33874"/>
    <n v="1473"/>
    <n v="32401"/>
    <n v="0.80300000000000005"/>
    <n v="13753"/>
    <n v="98"/>
    <n v="0.84899999999999998"/>
    <n v="4.2999999999999997E-2"/>
    <n v="1.994E-4"/>
    <n v="0.99980000000000002"/>
    <n v="9.5242073875847506"/>
    <n v="9.0938210721523198"/>
    <s v="35.83630180089022"/>
    <s v="4.283461225940165"/>
    <n v="771584658"/>
    <x v="0"/>
    <n v="3.8573547000000003E-4"/>
    <x v="0"/>
  </r>
  <r>
    <n v="48"/>
    <n v="1"/>
    <n v="3"/>
    <n v="6"/>
    <n v="2"/>
    <n v="2"/>
    <n v="0"/>
    <n v="40"/>
    <n v="6"/>
    <n v="3"/>
    <n v="3"/>
    <n v="4476"/>
    <n v="0"/>
    <n v="4476"/>
    <n v="0.68300000000000005"/>
    <n v="3350"/>
    <n v="67"/>
    <n v="0.63400000000000001"/>
    <n v="0"/>
    <n v="3.4503000000000002E-4"/>
    <n v="0.99965000000000004"/>
    <s v="53.72921836758971"/>
    <s v="32.21375189631298"/>
    <s v="59.63924111331925"/>
    <s v="0.7887469164760413"/>
    <n v="720196158"/>
    <x v="0"/>
    <n v="7.686247E-4"/>
    <x v="0"/>
  </r>
  <r>
    <n v="40"/>
    <n v="0"/>
    <n v="4"/>
    <n v="6"/>
    <n v="2"/>
    <n v="4"/>
    <n v="0"/>
    <n v="31"/>
    <n v="5"/>
    <n v="2"/>
    <n v="3"/>
    <n v="1768"/>
    <n v="1242"/>
    <n v="526"/>
    <n v="0.77600000000000002"/>
    <n v="4439"/>
    <n v="65"/>
    <n v="0.80600000000000005"/>
    <n v="0.70199999999999996"/>
    <n v="2.2068000000000001E-4"/>
    <n v="0.99978"/>
    <s v="1.9595254115278404"/>
    <s v="28.249737771420985"/>
    <s v="42.93983363741639"/>
    <s v="24.529993946249025"/>
    <n v="716766033"/>
    <x v="0"/>
    <n v="3.2890364000000001E-4"/>
    <x v="0"/>
  </r>
  <r>
    <n v="42"/>
    <n v="0"/>
    <n v="2"/>
    <n v="3"/>
    <n v="1"/>
    <n v="4"/>
    <n v="0"/>
    <n v="31"/>
    <n v="3"/>
    <n v="5"/>
    <n v="2"/>
    <n v="3964"/>
    <n v="1218"/>
    <n v="2746"/>
    <n v="0.59299999999999997"/>
    <n v="4580"/>
    <n v="75"/>
    <n v="1.419"/>
    <n v="0.307"/>
    <n v="1.953E-4"/>
    <n v="0.99980000000000002"/>
    <n v="36.935796302451301"/>
    <s v="4.589455488184958"/>
    <s v="40.24623373485364"/>
    <n v="14.7897592790173"/>
    <n v="715928808"/>
    <x v="0"/>
    <n v="3.2101269999999999E-4"/>
    <x v="0"/>
  </r>
  <r>
    <n v="45"/>
    <n v="0"/>
    <n v="4"/>
    <n v="6"/>
    <n v="2"/>
    <n v="4"/>
    <n v="1"/>
    <n v="36"/>
    <n v="6"/>
    <n v="1"/>
    <n v="3"/>
    <n v="15987"/>
    <n v="1648"/>
    <n v="14339"/>
    <n v="0.73199999999999998"/>
    <n v="1436"/>
    <n v="36"/>
    <n v="1.25"/>
    <n v="0.10299999999999999"/>
    <n v="1.2302999999999999E-4"/>
    <n v="0.99987999999999999"/>
    <s v="9.617411630093866"/>
    <s v="32.27756077097683"/>
    <s v="119.07861743025084"/>
    <s v="3.200648550806464"/>
    <n v="718206783"/>
    <x v="0"/>
    <n v="9.8706899999999992E-4"/>
    <x v="0"/>
  </r>
  <r>
    <n v="39"/>
    <n v="0"/>
    <n v="3"/>
    <n v="2"/>
    <n v="1"/>
    <n v="4"/>
    <n v="0"/>
    <n v="32"/>
    <n v="5"/>
    <n v="6"/>
    <n v="3"/>
    <n v="3221"/>
    <n v="0"/>
    <n v="3221"/>
    <n v="0.67800000000000005"/>
    <n v="1765"/>
    <n v="40"/>
    <n v="0.6"/>
    <n v="0"/>
    <n v="2.4781E-4"/>
    <n v="0.99975000000000003"/>
    <s v="1.9754218029750257"/>
    <s v="47.686758356489065"/>
    <s v="10.629015902750051"/>
    <s v="9.462607226696605"/>
    <n v="751487358"/>
    <x v="0"/>
    <n v="3.7827827E-3"/>
    <x v="0"/>
  </r>
  <r>
    <n v="53"/>
    <n v="1"/>
    <n v="2"/>
    <n v="2"/>
    <n v="1"/>
    <n v="3"/>
    <n v="0"/>
    <n v="41"/>
    <n v="2"/>
    <n v="3"/>
    <n v="1"/>
    <n v="10301"/>
    <n v="2451"/>
    <n v="7850"/>
    <n v="0.90600000000000003"/>
    <n v="16359"/>
    <n v="111"/>
    <n v="0.65700000000000003"/>
    <n v="0.23799999999999999"/>
    <n v="1.0848E-4"/>
    <n v="0.99988999999999995"/>
    <s v="26.39437862154711"/>
    <s v="47.38586951867888"/>
    <s v="34.95819957672848"/>
    <s v="2.5988418073009942"/>
    <n v="709141908"/>
    <x v="0"/>
    <n v="3.6437239999999999E-4"/>
    <x v="0"/>
  </r>
  <r>
    <n v="40"/>
    <n v="1"/>
    <n v="3"/>
    <n v="2"/>
    <n v="2"/>
    <n v="0"/>
    <n v="0"/>
    <n v="27"/>
    <n v="4"/>
    <n v="2"/>
    <n v="3"/>
    <n v="17018"/>
    <n v="0"/>
    <n v="17018"/>
    <n v="0.69"/>
    <n v="1550"/>
    <n v="47"/>
    <n v="0.621"/>
    <n v="0"/>
    <n v="1.9864000000000001E-4"/>
    <n v="0.99980000000000002"/>
    <n v="8.6789150985012409"/>
    <s v="29.241320897862483"/>
    <s v="28.688162479689318"/>
    <s v="8.573907253370768"/>
    <n v="720611058"/>
    <x v="0"/>
    <n v="3.7827827E-3"/>
    <x v="0"/>
  </r>
  <r>
    <n v="44"/>
    <n v="0"/>
    <n v="4"/>
    <n v="0"/>
    <n v="2"/>
    <n v="5"/>
    <n v="0"/>
    <n v="34"/>
    <n v="4"/>
    <n v="1"/>
    <n v="2"/>
    <n v="12310"/>
    <n v="670"/>
    <n v="11640"/>
    <n v="0.80100000000000005"/>
    <n v="4176"/>
    <n v="76"/>
    <n v="0.76700000000000002"/>
    <n v="5.3999999999999999E-2"/>
    <s v="5.6158e-05"/>
    <n v="0.99994000000000005"/>
    <s v="19.616957785095945"/>
    <s v="44.00042732856302"/>
    <n v="85.864825582332998"/>
    <s v="12.782292015278465"/>
    <n v="712349808"/>
    <x v="0"/>
    <n v="6.0646630000000005E-4"/>
    <x v="0"/>
  </r>
  <r>
    <n v="44"/>
    <n v="1"/>
    <n v="5"/>
    <n v="2"/>
    <n v="1"/>
    <n v="0"/>
    <n v="0"/>
    <n v="24"/>
    <n v="4"/>
    <n v="1"/>
    <n v="4"/>
    <n v="11876"/>
    <n v="1926"/>
    <n v="9950"/>
    <n v="0.51"/>
    <n v="1367"/>
    <n v="33"/>
    <n v="0.73699999999999999"/>
    <n v="0.16200000000000001"/>
    <n v="1.6316E-4"/>
    <n v="0.99983999999999995"/>
    <s v="16.074801902719535"/>
    <s v="12.818670324632915"/>
    <s v="63.43594310455117"/>
    <s v="16.128543994679394"/>
    <n v="778508883"/>
    <x v="0"/>
    <n v="1.0337284E-3"/>
    <x v="0"/>
  </r>
  <r>
    <n v="44"/>
    <n v="0"/>
    <n v="3"/>
    <n v="4"/>
    <n v="0"/>
    <n v="4"/>
    <n v="0"/>
    <n v="31"/>
    <n v="3"/>
    <n v="2"/>
    <n v="1"/>
    <n v="8320"/>
    <n v="0"/>
    <n v="8320"/>
    <n v="0.42099999999999999"/>
    <n v="4128"/>
    <n v="82"/>
    <n v="0.49099999999999999"/>
    <n v="0"/>
    <s v="8.381e-05"/>
    <n v="0.99992000000000003"/>
    <s v="1.9191370841722528"/>
    <s v="0.1540930957018821"/>
    <s v="40.11730505752961"/>
    <s v="6.149881287692871"/>
    <n v="718802283"/>
    <x v="0"/>
    <n v="7.7293770000000004E-4"/>
    <x v="0"/>
  </r>
  <r>
    <n v="46"/>
    <n v="0"/>
    <n v="2"/>
    <n v="0"/>
    <n v="3"/>
    <n v="4"/>
    <n v="3"/>
    <n v="36"/>
    <n v="2"/>
    <n v="3"/>
    <n v="1"/>
    <n v="13427"/>
    <n v="1507"/>
    <n v="11920"/>
    <n v="0.84"/>
    <n v="4266"/>
    <n v="63"/>
    <n v="0.75"/>
    <n v="0.112"/>
    <s v="9.5293e-05"/>
    <n v="0.99990000000000001"/>
    <s v="70.48295387561527"/>
    <s v="46.45723388231404"/>
    <s v="12.53060186826066"/>
    <s v="11.074410054238276"/>
    <n v="719019483"/>
    <x v="0"/>
    <n v="3.479205E-4"/>
    <x v="0"/>
  </r>
  <r>
    <n v="37"/>
    <n v="0"/>
    <n v="1"/>
    <n v="2"/>
    <n v="2"/>
    <n v="4"/>
    <n v="3"/>
    <n v="19"/>
    <n v="4"/>
    <n v="3"/>
    <n v="3"/>
    <n v="12535"/>
    <n v="2049"/>
    <n v="10486"/>
    <n v="0.68300000000000005"/>
    <n v="3283"/>
    <n v="74"/>
    <n v="0.60899999999999999"/>
    <n v="0.16300000000000001"/>
    <n v="2.5657000000000002E-4"/>
    <n v="0.99973999999999996"/>
    <s v="4.166656630415886"/>
    <n v="34.9465320664562"/>
    <s v="21.90744477695496"/>
    <s v="19.096521894593927"/>
    <n v="709330383"/>
    <x v="0"/>
    <n v="3.2914013999999999E-4"/>
    <x v="0"/>
  </r>
  <r>
    <n v="34"/>
    <n v="0"/>
    <n v="2"/>
    <n v="2"/>
    <n v="3"/>
    <n v="5"/>
    <n v="3"/>
    <n v="16"/>
    <n v="2"/>
    <n v="2"/>
    <n v="1"/>
    <n v="32292"/>
    <n v="1731"/>
    <n v="30561"/>
    <n v="0.751"/>
    <n v="7564"/>
    <n v="76"/>
    <n v="0.81"/>
    <n v="5.3999999999999999E-2"/>
    <s v="6.2021e-05"/>
    <n v="0.99994000000000005"/>
    <s v="41.93283416960198"/>
    <s v="22.628627109882512"/>
    <s v="39.04093706664315"/>
    <s v="9.662037559130576"/>
    <n v="779263533"/>
    <x v="0"/>
    <n v="6.2157260000000002E-4"/>
    <x v="0"/>
  </r>
  <r>
    <n v="40"/>
    <n v="1"/>
    <n v="5"/>
    <n v="4"/>
    <n v="2"/>
    <n v="2"/>
    <n v="0"/>
    <n v="30"/>
    <n v="3"/>
    <n v="2"/>
    <n v="2"/>
    <n v="1659"/>
    <n v="0"/>
    <n v="1659"/>
    <n v="0.58499999999999996"/>
    <n v="3838"/>
    <n v="66"/>
    <n v="0.69199999999999995"/>
    <n v="0"/>
    <n v="1.3826999999999999E-4"/>
    <n v="0.99985999999999997"/>
    <n v="6.6010611161362496"/>
    <s v="22.45340608359862"/>
    <s v="105.77975866587454"/>
    <s v="24.11189060538818"/>
    <n v="716786808"/>
    <x v="0"/>
    <n v="7.4965424999999997E-4"/>
    <x v="0"/>
  </r>
  <r>
    <n v="49"/>
    <n v="1"/>
    <n v="2"/>
    <n v="3"/>
    <n v="2"/>
    <n v="3"/>
    <n v="3"/>
    <n v="40"/>
    <n v="4"/>
    <n v="3"/>
    <n v="2"/>
    <n v="34516"/>
    <n v="1313"/>
    <n v="33203"/>
    <n v="0.58299999999999996"/>
    <n v="15154"/>
    <n v="99"/>
    <n v="0.83299999999999996"/>
    <n v="3.7999999999999999E-2"/>
    <n v="1.5799999999999999E-4"/>
    <n v="0.99983999999999995"/>
    <s v="29.06606539079933"/>
    <s v="31.03013868196625"/>
    <s v="105.02013894430914"/>
    <s v="12.019160085707822"/>
    <n v="714785508"/>
    <x v="0"/>
    <n v="3.8573547000000003E-4"/>
    <x v="0"/>
  </r>
  <r>
    <n v="37"/>
    <n v="0"/>
    <n v="1"/>
    <n v="2"/>
    <n v="1"/>
    <n v="1"/>
    <n v="0"/>
    <n v="30"/>
    <n v="5"/>
    <n v="3"/>
    <n v="4"/>
    <n v="6469"/>
    <n v="2351"/>
    <n v="4118"/>
    <n v="1.018"/>
    <n v="1717"/>
    <n v="50"/>
    <n v="0.66700000000000004"/>
    <n v="0.36299999999999999"/>
    <n v="4.8434999999999998E-4"/>
    <n v="0.99951999999999996"/>
    <s v="27.68585287219728"/>
    <s v="16.640276731279137"/>
    <s v="44.67785305873832"/>
    <s v="3.0625586777510385"/>
    <n v="718082208"/>
    <x v="0"/>
    <n v="8.5304683000000004E-4"/>
    <x v="0"/>
  </r>
  <r>
    <n v="48"/>
    <n v="0"/>
    <n v="2"/>
    <n v="5"/>
    <n v="0"/>
    <n v="1"/>
    <n v="3"/>
    <n v="39"/>
    <n v="2"/>
    <n v="2"/>
    <n v="2"/>
    <n v="21754"/>
    <n v="0"/>
    <n v="21754"/>
    <n v="0.83"/>
    <n v="9105"/>
    <n v="104"/>
    <n v="0.76300000000000001"/>
    <n v="0"/>
    <n v="1.0574E-4"/>
    <n v="0.99988999999999995"/>
    <s v="17.009903173714893"/>
    <n v="101.070256818019"/>
    <s v="69.02673406616658"/>
    <s v="0.5951955324160542"/>
    <n v="719180958"/>
    <x v="0"/>
    <n v="7.9810305E-4"/>
    <x v="0"/>
  </r>
  <r>
    <n v="51"/>
    <n v="0"/>
    <n v="2"/>
    <n v="3"/>
    <n v="2"/>
    <n v="5"/>
    <n v="0"/>
    <n v="36"/>
    <n v="2"/>
    <n v="1"/>
    <n v="2"/>
    <n v="2319"/>
    <n v="1347"/>
    <n v="972"/>
    <n v="0.72199999999999998"/>
    <n v="7558"/>
    <n v="85"/>
    <n v="0.49099999999999999"/>
    <n v="0.58099999999999996"/>
    <s v="5.3542e-05"/>
    <n v="0.99995000000000001"/>
    <s v="19.838504102336607"/>
    <n v="34.2778203162285"/>
    <s v="20.548443079308942"/>
    <s v="26.010820787385217"/>
    <n v="714975633"/>
    <x v="0"/>
    <n v="3.9225167999999998E-4"/>
    <x v="0"/>
  </r>
  <r>
    <n v="53"/>
    <n v="1"/>
    <n v="4"/>
    <n v="3"/>
    <n v="1"/>
    <n v="3"/>
    <n v="0"/>
    <n v="46"/>
    <n v="4"/>
    <n v="2"/>
    <n v="3"/>
    <n v="15242"/>
    <n v="1170"/>
    <n v="14072"/>
    <n v="0.496"/>
    <n v="1876"/>
    <n v="57"/>
    <n v="0.5"/>
    <n v="7.6999999999999999E-2"/>
    <n v="1.9516999999999999E-4"/>
    <n v="0.99980000000000002"/>
    <s v="6.3615272247944485"/>
    <s v="24.65390143460317"/>
    <s v="59.69561536475655"/>
    <s v="5.272755181452206"/>
    <n v="709528308"/>
    <x v="0"/>
    <n v="5.6905569999999997E-4"/>
    <x v="0"/>
  </r>
  <r>
    <n v="54"/>
    <n v="0"/>
    <n v="4"/>
    <n v="3"/>
    <n v="2"/>
    <n v="1"/>
    <n v="0"/>
    <n v="36"/>
    <n v="3"/>
    <n v="3"/>
    <n v="4"/>
    <n v="1438.3"/>
    <n v="0"/>
    <n v="1438.3"/>
    <n v="0.64100000000000001"/>
    <n v="2092"/>
    <n v="42"/>
    <n v="0.68"/>
    <n v="0"/>
    <n v="0.99809999999999999"/>
    <n v="1.8962499999999999E-3"/>
    <s v="4.6144898726809735"/>
    <s v="10.593386455585543"/>
    <s v="48.42436259068011"/>
    <s v="0.4412400248432812"/>
    <n v="711801933"/>
    <x v="1"/>
    <n v="0.99808806000000005"/>
    <x v="1"/>
  </r>
  <r>
    <n v="46"/>
    <n v="1"/>
    <n v="3"/>
    <n v="2"/>
    <n v="0"/>
    <n v="4"/>
    <n v="0"/>
    <n v="36"/>
    <n v="5"/>
    <n v="1"/>
    <n v="3"/>
    <n v="4213"/>
    <n v="997"/>
    <n v="3216"/>
    <n v="0.66800000000000004"/>
    <n v="1264"/>
    <n v="30"/>
    <n v="0.66700000000000004"/>
    <n v="0.23699999999999999"/>
    <s v="9.6126e-05"/>
    <n v="0.99990000000000001"/>
    <s v="1.4522056858673926"/>
    <s v="21.315785437582417"/>
    <s v="12.94097279689893"/>
    <s v="12.63572451997084"/>
    <n v="713756508"/>
    <x v="0"/>
    <n v="1.0337284E-3"/>
    <x v="0"/>
  </r>
  <r>
    <n v="45"/>
    <n v="1"/>
    <n v="2"/>
    <n v="3"/>
    <n v="3"/>
    <n v="2"/>
    <n v="0"/>
    <n v="32"/>
    <n v="1"/>
    <n v="2"/>
    <n v="3"/>
    <n v="1870"/>
    <n v="0"/>
    <n v="1870"/>
    <n v="0.76100000000000001"/>
    <n v="4891"/>
    <n v="65"/>
    <n v="0.80600000000000005"/>
    <n v="0"/>
    <n v="1.861E-4"/>
    <n v="0.99980999999999998"/>
    <n v="9.3283438156126994"/>
    <s v="25.36794902255597"/>
    <s v="17.200087668075714"/>
    <s v="6.940930203194255"/>
    <n v="771214083"/>
    <x v="0"/>
    <n v="7.6807226000000001E-4"/>
    <x v="0"/>
  </r>
  <r>
    <n v="65"/>
    <n v="1"/>
    <n v="1"/>
    <n v="2"/>
    <n v="2"/>
    <n v="4"/>
    <n v="0"/>
    <n v="56"/>
    <n v="5"/>
    <n v="3"/>
    <n v="2"/>
    <n v="7636"/>
    <n v="0"/>
    <n v="7636"/>
    <n v="0.80100000000000005"/>
    <n v="3880"/>
    <n v="67"/>
    <n v="0.81100000000000005"/>
    <n v="0"/>
    <n v="1.6882999999999999E-4"/>
    <n v="0.99983"/>
    <s v="49.51537700295341"/>
    <s v="17.148615890948733"/>
    <s v="36.41581838007839"/>
    <s v="19.222431236064704"/>
    <n v="778247358"/>
    <x v="0"/>
    <n v="7.4965424999999997E-4"/>
    <x v="0"/>
  </r>
  <r>
    <n v="35"/>
    <n v="0"/>
    <n v="2"/>
    <n v="1"/>
    <n v="1"/>
    <n v="1"/>
    <n v="0"/>
    <n v="24"/>
    <n v="5"/>
    <n v="2"/>
    <n v="3"/>
    <n v="2655"/>
    <n v="1527"/>
    <n v="1128"/>
    <n v="0.71499999999999997"/>
    <n v="1921"/>
    <n v="26"/>
    <n v="0.44400000000000001"/>
    <n v="0.57499999999999996"/>
    <n v="2.7701000000000001E-4"/>
    <n v="0.99972000000000005"/>
    <s v="19.43494748243537"/>
    <s v="15.61125305731922"/>
    <s v="8.342795986119745"/>
    <s v="4.597897825054711"/>
    <n v="709897983"/>
    <x v="0"/>
    <n v="1.3273743E-3"/>
    <x v="0"/>
  </r>
  <r>
    <n v="28"/>
    <n v="1"/>
    <n v="0"/>
    <n v="4"/>
    <n v="1"/>
    <n v="5"/>
    <n v="0"/>
    <n v="13"/>
    <n v="4"/>
    <n v="1"/>
    <n v="2"/>
    <n v="2608"/>
    <n v="1630"/>
    <n v="978"/>
    <n v="0.52100000000000002"/>
    <n v="1822"/>
    <n v="33"/>
    <n v="0.32"/>
    <n v="0.625"/>
    <s v="5.5613e-05"/>
    <n v="0.99994000000000005"/>
    <s v="77.37565467712913"/>
    <s v="8.141339730935151"/>
    <s v="18.277962897626097"/>
    <s v="4.983743782135317"/>
    <n v="715968858"/>
    <x v="0"/>
    <n v="1.1982243E-3"/>
    <x v="0"/>
  </r>
  <r>
    <n v="50"/>
    <n v="1"/>
    <n v="3"/>
    <n v="3"/>
    <n v="1"/>
    <n v="0"/>
    <n v="0"/>
    <n v="40"/>
    <n v="5"/>
    <n v="1"/>
    <n v="4"/>
    <n v="34516"/>
    <n v="0"/>
    <n v="34516"/>
    <n v="0.98599999999999999"/>
    <n v="1930"/>
    <n v="36"/>
    <n v="0.44"/>
    <n v="0"/>
    <n v="1.5941999999999999E-4"/>
    <n v="0.99983999999999995"/>
    <n v="14.6646816137494"/>
    <s v="95.24800827277971"/>
    <s v="56.45634714409479"/>
    <n v="5.14180903383048"/>
    <n v="718435158"/>
    <x v="0"/>
    <n v="4.7956155999999998E-3"/>
    <x v="0"/>
  </r>
  <r>
    <n v="38"/>
    <n v="1"/>
    <n v="3"/>
    <n v="2"/>
    <n v="2"/>
    <n v="2"/>
    <n v="0"/>
    <n v="25"/>
    <n v="3"/>
    <n v="3"/>
    <n v="4"/>
    <n v="18293"/>
    <n v="0"/>
    <n v="18293"/>
    <n v="0.57099999999999995"/>
    <n v="2958"/>
    <n v="63"/>
    <n v="0.432"/>
    <n v="0"/>
    <n v="5.3543000000000004E-4"/>
    <n v="0.99946000000000002"/>
    <n v="6.7972925838437002"/>
    <n v="57.433966458571597"/>
    <s v="91.64948249820011"/>
    <s v="15.283652652061388"/>
    <n v="708582858"/>
    <x v="0"/>
    <n v="1.0059736000000001E-3"/>
    <x v="0"/>
  </r>
  <r>
    <n v="39"/>
    <n v="0"/>
    <n v="3"/>
    <n v="3"/>
    <n v="2"/>
    <n v="4"/>
    <n v="0"/>
    <n v="33"/>
    <n v="2"/>
    <n v="1"/>
    <n v="2"/>
    <n v="1621"/>
    <n v="0"/>
    <n v="1621"/>
    <n v="0.77900000000000003"/>
    <n v="7400"/>
    <n v="86"/>
    <n v="0.68600000000000005"/>
    <n v="0"/>
    <s v="5.5559e-05"/>
    <n v="0.99994000000000005"/>
    <n v="9.5035791840702206"/>
    <s v="74.45119731283116"/>
    <s v="94.42415762513102"/>
    <s v="4.515362803604663"/>
    <n v="774099708"/>
    <x v="0"/>
    <n v="7.9810305E-4"/>
    <x v="0"/>
  </r>
  <r>
    <n v="39"/>
    <n v="0"/>
    <n v="3"/>
    <n v="0"/>
    <n v="1"/>
    <n v="4"/>
    <n v="0"/>
    <n v="36"/>
    <n v="4"/>
    <n v="2"/>
    <n v="0"/>
    <n v="2279"/>
    <n v="1529"/>
    <n v="750"/>
    <n v="1.26"/>
    <n v="1693"/>
    <n v="32"/>
    <n v="1.286"/>
    <n v="0.67100000000000004"/>
    <s v="4.2358e-05"/>
    <n v="0.99995999999999996"/>
    <s v="79.20567803198968"/>
    <s v="21.12795867361103"/>
    <n v="97.868070315421804"/>
    <n v="7.4686709888534404"/>
    <n v="709913733"/>
    <x v="0"/>
    <n v="9.8706899999999992E-4"/>
    <x v="0"/>
  </r>
  <r>
    <n v="46"/>
    <n v="1"/>
    <n v="2"/>
    <n v="2"/>
    <n v="1"/>
    <n v="2"/>
    <n v="0"/>
    <n v="36"/>
    <n v="3"/>
    <n v="2"/>
    <n v="3"/>
    <n v="15405"/>
    <n v="1691"/>
    <n v="13714"/>
    <n v="0.81399999999999995"/>
    <n v="1763"/>
    <n v="44"/>
    <n v="0.189"/>
    <n v="0.11"/>
    <n v="1.9143E-4"/>
    <n v="0.99980999999999998"/>
    <s v="2.819891405304026"/>
    <s v="12.00948204436606"/>
    <s v="85.91806533211995"/>
    <s v="8.916768601552786"/>
    <n v="714989583"/>
    <x v="0"/>
    <n v="1.232702E-3"/>
    <x v="0"/>
  </r>
  <r>
    <n v="35"/>
    <n v="0"/>
    <n v="4"/>
    <n v="2"/>
    <n v="2"/>
    <n v="4"/>
    <n v="0"/>
    <n v="22"/>
    <n v="6"/>
    <n v="3"/>
    <n v="3"/>
    <n v="1438.3"/>
    <n v="0"/>
    <n v="1438.3"/>
    <n v="0.51200000000000001"/>
    <n v="3427"/>
    <n v="64"/>
    <n v="0.82899999999999996"/>
    <n v="0"/>
    <n v="3.1725999999999998E-4"/>
    <n v="0.99968000000000001"/>
    <s v="14.030406629793552"/>
    <s v="12.143443914878096"/>
    <s v="14.605478092043112"/>
    <n v="0.17605077542919001"/>
    <n v="713452533"/>
    <x v="0"/>
    <n v="7.8814493999999999E-4"/>
    <x v="0"/>
  </r>
  <r>
    <n v="51"/>
    <n v="0"/>
    <n v="1"/>
    <n v="6"/>
    <n v="1"/>
    <n v="1"/>
    <n v="0"/>
    <n v="36"/>
    <n v="2"/>
    <n v="1"/>
    <n v="1"/>
    <n v="1438.3"/>
    <n v="468"/>
    <n v="970.3"/>
    <n v="0.747"/>
    <n v="4425"/>
    <n v="81"/>
    <n v="1.077"/>
    <n v="0.32500000000000001"/>
    <s v="3.4268e-05"/>
    <n v="0.99997000000000003"/>
    <n v="43.1513173203465"/>
    <s v="36.80957916027104"/>
    <s v="44.15106587476121"/>
    <s v="17.087456593283015"/>
    <n v="717865008"/>
    <x v="0"/>
    <n v="6.2459736000000004E-4"/>
    <x v="0"/>
  </r>
  <r>
    <n v="42"/>
    <n v="0"/>
    <n v="2"/>
    <n v="2"/>
    <n v="3"/>
    <n v="4"/>
    <n v="0"/>
    <n v="36"/>
    <n v="6"/>
    <n v="3"/>
    <n v="2"/>
    <n v="3413"/>
    <n v="0"/>
    <n v="3413"/>
    <n v="0.59299999999999997"/>
    <n v="2285"/>
    <n v="40"/>
    <n v="0.42899999999999999"/>
    <n v="0"/>
    <n v="0.99446999999999997"/>
    <n v="5.5300000000000002E-3"/>
    <s v="23.442152285768078"/>
    <s v="8.642879338910928"/>
    <s v="43.07198254295776"/>
    <s v="3.533069981031049"/>
    <n v="712770408"/>
    <x v="1"/>
    <n v="0.99873226999999998"/>
    <x v="1"/>
  </r>
  <r>
    <n v="36"/>
    <n v="1"/>
    <n v="3"/>
    <n v="6"/>
    <n v="1"/>
    <n v="2"/>
    <n v="0"/>
    <n v="36"/>
    <n v="4"/>
    <n v="2"/>
    <n v="2"/>
    <n v="2956"/>
    <n v="2411"/>
    <n v="545"/>
    <n v="0.97099999999999997"/>
    <n v="1896"/>
    <n v="31"/>
    <n v="0.82399999999999995"/>
    <n v="0.81599999999999995"/>
    <n v="1.2982E-4"/>
    <n v="0.99987000000000004"/>
    <s v="27.34425583892576"/>
    <s v="17.710945031284304"/>
    <s v="11.431739115079086"/>
    <s v="12.009632783348192"/>
    <n v="711575058"/>
    <x v="0"/>
    <n v="1.0617396999999999E-3"/>
    <x v="0"/>
  </r>
  <r>
    <n v="44"/>
    <n v="0"/>
    <n v="2"/>
    <n v="3"/>
    <n v="1"/>
    <n v="4"/>
    <n v="0"/>
    <n v="32"/>
    <n v="4"/>
    <n v="2"/>
    <n v="3"/>
    <n v="2485"/>
    <n v="1489"/>
    <n v="996"/>
    <n v="0.77900000000000003"/>
    <n v="3697"/>
    <n v="77"/>
    <n v="0.83299999999999996"/>
    <n v="0.59899999999999998"/>
    <n v="1.861E-4"/>
    <n v="0.99980999999999998"/>
    <s v="38.05196705259888"/>
    <s v="27.790781700252133"/>
    <s v="34.711251200189395"/>
    <s v="0.4038743161141228"/>
    <n v="708757233"/>
    <x v="0"/>
    <n v="3.2101269999999999E-4"/>
    <x v="0"/>
  </r>
  <r>
    <n v="53"/>
    <n v="0"/>
    <n v="2"/>
    <n v="3"/>
    <n v="2"/>
    <n v="4"/>
    <n v="0"/>
    <n v="36"/>
    <n v="4"/>
    <n v="3"/>
    <n v="1"/>
    <n v="2973"/>
    <n v="2517"/>
    <n v="456"/>
    <n v="0.58799999999999997"/>
    <n v="4862"/>
    <n v="77"/>
    <n v="0.45300000000000001"/>
    <n v="0.84699999999999998"/>
    <n v="1.0545E-4"/>
    <n v="0.99988999999999995"/>
    <s v="8.072689558724129"/>
    <s v="23.257101474905564"/>
    <s v="42.04100829064429"/>
    <s v="4.598488503817927"/>
    <n v="708822783"/>
    <x v="0"/>
    <n v="3.8219825000000002E-4"/>
    <x v="0"/>
  </r>
  <r>
    <n v="43"/>
    <n v="1"/>
    <n v="3"/>
    <n v="0"/>
    <n v="0"/>
    <n v="3"/>
    <n v="0"/>
    <n v="32"/>
    <n v="6"/>
    <n v="3"/>
    <n v="2"/>
    <n v="7278"/>
    <n v="0"/>
    <n v="7278"/>
    <n v="0.61799999999999999"/>
    <n v="2120"/>
    <n v="43"/>
    <n v="0.59299999999999997"/>
    <n v="0"/>
    <n v="0.99451999999999996"/>
    <n v="5.4799999999999996E-3"/>
    <s v="45.22973486638335"/>
    <s v="67.49061922148645"/>
    <s v="47.57613588198918"/>
    <n v="8.1206374335768707"/>
    <n v="719176308"/>
    <x v="1"/>
    <n v="0.99873226999999998"/>
    <x v="1"/>
  </r>
  <r>
    <n v="50"/>
    <n v="1"/>
    <n v="1"/>
    <n v="2"/>
    <n v="1"/>
    <n v="2"/>
    <n v="0"/>
    <n v="37"/>
    <n v="2"/>
    <n v="2"/>
    <n v="2"/>
    <n v="20708"/>
    <n v="1357"/>
    <n v="19351"/>
    <n v="0.85199999999999998"/>
    <n v="8503"/>
    <n v="88"/>
    <n v="0.57099999999999995"/>
    <n v="6.6000000000000003E-2"/>
    <n v="1.0684E-4"/>
    <n v="0.99988999999999995"/>
    <n v="2.9733313117765601"/>
    <s v="48.87659513639044"/>
    <s v="5.786835862097965"/>
    <s v="11.612620331505363"/>
    <n v="709722858"/>
    <x v="0"/>
    <n v="4.2060707000000003E-4"/>
    <x v="0"/>
  </r>
  <r>
    <n v="41"/>
    <n v="0"/>
    <n v="1"/>
    <n v="3"/>
    <n v="2"/>
    <n v="4"/>
    <n v="0"/>
    <n v="33"/>
    <n v="4"/>
    <n v="2"/>
    <n v="0"/>
    <n v="8054"/>
    <n v="1023"/>
    <n v="7031"/>
    <n v="0.75"/>
    <n v="3374"/>
    <n v="45"/>
    <n v="0.875"/>
    <n v="0.127"/>
    <s v="3.8311e-05"/>
    <n v="0.99995999999999996"/>
    <s v="6.079914592862061"/>
    <s v="10.335410093286702"/>
    <s v="28.365017687479405"/>
    <s v="3.1726072453935514"/>
    <n v="709955958"/>
    <x v="0"/>
    <n v="1.0055776999999999E-3"/>
    <x v="0"/>
  </r>
  <r>
    <n v="47"/>
    <n v="1"/>
    <n v="4"/>
    <n v="2"/>
    <n v="2"/>
    <n v="0"/>
    <n v="0"/>
    <n v="35"/>
    <n v="3"/>
    <n v="4"/>
    <n v="3"/>
    <n v="7015"/>
    <n v="0"/>
    <n v="7015"/>
    <n v="0.45600000000000002"/>
    <n v="1799"/>
    <n v="51"/>
    <n v="0.64500000000000002"/>
    <n v="0"/>
    <n v="0.99739999999999995"/>
    <n v="2.6004800000000001E-3"/>
    <s v="24.917030928665596"/>
    <s v="64.21436521887247"/>
    <s v="7.9171626061942915"/>
    <s v="16.51905833335456"/>
    <n v="718735908"/>
    <x v="1"/>
    <n v="0.99800617000000003"/>
    <x v="1"/>
  </r>
  <r>
    <n v="39"/>
    <n v="0"/>
    <n v="1"/>
    <n v="5"/>
    <n v="2"/>
    <n v="4"/>
    <n v="0"/>
    <n v="35"/>
    <n v="5"/>
    <n v="3"/>
    <n v="0"/>
    <n v="2062"/>
    <n v="1302"/>
    <n v="760"/>
    <n v="0.63100000000000001"/>
    <n v="3785"/>
    <n v="63"/>
    <n v="0.75"/>
    <n v="0.63100000000000001"/>
    <s v="6.4038e-05"/>
    <n v="0.99994000000000005"/>
    <s v="72.72984013139451"/>
    <s v="43.61035055694956"/>
    <n v="58.291334010441702"/>
    <s v="3.3667639373595653"/>
    <n v="827890758"/>
    <x v="0"/>
    <n v="3.479205E-4"/>
    <x v="0"/>
  </r>
  <r>
    <n v="36"/>
    <n v="0"/>
    <n v="1"/>
    <n v="6"/>
    <n v="2"/>
    <n v="4"/>
    <n v="0"/>
    <n v="26"/>
    <n v="3"/>
    <n v="3"/>
    <n v="2"/>
    <n v="2517"/>
    <n v="0"/>
    <n v="2517"/>
    <n v="0.94599999999999995"/>
    <n v="3569"/>
    <n v="62"/>
    <n v="0.77100000000000002"/>
    <n v="0"/>
    <n v="1.8558E-4"/>
    <n v="0.99980999999999998"/>
    <s v="45.86367358166434"/>
    <s v="78.79020419246065"/>
    <s v="26.312471669168467"/>
    <s v="3.897390654977495"/>
    <n v="772401933"/>
    <x v="0"/>
    <n v="8.1327866000000003E-4"/>
    <x v="0"/>
  </r>
  <r>
    <n v="36"/>
    <n v="1"/>
    <n v="4"/>
    <n v="3"/>
    <n v="2"/>
    <n v="0"/>
    <n v="0"/>
    <n v="36"/>
    <n v="1"/>
    <n v="3"/>
    <n v="3"/>
    <n v="27929"/>
    <n v="1898"/>
    <n v="26031"/>
    <n v="0.72499999999999998"/>
    <n v="14755"/>
    <n v="123"/>
    <n v="0.73199999999999998"/>
    <n v="6.8000000000000005E-2"/>
    <n v="3.0842E-4"/>
    <n v="0.99968999999999997"/>
    <s v="33.84416146759483"/>
    <s v="43.98116544018894"/>
    <s v="30.13061870111973"/>
    <s v="13.49836398560479"/>
    <n v="712180308"/>
    <x v="0"/>
    <n v="3.8573547000000003E-4"/>
    <x v="0"/>
  </r>
  <r>
    <n v="40"/>
    <n v="1"/>
    <n v="4"/>
    <n v="6"/>
    <n v="2"/>
    <n v="2"/>
    <n v="0"/>
    <n v="30"/>
    <n v="4"/>
    <n v="3"/>
    <n v="6"/>
    <n v="18975"/>
    <n v="0"/>
    <n v="18975"/>
    <n v="1.028"/>
    <n v="4803"/>
    <n v="65"/>
    <n v="0.54800000000000004"/>
    <n v="0"/>
    <n v="0.99944999999999995"/>
    <n v="5.5285000000000002E-4"/>
    <s v="61.61994839034028"/>
    <s v="41.46376022473541"/>
    <s v="84.23974550269618"/>
    <s v="12.967495930425976"/>
    <n v="711167808"/>
    <x v="1"/>
    <n v="0.98796010000000001"/>
    <x v="1"/>
  </r>
  <r>
    <n v="41"/>
    <n v="0"/>
    <n v="3"/>
    <n v="2"/>
    <n v="1"/>
    <n v="4"/>
    <n v="0"/>
    <n v="29"/>
    <n v="1"/>
    <n v="1"/>
    <n v="2"/>
    <n v="2890"/>
    <n v="2150"/>
    <n v="740"/>
    <n v="0.65700000000000003"/>
    <n v="4377"/>
    <n v="84"/>
    <n v="0.86699999999999999"/>
    <n v="0.74399999999999999"/>
    <s v="5.7151e-05"/>
    <n v="0.99994000000000005"/>
    <s v="24.663929669961963"/>
    <s v="84.16444422053378"/>
    <s v="189.28139481606613"/>
    <s v="12.98685147615846"/>
    <n v="718001508"/>
    <x v="0"/>
    <n v="3.2101269999999999E-4"/>
    <x v="0"/>
  </r>
  <r>
    <n v="54"/>
    <n v="0"/>
    <n v="2"/>
    <n v="3"/>
    <n v="1"/>
    <n v="5"/>
    <n v="0"/>
    <n v="47"/>
    <n v="2"/>
    <n v="3"/>
    <n v="3"/>
    <n v="1997"/>
    <n v="0"/>
    <n v="1997"/>
    <n v="0.82499999999999996"/>
    <n v="4961"/>
    <n v="82"/>
    <n v="0.78300000000000003"/>
    <n v="0"/>
    <n v="2.9408E-4"/>
    <n v="0.99970999999999999"/>
    <n v="39.973863940281802"/>
    <s v="40.16251278535944"/>
    <s v="90.93061787233012"/>
    <s v="0.4561707410898108"/>
    <n v="764496708"/>
    <x v="0"/>
    <n v="6.9517245999999998E-4"/>
    <x v="0"/>
  </r>
  <r>
    <n v="33"/>
    <n v="1"/>
    <n v="1"/>
    <n v="2"/>
    <n v="1"/>
    <n v="0"/>
    <n v="0"/>
    <n v="21"/>
    <n v="4"/>
    <n v="1"/>
    <n v="3"/>
    <n v="4459"/>
    <n v="1899"/>
    <n v="2560"/>
    <n v="1.349"/>
    <n v="2502"/>
    <n v="48"/>
    <n v="1"/>
    <n v="0.42599999999999999"/>
    <s v="8.6952e-05"/>
    <n v="0.99990999999999997"/>
    <s v="32.439858051169665"/>
    <s v="15.86904470045498"/>
    <s v="42.47157212691878"/>
    <s v="21.276126386282424"/>
    <n v="717348258"/>
    <x v="0"/>
    <n v="1.0481173E-3"/>
    <x v="0"/>
  </r>
  <r>
    <n v="47"/>
    <n v="1"/>
    <n v="3"/>
    <n v="5"/>
    <n v="2"/>
    <n v="2"/>
    <n v="0"/>
    <n v="35"/>
    <n v="2"/>
    <n v="3"/>
    <n v="1"/>
    <n v="14131"/>
    <n v="1333"/>
    <n v="12798"/>
    <n v="0.76700000000000002"/>
    <n v="12779"/>
    <n v="103"/>
    <n v="0.68899999999999995"/>
    <n v="9.4E-2"/>
    <n v="1.1574E-4"/>
    <n v="0.99987999999999999"/>
    <s v="4.355768421793061"/>
    <s v="32.685308113192974"/>
    <s v="88.35993820070182"/>
    <n v="0.65196306900533296"/>
    <n v="719210133"/>
    <x v="0"/>
    <n v="3.5650693E-4"/>
    <x v="0"/>
  </r>
  <r>
    <n v="46"/>
    <n v="0"/>
    <n v="3"/>
    <n v="1"/>
    <n v="2"/>
    <n v="4"/>
    <n v="0"/>
    <n v="34"/>
    <n v="4"/>
    <n v="3"/>
    <n v="4"/>
    <n v="2258"/>
    <n v="1600"/>
    <n v="658"/>
    <n v="0.60699999999999998"/>
    <n v="4275"/>
    <n v="76"/>
    <n v="0.55100000000000005"/>
    <n v="0.70899999999999996"/>
    <n v="7.7466000000000004E-4"/>
    <n v="0.99922999999999995"/>
    <s v="39.09651059490958"/>
    <s v="23.70401577600181"/>
    <s v="10.074904610658088"/>
    <s v="29.134678696865425"/>
    <n v="713285058"/>
    <x v="0"/>
    <n v="4.1746956E-4"/>
    <x v="0"/>
  </r>
  <r>
    <n v="52"/>
    <n v="1"/>
    <n v="2"/>
    <n v="6"/>
    <n v="1"/>
    <n v="2"/>
    <n v="0"/>
    <n v="36"/>
    <n v="6"/>
    <n v="3"/>
    <n v="4"/>
    <n v="14785"/>
    <n v="1088"/>
    <n v="13697"/>
    <n v="0.96099999999999997"/>
    <n v="4354"/>
    <n v="70"/>
    <n v="0.48899999999999999"/>
    <n v="7.3999999999999996E-2"/>
    <n v="5.6716000000000004E-4"/>
    <n v="0.99943000000000004"/>
    <s v="0.4404125350417465"/>
    <s v="11.51610947206741"/>
    <s v="98.19959595373744"/>
    <s v="3.1866554167723824"/>
    <n v="711305208"/>
    <x v="0"/>
    <n v="4.0684489999999999E-4"/>
    <x v="0"/>
  </r>
  <r>
    <n v="48"/>
    <n v="0"/>
    <n v="3"/>
    <n v="0"/>
    <n v="2"/>
    <n v="4"/>
    <n v="0"/>
    <n v="30"/>
    <n v="4"/>
    <n v="1"/>
    <n v="1"/>
    <n v="2865"/>
    <n v="1523"/>
    <n v="1342"/>
    <n v="0.60499999999999998"/>
    <n v="4609"/>
    <n v="79"/>
    <n v="0.75600000000000001"/>
    <n v="0.53200000000000003"/>
    <s v="3.3508e-05"/>
    <n v="0.99997000000000003"/>
    <s v="33.24650556321443"/>
    <s v="57.04801060462597"/>
    <s v="4.215098560494541"/>
    <s v="16.464867661363744"/>
    <n v="716726058"/>
    <x v="0"/>
    <n v="3.2101269999999999E-4"/>
    <x v="0"/>
  </r>
  <r>
    <n v="42"/>
    <n v="1"/>
    <n v="3"/>
    <n v="3"/>
    <n v="1"/>
    <n v="3"/>
    <n v="0"/>
    <n v="36"/>
    <n v="4"/>
    <n v="3"/>
    <n v="2"/>
    <n v="25944"/>
    <n v="1987"/>
    <n v="23957"/>
    <n v="0.56599999999999995"/>
    <n v="4442"/>
    <n v="76"/>
    <n v="0.76700000000000002"/>
    <n v="7.6999999999999999E-2"/>
    <n v="1.8144999999999999E-4"/>
    <n v="0.99982000000000004"/>
    <s v="46.886846231352415"/>
    <s v="16.638611577351597"/>
    <s v="62.49329559247286"/>
    <s v="0.8483498222183803"/>
    <n v="715502808"/>
    <x v="0"/>
    <n v="3.3885973999999997E-4"/>
    <x v="0"/>
  </r>
  <r>
    <n v="59"/>
    <n v="1"/>
    <n v="0"/>
    <n v="3"/>
    <n v="2"/>
    <n v="3"/>
    <n v="0"/>
    <n v="47"/>
    <n v="5"/>
    <n v="3"/>
    <n v="3"/>
    <n v="26812"/>
    <n v="1491"/>
    <n v="25321"/>
    <n v="0.67900000000000005"/>
    <n v="14838"/>
    <n v="110"/>
    <n v="0.64200000000000002"/>
    <n v="5.6000000000000001E-2"/>
    <n v="2.5237000000000002E-4"/>
    <n v="0.99975000000000003"/>
    <s v="84.84201288272541"/>
    <s v="11.905075646638752"/>
    <s v="11.829386125165875"/>
    <s v="0.6552148992544248"/>
    <n v="720971358"/>
    <x v="0"/>
    <n v="3.9550033E-4"/>
    <x v="0"/>
  </r>
  <r>
    <n v="39"/>
    <n v="0"/>
    <n v="2"/>
    <n v="5"/>
    <n v="1"/>
    <n v="4"/>
    <n v="0"/>
    <n v="26"/>
    <n v="5"/>
    <n v="3"/>
    <n v="2"/>
    <n v="3471"/>
    <n v="2517"/>
    <n v="954"/>
    <n v="0.74299999999999999"/>
    <n v="1771"/>
    <n v="34"/>
    <n v="0.88900000000000001"/>
    <n v="0.72499999999999998"/>
    <n v="1.8494E-4"/>
    <n v="0.99982000000000004"/>
    <s v="3.830532187486121"/>
    <s v="18.88847137588796"/>
    <s v="94.11287329236592"/>
    <s v="23.64884515893729"/>
    <n v="709932558"/>
    <x v="0"/>
    <n v="1.0254878999999999E-3"/>
    <x v="0"/>
  </r>
  <r>
    <n v="53"/>
    <n v="0"/>
    <n v="3"/>
    <n v="2"/>
    <n v="1"/>
    <n v="4"/>
    <n v="0"/>
    <n v="35"/>
    <n v="4"/>
    <n v="3"/>
    <n v="1"/>
    <n v="3390"/>
    <n v="2180"/>
    <n v="1210"/>
    <n v="0.877"/>
    <n v="4585"/>
    <n v="78"/>
    <n v="0.95"/>
    <n v="0.64300000000000002"/>
    <n v="1.1256000000000001E-4"/>
    <n v="0.99988999999999995"/>
    <s v="32.071739137921256"/>
    <s v="5.962849852865966"/>
    <n v="9.7623938140704407"/>
    <s v="6.674715887414609"/>
    <n v="720302883"/>
    <x v="0"/>
    <n v="3.2101269999999999E-4"/>
    <x v="0"/>
  </r>
  <r>
    <n v="45"/>
    <n v="0"/>
    <n v="4"/>
    <n v="5"/>
    <n v="3"/>
    <n v="4"/>
    <n v="3"/>
    <n v="30"/>
    <n v="5"/>
    <n v="2"/>
    <n v="2"/>
    <n v="13131"/>
    <n v="1965"/>
    <n v="11166"/>
    <n v="0.69499999999999995"/>
    <n v="1795"/>
    <n v="37"/>
    <n v="0.48"/>
    <n v="0.15"/>
    <n v="1.109E-4"/>
    <n v="0.99988999999999995"/>
    <s v="18.938665156151103"/>
    <n v="40.118898535184996"/>
    <s v="22.04603436097062"/>
    <n v="1.6937558928494901E-2"/>
    <n v="712589658"/>
    <x v="0"/>
    <n v="1.1982243E-3"/>
    <x v="0"/>
  </r>
  <r>
    <n v="38"/>
    <n v="1"/>
    <n v="2"/>
    <n v="0"/>
    <n v="1"/>
    <n v="3"/>
    <n v="0"/>
    <n v="30"/>
    <n v="2"/>
    <n v="3"/>
    <n v="2"/>
    <n v="3735"/>
    <n v="1421"/>
    <n v="2314"/>
    <n v="0.56999999999999995"/>
    <n v="1837"/>
    <n v="47"/>
    <n v="0.74099999999999999"/>
    <n v="0.38"/>
    <n v="1.7488000000000001E-4"/>
    <n v="0.99983"/>
    <s v="40.179708629404175"/>
    <s v="47.56669859766246"/>
    <s v="17.050434966089867"/>
    <n v="4.6114297379554401"/>
    <n v="710092683"/>
    <x v="0"/>
    <n v="1.2742224999999999E-3"/>
    <x v="0"/>
  </r>
  <r>
    <n v="44"/>
    <n v="0"/>
    <n v="3"/>
    <n v="5"/>
    <n v="2"/>
    <n v="5"/>
    <n v="0"/>
    <n v="31"/>
    <n v="4"/>
    <n v="2"/>
    <n v="3"/>
    <n v="18056"/>
    <n v="940"/>
    <n v="17116"/>
    <n v="0.629"/>
    <n v="4473"/>
    <n v="72"/>
    <n v="0.6"/>
    <n v="5.1999999999999998E-2"/>
    <n v="2.0424000000000001E-4"/>
    <n v="0.99980000000000002"/>
    <n v="38.926797011549901"/>
    <s v="23.299570549290703"/>
    <s v="64.60918817882909"/>
    <s v="1.3252492738206945"/>
    <n v="720182658"/>
    <x v="0"/>
    <n v="4.5103451999999999E-4"/>
    <x v="0"/>
  </r>
  <r>
    <n v="40"/>
    <n v="1"/>
    <n v="4"/>
    <n v="3"/>
    <n v="1"/>
    <n v="3"/>
    <n v="0"/>
    <n v="21"/>
    <n v="3"/>
    <n v="2"/>
    <n v="3"/>
    <n v="11502"/>
    <n v="2066"/>
    <n v="9436"/>
    <n v="0.88900000000000001"/>
    <n v="4786"/>
    <n v="85"/>
    <n v="1.125"/>
    <n v="0.18"/>
    <n v="1.9516999999999999E-4"/>
    <n v="0.99980000000000002"/>
    <s v="56.005555361152446"/>
    <s v="30.195093964264533"/>
    <s v="9.686603232494877"/>
    <s v="3.766213122682974"/>
    <n v="708960858"/>
    <x v="0"/>
    <n v="3.3750932000000002E-4"/>
    <x v="0"/>
  </r>
  <r>
    <n v="38"/>
    <n v="1"/>
    <n v="2"/>
    <n v="3"/>
    <n v="1"/>
    <n v="3"/>
    <n v="0"/>
    <n v="36"/>
    <n v="5"/>
    <n v="3"/>
    <n v="3"/>
    <n v="2407"/>
    <n v="843"/>
    <n v="1564"/>
    <n v="1.008"/>
    <n v="1470"/>
    <n v="28"/>
    <n v="0.4"/>
    <n v="0.35"/>
    <n v="2.9408E-4"/>
    <n v="0.99970999999999999"/>
    <s v="37.02578698840022"/>
    <s v="16.62064763112418"/>
    <s v="11.071239187685045"/>
    <s v="0.2783871163215028"/>
    <n v="715884858"/>
    <x v="0"/>
    <n v="1.8868185999999999E-3"/>
    <x v="0"/>
  </r>
  <r>
    <n v="38"/>
    <n v="0"/>
    <n v="4"/>
    <n v="5"/>
    <n v="2"/>
    <n v="4"/>
    <n v="0"/>
    <n v="30"/>
    <n v="4"/>
    <n v="1"/>
    <n v="0"/>
    <n v="2569"/>
    <n v="1605"/>
    <n v="964"/>
    <n v="0.57399999999999995"/>
    <n v="1190"/>
    <n v="46"/>
    <n v="0.64300000000000002"/>
    <n v="0.625"/>
    <s v="2.1907e-05"/>
    <n v="0.99997999999999998"/>
    <s v="41.97412891642385"/>
    <s v="47.10356084343711"/>
    <s v="62.97653424438347"/>
    <s v="0.4445273563788541"/>
    <n v="711985833"/>
    <x v="0"/>
    <n v="1.0598798E-3"/>
    <x v="0"/>
  </r>
  <r>
    <n v="36"/>
    <n v="0"/>
    <n v="0"/>
    <n v="0"/>
    <n v="3"/>
    <n v="5"/>
    <n v="0"/>
    <n v="26"/>
    <n v="5"/>
    <n v="3"/>
    <n v="3"/>
    <n v="4692"/>
    <n v="0"/>
    <n v="4692"/>
    <n v="0.83699999999999997"/>
    <n v="4281"/>
    <n v="69"/>
    <n v="0.64300000000000002"/>
    <n v="0"/>
    <n v="2.5239000000000001E-4"/>
    <n v="0.99975000000000003"/>
    <s v="29.294113001213987"/>
    <s v="42.84783942769014"/>
    <s v="47.999162413605895"/>
    <n v="13.0794332811406"/>
    <n v="714771708"/>
    <x v="0"/>
    <n v="7.686247E-4"/>
    <x v="0"/>
  </r>
  <r>
    <n v="50"/>
    <n v="1"/>
    <n v="2"/>
    <n v="2"/>
    <n v="2"/>
    <n v="3"/>
    <n v="0"/>
    <n v="35"/>
    <n v="3"/>
    <n v="3"/>
    <n v="1"/>
    <n v="2514"/>
    <n v="1521"/>
    <n v="993"/>
    <n v="0.63800000000000001"/>
    <n v="1636"/>
    <n v="36"/>
    <n v="0.38500000000000001"/>
    <n v="0.60499999999999998"/>
    <n v="1.0848E-4"/>
    <n v="0.99988999999999995"/>
    <s v="83.33188066655664"/>
    <s v="69.98492086991612"/>
    <s v="6.023138913373356"/>
    <s v="1.4525606295621456"/>
    <n v="719648358"/>
    <x v="0"/>
    <n v="1.232702E-3"/>
    <x v="0"/>
  </r>
  <r>
    <n v="45"/>
    <n v="1"/>
    <n v="3"/>
    <n v="4"/>
    <n v="1"/>
    <n v="3"/>
    <n v="0"/>
    <n v="39"/>
    <n v="6"/>
    <n v="2"/>
    <n v="2"/>
    <n v="29003"/>
    <n v="2323"/>
    <n v="26680"/>
    <n v="0.67100000000000004"/>
    <n v="1676"/>
    <n v="36"/>
    <n v="0.71399999999999997"/>
    <n v="0.08"/>
    <n v="1.3897000000000001E-4"/>
    <n v="0.99985999999999997"/>
    <n v="4.5878933633469003"/>
    <s v="13.674274511449392"/>
    <s v="59.13461494296189"/>
    <s v="16.057016674314898"/>
    <n v="769063308"/>
    <x v="0"/>
    <n v="1.0911548000000001E-3"/>
    <x v="0"/>
  </r>
  <r>
    <n v="53"/>
    <n v="1"/>
    <n v="4"/>
    <n v="0"/>
    <n v="3"/>
    <n v="2"/>
    <n v="0"/>
    <n v="44"/>
    <n v="5"/>
    <n v="3"/>
    <n v="1"/>
    <n v="7026"/>
    <n v="1728"/>
    <n v="5298"/>
    <n v="0.66900000000000004"/>
    <n v="3935"/>
    <n v="66"/>
    <n v="1"/>
    <n v="0.246"/>
    <n v="1.1061E-4"/>
    <n v="0.99988999999999995"/>
    <s v="17.36014804960138"/>
    <s v="72.74181098244021"/>
    <s v="100.98404544170305"/>
    <s v="6.688768557743942"/>
    <n v="716204883"/>
    <x v="0"/>
    <n v="3.2101269999999999E-4"/>
    <x v="0"/>
  </r>
  <r>
    <n v="46"/>
    <n v="0"/>
    <n v="5"/>
    <n v="2"/>
    <n v="3"/>
    <n v="5"/>
    <n v="0"/>
    <n v="36"/>
    <n v="2"/>
    <n v="3"/>
    <n v="1"/>
    <n v="5496"/>
    <n v="1816"/>
    <n v="3680"/>
    <n v="0.67800000000000005"/>
    <n v="7985"/>
    <n v="93"/>
    <n v="0.60299999999999998"/>
    <n v="0.33"/>
    <n v="1.1199E-4"/>
    <n v="0.99988999999999995"/>
    <s v="32.81292227900636"/>
    <n v="23.620804931588701"/>
    <s v="34.94270945293645"/>
    <n v="10.2314211132488"/>
    <n v="716098683"/>
    <x v="0"/>
    <n v="3.7789578000000003E-4"/>
    <x v="0"/>
  </r>
  <r>
    <n v="40"/>
    <n v="0"/>
    <n v="2"/>
    <n v="2"/>
    <n v="1"/>
    <n v="4"/>
    <n v="0"/>
    <n v="35"/>
    <n v="3"/>
    <n v="1"/>
    <n v="3"/>
    <n v="3511"/>
    <n v="0"/>
    <n v="3511"/>
    <n v="0.75800000000000001"/>
    <n v="5238"/>
    <n v="82"/>
    <n v="0.70799999999999996"/>
    <n v="0"/>
    <s v="9.2637e-05"/>
    <n v="0.99990999999999997"/>
    <s v="24.182290532011184"/>
    <s v="2.848376649249294"/>
    <s v="70.59945650940077"/>
    <s v="10.60995603782829"/>
    <n v="809068983"/>
    <x v="0"/>
    <n v="6.9517245999999998E-4"/>
    <x v="0"/>
  </r>
  <r>
    <n v="44"/>
    <n v="0"/>
    <n v="4"/>
    <n v="3"/>
    <n v="2"/>
    <n v="5"/>
    <n v="0"/>
    <n v="37"/>
    <n v="3"/>
    <n v="3"/>
    <n v="3"/>
    <n v="7632"/>
    <n v="0"/>
    <n v="7632"/>
    <n v="0.55700000000000005"/>
    <n v="4498"/>
    <n v="86"/>
    <n v="0.623"/>
    <n v="0"/>
    <n v="3.0842E-4"/>
    <n v="0.99968999999999997"/>
    <s v="18.40621936177877"/>
    <s v="51.61784754447615"/>
    <s v="76.49870041027087"/>
    <s v="4.6881460307007154"/>
    <n v="710311233"/>
    <x v="0"/>
    <n v="7.1276520000000004E-4"/>
    <x v="0"/>
  </r>
  <r>
    <n v="58"/>
    <n v="0"/>
    <n v="3"/>
    <n v="2"/>
    <n v="1"/>
    <n v="4"/>
    <n v="0"/>
    <n v="36"/>
    <n v="2"/>
    <n v="2"/>
    <n v="2"/>
    <n v="5023"/>
    <n v="1857"/>
    <n v="3166"/>
    <n v="0.63100000000000001"/>
    <n v="14111"/>
    <n v="98"/>
    <n v="0.69"/>
    <n v="0.37"/>
    <n v="1.1811000000000001E-4"/>
    <n v="0.99987999999999999"/>
    <n v="38.911558910504802"/>
    <s v="13.763323446176958"/>
    <s v="131.80198181651198"/>
    <s v="0.2613158449394274"/>
    <n v="711566208"/>
    <x v="0"/>
    <n v="3.4656386999999997E-4"/>
    <x v="0"/>
  </r>
  <r>
    <n v="38"/>
    <n v="1"/>
    <n v="2"/>
    <n v="6"/>
    <n v="1"/>
    <n v="1"/>
    <n v="0"/>
    <n v="31"/>
    <n v="3"/>
    <n v="2"/>
    <n v="2"/>
    <n v="2919"/>
    <n v="2192"/>
    <n v="727"/>
    <n v="1.073"/>
    <n v="2399"/>
    <n v="57"/>
    <n v="0.96599999999999997"/>
    <n v="0.751"/>
    <n v="1.2511E-4"/>
    <n v="0.99987000000000004"/>
    <s v="27.02189706227625"/>
    <s v="57.69760500125208"/>
    <s v="67.57690958399702"/>
    <s v="26.62530366176984"/>
    <n v="711199008"/>
    <x v="0"/>
    <n v="4.6186798000000002E-4"/>
    <x v="0"/>
  </r>
  <r>
    <n v="38"/>
    <n v="0"/>
    <n v="3"/>
    <n v="1"/>
    <n v="2"/>
    <n v="5"/>
    <n v="0"/>
    <n v="32"/>
    <n v="6"/>
    <n v="4"/>
    <n v="4"/>
    <n v="3072"/>
    <n v="1970"/>
    <n v="1102"/>
    <n v="0.67100000000000004"/>
    <n v="4245"/>
    <n v="82"/>
    <n v="0.95199999999999996"/>
    <n v="0.64100000000000001"/>
    <n v="9.3607E-4"/>
    <n v="0.99905999999999995"/>
    <s v="4.274985316372753"/>
    <s v="9.093495115050688"/>
    <n v="107.12379679868801"/>
    <s v="17.31332494558785"/>
    <n v="715059258"/>
    <x v="0"/>
    <n v="3.0703943000000001E-2"/>
    <x v="0"/>
  </r>
  <r>
    <n v="58"/>
    <n v="0"/>
    <n v="2"/>
    <n v="3"/>
    <n v="1"/>
    <n v="1"/>
    <n v="0"/>
    <n v="53"/>
    <n v="4"/>
    <n v="2"/>
    <n v="3"/>
    <n v="2642"/>
    <n v="1249"/>
    <n v="1393"/>
    <n v="0.68200000000000005"/>
    <n v="4897"/>
    <n v="81"/>
    <n v="0.72299999999999998"/>
    <n v="0.47299999999999998"/>
    <n v="1.861E-4"/>
    <n v="0.99980999999999998"/>
    <s v="14.855039531197034"/>
    <s v="15.320604014076023"/>
    <n v="84.209152554146101"/>
    <s v="2.4961362711281683"/>
    <n v="811713408"/>
    <x v="0"/>
    <n v="3.2101269999999999E-4"/>
    <x v="0"/>
  </r>
  <r>
    <n v="55"/>
    <n v="0"/>
    <n v="1"/>
    <n v="6"/>
    <n v="1"/>
    <n v="4"/>
    <n v="0"/>
    <n v="50"/>
    <n v="5"/>
    <n v="3"/>
    <n v="4"/>
    <n v="3566"/>
    <n v="1401"/>
    <n v="2165"/>
    <n v="0.90300000000000002"/>
    <n v="2425"/>
    <n v="54"/>
    <n v="0.8"/>
    <n v="0.39300000000000002"/>
    <n v="5.3237E-4"/>
    <n v="0.99946999999999997"/>
    <s v="16.226529495966314"/>
    <s v="37.65098790782056"/>
    <s v="104.79597147093624"/>
    <s v="17.78075963764715"/>
    <n v="812801958"/>
    <x v="0"/>
    <n v="6.2634400000000003E-4"/>
    <x v="0"/>
  </r>
  <r>
    <n v="62"/>
    <n v="0"/>
    <n v="0"/>
    <n v="3"/>
    <n v="1"/>
    <n v="1"/>
    <n v="0"/>
    <n v="52"/>
    <n v="5"/>
    <n v="2"/>
    <n v="3"/>
    <n v="2052"/>
    <n v="1250"/>
    <n v="802"/>
    <n v="0.72799999999999998"/>
    <n v="1208"/>
    <n v="31"/>
    <n v="0.63200000000000001"/>
    <n v="0.60899999999999999"/>
    <n v="1.5970000000000001E-4"/>
    <n v="0.99983999999999995"/>
    <s v="13.84965748612478"/>
    <s v="35.40276977743081"/>
    <s v="16.44624685739105"/>
    <s v="1.0820836327130117"/>
    <n v="712270158"/>
    <x v="0"/>
    <n v="1.0598798E-3"/>
    <x v="0"/>
  </r>
  <r>
    <n v="52"/>
    <n v="1"/>
    <n v="3"/>
    <n v="4"/>
    <n v="0"/>
    <n v="2"/>
    <n v="0"/>
    <n v="33"/>
    <n v="5"/>
    <n v="3"/>
    <n v="2"/>
    <n v="3388"/>
    <n v="2517"/>
    <n v="871"/>
    <n v="0.91900000000000004"/>
    <n v="15313"/>
    <n v="91"/>
    <n v="0.78400000000000003"/>
    <n v="0.74299999999999999"/>
    <n v="2.1961999999999999E-4"/>
    <n v="0.99978"/>
    <s v="15.004089209134754"/>
    <s v="2.394823699591243"/>
    <s v="31.706805397229573"/>
    <n v="11.9546531938865"/>
    <n v="713293983"/>
    <x v="0"/>
    <n v="3.758384E-4"/>
    <x v="0"/>
  </r>
  <r>
    <n v="47"/>
    <n v="0"/>
    <n v="4"/>
    <n v="2"/>
    <n v="1"/>
    <n v="4"/>
    <n v="0"/>
    <n v="37"/>
    <n v="3"/>
    <n v="1"/>
    <n v="3"/>
    <n v="2447"/>
    <n v="1973"/>
    <n v="474"/>
    <n v="0.47599999999999998"/>
    <n v="4784"/>
    <n v="75"/>
    <n v="0.56200000000000006"/>
    <n v="0.80600000000000005"/>
    <s v="9.7154e-05"/>
    <n v="0.99990000000000001"/>
    <s v="15.602488879052451"/>
    <s v="10.27923427772992"/>
    <s v="55.805678508322025"/>
    <s v="7.757310765868054"/>
    <n v="711751533"/>
    <x v="0"/>
    <n v="3.2914013999999999E-4"/>
    <x v="0"/>
  </r>
  <r>
    <n v="34"/>
    <n v="0"/>
    <n v="3"/>
    <n v="2"/>
    <n v="2"/>
    <n v="5"/>
    <n v="0"/>
    <n v="19"/>
    <n v="6"/>
    <n v="1"/>
    <n v="2"/>
    <n v="7531"/>
    <n v="0"/>
    <n v="7531"/>
    <n v="1.0069999999999999"/>
    <n v="3833"/>
    <n v="71"/>
    <n v="0.57799999999999996"/>
    <n v="0"/>
    <s v="5.7151e-05"/>
    <n v="0.99994000000000005"/>
    <s v="18.28011118822064"/>
    <s v="26.82577872653132"/>
    <s v="74.43063412073492"/>
    <s v="2.1349934389068643"/>
    <n v="709837308"/>
    <x v="0"/>
    <n v="8.3752749999999997E-4"/>
    <x v="0"/>
  </r>
  <r>
    <n v="53"/>
    <n v="1"/>
    <n v="1"/>
    <n v="2"/>
    <n v="2"/>
    <n v="3"/>
    <n v="0"/>
    <n v="47"/>
    <n v="1"/>
    <n v="1"/>
    <n v="2"/>
    <n v="34516"/>
    <n v="1583"/>
    <n v="32933"/>
    <n v="0.63100000000000001"/>
    <n v="12906"/>
    <n v="100"/>
    <n v="0.63900000000000001"/>
    <n v="4.5999999999999999E-2"/>
    <s v="5.1697e-05"/>
    <n v="0.99995000000000001"/>
    <s v="41.60456731525824"/>
    <s v="23.421471824004136"/>
    <s v="40.69007403350261"/>
    <s v="8.738985185323005"/>
    <n v="710374008"/>
    <x v="0"/>
    <n v="3.9550033E-4"/>
    <x v="0"/>
  </r>
  <r>
    <n v="58"/>
    <n v="1"/>
    <n v="2"/>
    <n v="2"/>
    <n v="1"/>
    <n v="1"/>
    <n v="0"/>
    <n v="48"/>
    <n v="2"/>
    <n v="3"/>
    <n v="3"/>
    <n v="4085"/>
    <n v="2238"/>
    <n v="1847"/>
    <n v="0.56799999999999995"/>
    <n v="596"/>
    <n v="15"/>
    <n v="0.5"/>
    <n v="0.54800000000000004"/>
    <n v="0.99670999999999998"/>
    <n v="3.29379E-3"/>
    <n v="2.4446894211092598"/>
    <s v="1.1746992476035474"/>
    <s v="110.41089900784132"/>
    <s v="3.6533151172706777"/>
    <n v="713530833"/>
    <x v="1"/>
    <n v="0.99609654999999997"/>
    <x v="1"/>
  </r>
  <r>
    <n v="29"/>
    <n v="1"/>
    <n v="2"/>
    <n v="0"/>
    <n v="1"/>
    <n v="1"/>
    <n v="0"/>
    <n v="17"/>
    <n v="3"/>
    <n v="1"/>
    <n v="3"/>
    <n v="4626"/>
    <n v="1232"/>
    <n v="3394"/>
    <n v="0.73099999999999998"/>
    <n v="14740"/>
    <n v="102"/>
    <n v="0.75900000000000001"/>
    <n v="0.26600000000000001"/>
    <s v="9.0064e-05"/>
    <n v="0.99990999999999997"/>
    <s v="8.949881585078943"/>
    <s v="43.63950159969846"/>
    <s v="69.07529141944634"/>
    <s v="5.326785391984295"/>
    <n v="721210158"/>
    <x v="0"/>
    <n v="3.4656386999999997E-4"/>
    <x v="0"/>
  </r>
  <r>
    <n v="42"/>
    <n v="1"/>
    <n v="4"/>
    <n v="5"/>
    <n v="1"/>
    <n v="1"/>
    <n v="0"/>
    <n v="38"/>
    <n v="1"/>
    <n v="4"/>
    <n v="1"/>
    <n v="2444"/>
    <n v="0"/>
    <n v="2444"/>
    <n v="0.78800000000000003"/>
    <n v="4220"/>
    <n v="50"/>
    <n v="1.1739999999999999"/>
    <n v="0"/>
    <n v="1.4137000000000001E-4"/>
    <n v="0.99985999999999997"/>
    <s v="11.77305953997751"/>
    <s v="76.13812713797279"/>
    <s v="12.27842505787013"/>
    <n v="4.3305000793289201"/>
    <n v="823629333"/>
    <x v="0"/>
    <n v="2.3870332999999999E-3"/>
    <x v="0"/>
  </r>
  <r>
    <n v="56"/>
    <n v="1"/>
    <n v="4"/>
    <n v="2"/>
    <n v="2"/>
    <n v="3"/>
    <n v="0"/>
    <n v="36"/>
    <n v="5"/>
    <n v="3"/>
    <n v="2"/>
    <n v="2078"/>
    <n v="1696"/>
    <n v="382"/>
    <n v="0.56200000000000006"/>
    <n v="4382"/>
    <n v="82"/>
    <n v="0.78300000000000003"/>
    <n v="0.81599999999999995"/>
    <n v="1.8864000000000001E-4"/>
    <n v="0.99980999999999998"/>
    <s v="1.6100024972261435"/>
    <n v="26.2541149073021"/>
    <s v="52.51464502162911"/>
    <s v="2.776913573425827"/>
    <n v="714990633"/>
    <x v="0"/>
    <n v="3.2101269999999999E-4"/>
    <x v="0"/>
  </r>
  <r>
    <n v="42"/>
    <n v="1"/>
    <n v="3"/>
    <n v="2"/>
    <n v="1"/>
    <n v="1"/>
    <n v="0"/>
    <n v="23"/>
    <n v="5"/>
    <n v="3"/>
    <n v="2"/>
    <n v="5791"/>
    <n v="2517"/>
    <n v="3274"/>
    <n v="0.69"/>
    <n v="2516"/>
    <n v="64"/>
    <n v="0.64100000000000001"/>
    <n v="0.435"/>
    <n v="0.99467000000000005"/>
    <n v="5.3299999999999997E-3"/>
    <s v="9.107753547823318"/>
    <n v="2.90942397357446"/>
    <s v="69.86529435361702"/>
    <s v="10.474231412555453"/>
    <n v="711389358"/>
    <x v="1"/>
    <n v="0.98618870000000003"/>
    <x v="1"/>
  </r>
  <r>
    <n v="61"/>
    <n v="1"/>
    <n v="0"/>
    <n v="2"/>
    <n v="1"/>
    <n v="1"/>
    <n v="0"/>
    <n v="52"/>
    <n v="3"/>
    <n v="1"/>
    <n v="2"/>
    <n v="2939"/>
    <n v="1999"/>
    <n v="940"/>
    <n v="2.145"/>
    <n v="2434"/>
    <n v="33"/>
    <n v="1.538"/>
    <n v="0.68"/>
    <s v="4.7263e-05"/>
    <n v="0.99995000000000001"/>
    <s v="18.03538640353867"/>
    <s v="9.046690742554564"/>
    <s v="51.527736894445766"/>
    <s v="6.831518738684537"/>
    <n v="715085733"/>
    <x v="0"/>
    <n v="1.088328E-3"/>
    <x v="0"/>
  </r>
  <r>
    <n v="49"/>
    <n v="0"/>
    <n v="2"/>
    <n v="6"/>
    <n v="2"/>
    <n v="5"/>
    <n v="0"/>
    <n v="41"/>
    <n v="5"/>
    <n v="3"/>
    <n v="4"/>
    <n v="5984"/>
    <n v="0"/>
    <n v="5984"/>
    <n v="0.55100000000000005"/>
    <n v="1838"/>
    <n v="42"/>
    <n v="0.55600000000000005"/>
    <n v="0"/>
    <n v="0.99824000000000002"/>
    <n v="1.7590699999999999E-3"/>
    <s v="20.50115128067853"/>
    <s v="24.59907087557441"/>
    <s v="51.04485080394001"/>
    <s v="18.85260634204162"/>
    <n v="738627708"/>
    <x v="1"/>
    <n v="0.99815830000000005"/>
    <x v="1"/>
  </r>
  <r>
    <n v="36"/>
    <n v="1"/>
    <n v="3"/>
    <n v="5"/>
    <n v="1"/>
    <n v="3"/>
    <n v="0"/>
    <n v="31"/>
    <n v="3"/>
    <n v="3"/>
    <n v="5"/>
    <n v="12893"/>
    <n v="1620"/>
    <n v="11273"/>
    <n v="0.57599999999999996"/>
    <n v="2300"/>
    <n v="60"/>
    <n v="0.46300000000000002"/>
    <n v="0.126"/>
    <n v="9.5231000000000005E-4"/>
    <n v="0.99904999999999999"/>
    <s v="4.118870423388967"/>
    <s v="47.07661884465535"/>
    <s v="20.238558203798856"/>
    <s v="23.13030705921777"/>
    <n v="809818008"/>
    <x v="0"/>
    <n v="3.6477572999999999E-2"/>
    <x v="0"/>
  </r>
  <r>
    <n v="58"/>
    <n v="0"/>
    <n v="0"/>
    <n v="5"/>
    <n v="0"/>
    <n v="4"/>
    <n v="0"/>
    <n v="36"/>
    <n v="3"/>
    <n v="2"/>
    <n v="6"/>
    <n v="9909"/>
    <n v="0"/>
    <n v="9909"/>
    <n v="0.46600000000000003"/>
    <n v="1844"/>
    <n v="41"/>
    <n v="0.64"/>
    <n v="0"/>
    <n v="0.99885999999999997"/>
    <n v="1.1409E-3"/>
    <s v="22.07898374080357"/>
    <s v="53.12869023046141"/>
    <s v="126.1967082470613"/>
    <n v="7.3316587643050797"/>
    <n v="709534083"/>
    <x v="1"/>
    <n v="0.99739193999999998"/>
    <x v="1"/>
  </r>
  <r>
    <n v="46"/>
    <n v="1"/>
    <n v="0"/>
    <n v="2"/>
    <n v="2"/>
    <n v="0"/>
    <n v="0"/>
    <n v="36"/>
    <n v="6"/>
    <n v="2"/>
    <n v="1"/>
    <n v="2692"/>
    <n v="1631"/>
    <n v="1061"/>
    <n v="0.99"/>
    <n v="4619"/>
    <n v="83"/>
    <n v="0.69399999999999995"/>
    <n v="0.60599999999999998"/>
    <s v="5.8902e-05"/>
    <n v="0.99994000000000005"/>
    <s v="16.865103023092544"/>
    <s v="9.779013266983071"/>
    <s v="13.75599942889013"/>
    <n v="35.900711416422098"/>
    <n v="715995933"/>
    <x v="0"/>
    <n v="3.221314E-4"/>
    <x v="0"/>
  </r>
  <r>
    <n v="38"/>
    <n v="1"/>
    <n v="2"/>
    <n v="2"/>
    <n v="1"/>
    <n v="3"/>
    <n v="0"/>
    <n v="36"/>
    <n v="5"/>
    <n v="3"/>
    <n v="4"/>
    <n v="11444"/>
    <n v="1278"/>
    <n v="10166"/>
    <n v="1.31"/>
    <n v="2493"/>
    <n v="44"/>
    <n v="0.91300000000000003"/>
    <n v="0.112"/>
    <n v="5.1599999999999997E-4"/>
    <n v="0.99948000000000004"/>
    <s v="14.162251496001597"/>
    <s v="16.341025893280893"/>
    <s v="93.18911069736409"/>
    <s v="2.023872721365955"/>
    <n v="717769008"/>
    <x v="0"/>
    <n v="1.0481173E-3"/>
    <x v="0"/>
  </r>
  <r>
    <n v="32"/>
    <n v="1"/>
    <n v="1"/>
    <n v="3"/>
    <n v="1"/>
    <n v="4"/>
    <n v="0"/>
    <n v="14"/>
    <n v="4"/>
    <n v="2"/>
    <n v="2"/>
    <n v="3568"/>
    <n v="2175"/>
    <n v="1393"/>
    <n v="1.3680000000000001"/>
    <n v="1913"/>
    <n v="35"/>
    <n v="0.66700000000000004"/>
    <n v="0.61"/>
    <n v="1.0386E-4"/>
    <n v="0.99990000000000001"/>
    <s v="10.810430002853314"/>
    <s v="23.110056971694878"/>
    <s v="58.70256355793666"/>
    <s v="2.5694494467908604"/>
    <n v="715822008"/>
    <x v="0"/>
    <n v="1.0343705999999999E-3"/>
    <x v="0"/>
  </r>
  <r>
    <n v="46"/>
    <n v="0"/>
    <n v="2"/>
    <n v="6"/>
    <n v="1"/>
    <n v="4"/>
    <n v="0"/>
    <n v="41"/>
    <n v="5"/>
    <n v="2"/>
    <n v="3"/>
    <n v="1438.3"/>
    <n v="0"/>
    <n v="1438.3"/>
    <n v="0.69099999999999995"/>
    <n v="3942"/>
    <n v="78"/>
    <n v="1.2290000000000001"/>
    <n v="0"/>
    <n v="2.1042000000000001E-4"/>
    <n v="0.99978999999999996"/>
    <s v="13.754487327482732"/>
    <s v="10.217921324495324"/>
    <s v="59.90036559104137"/>
    <n v="9.4500894194748604"/>
    <n v="806908608"/>
    <x v="0"/>
    <n v="6.9517245999999998E-4"/>
    <x v="0"/>
  </r>
  <r>
    <n v="55"/>
    <n v="0"/>
    <n v="2"/>
    <n v="2"/>
    <n v="0"/>
    <n v="4"/>
    <n v="0"/>
    <n v="49"/>
    <n v="5"/>
    <n v="1"/>
    <n v="4"/>
    <n v="3949"/>
    <n v="2024"/>
    <n v="1925"/>
    <n v="0.66700000000000004"/>
    <n v="3495"/>
    <n v="64"/>
    <n v="0.88200000000000001"/>
    <n v="0.51300000000000001"/>
    <n v="1.5804E-4"/>
    <n v="0.99983999999999995"/>
    <s v="5.441819537029439"/>
    <s v="25.41943117469679"/>
    <s v="18.72533960588389"/>
    <s v="2.2383212879686267"/>
    <n v="802662858"/>
    <x v="0"/>
    <n v="3.3750320000000002E-4"/>
    <x v="0"/>
  </r>
  <r>
    <n v="58"/>
    <n v="0"/>
    <n v="3"/>
    <n v="2"/>
    <n v="1"/>
    <n v="4"/>
    <n v="0"/>
    <n v="48"/>
    <n v="6"/>
    <n v="2"/>
    <n v="3"/>
    <n v="2800"/>
    <n v="1834"/>
    <n v="966"/>
    <n v="0.61499999999999999"/>
    <n v="1571"/>
    <n v="36"/>
    <n v="0.63600000000000001"/>
    <n v="0.65500000000000003"/>
    <n v="1.9864000000000001E-4"/>
    <n v="0.99980000000000002"/>
    <s v="37.94035592199198"/>
    <s v="40.67817840224841"/>
    <s v="100.20423014234146"/>
    <s v="8.154976132994564"/>
    <n v="772643058"/>
    <x v="0"/>
    <n v="1.0598798E-3"/>
    <x v="0"/>
  </r>
  <r>
    <n v="44"/>
    <n v="1"/>
    <n v="3"/>
    <n v="2"/>
    <n v="2"/>
    <n v="2"/>
    <n v="0"/>
    <n v="37"/>
    <n v="5"/>
    <n v="2"/>
    <n v="3"/>
    <n v="1682"/>
    <n v="930"/>
    <n v="752"/>
    <n v="0.90300000000000002"/>
    <n v="3309"/>
    <n v="67"/>
    <n v="1.03"/>
    <n v="0.55300000000000005"/>
    <n v="1.9864000000000001E-4"/>
    <n v="0.99980000000000002"/>
    <s v="20.419635577277397"/>
    <n v="93.779809517153197"/>
    <s v="84.56182531514993"/>
    <s v="21.40809736040813"/>
    <n v="756458508"/>
    <x v="0"/>
    <n v="3.9660546000000002E-4"/>
    <x v="0"/>
  </r>
  <r>
    <n v="40"/>
    <n v="0"/>
    <n v="4"/>
    <n v="3"/>
    <n v="1"/>
    <n v="1"/>
    <n v="0"/>
    <n v="28"/>
    <n v="4"/>
    <n v="1"/>
    <n v="3"/>
    <n v="11494"/>
    <n v="1160"/>
    <n v="10334"/>
    <n v="0.46300000000000002"/>
    <n v="3353"/>
    <n v="86"/>
    <n v="0.59299999999999997"/>
    <n v="0.10100000000000001"/>
    <s v="9.4447e-05"/>
    <n v="0.99990999999999997"/>
    <s v="20.40227179029806"/>
    <s v="86.49560460703603"/>
    <s v="1.6750537793836786"/>
    <s v="21.036500464099102"/>
    <n v="721028283"/>
    <x v="0"/>
    <n v="3.2914013999999999E-4"/>
    <x v="0"/>
  </r>
  <r>
    <n v="49"/>
    <n v="0"/>
    <n v="2"/>
    <n v="2"/>
    <n v="2"/>
    <n v="4"/>
    <n v="0"/>
    <n v="31"/>
    <n v="5"/>
    <n v="1"/>
    <n v="2"/>
    <n v="5456"/>
    <n v="951"/>
    <n v="4505"/>
    <n v="0.73699999999999999"/>
    <n v="1096"/>
    <n v="27"/>
    <n v="0.58799999999999997"/>
    <n v="0.17399999999999999"/>
    <n v="0.98216999999999999"/>
    <n v="1.7829999999999999E-2"/>
    <s v="11.909709311683752"/>
    <s v="22.26783190712749"/>
    <s v="41.62388051563061"/>
    <s v="2.0040447508748684"/>
    <n v="720141408"/>
    <x v="1"/>
    <n v="0.99560404000000002"/>
    <x v="1"/>
  </r>
  <r>
    <n v="52"/>
    <n v="0"/>
    <n v="3"/>
    <n v="5"/>
    <n v="2"/>
    <n v="1"/>
    <n v="0"/>
    <n v="36"/>
    <n v="2"/>
    <n v="3"/>
    <n v="3"/>
    <n v="1915"/>
    <n v="1445"/>
    <n v="470"/>
    <n v="0.374"/>
    <n v="2264"/>
    <n v="39"/>
    <n v="0.56000000000000005"/>
    <n v="0.755"/>
    <n v="0.99690999999999996"/>
    <n v="3.08778E-3"/>
    <s v="49.48155527349852"/>
    <s v="23.22331713218058"/>
    <s v="33.72526944737753"/>
    <s v="25.649933060442656"/>
    <n v="714276408"/>
    <x v="1"/>
    <n v="0.99586039999999998"/>
    <x v="1"/>
  </r>
  <r>
    <n v="36"/>
    <n v="0"/>
    <n v="4"/>
    <n v="5"/>
    <n v="1"/>
    <n v="1"/>
    <n v="0"/>
    <n v="31"/>
    <n v="5"/>
    <n v="2"/>
    <n v="3"/>
    <n v="2517"/>
    <n v="1336"/>
    <n v="1181"/>
    <n v="0.755"/>
    <n v="5211"/>
    <n v="83"/>
    <n v="0.80400000000000005"/>
    <n v="0.53100000000000003"/>
    <n v="2.0642999999999999E-4"/>
    <n v="0.99978999999999996"/>
    <s v="52.74437682977942"/>
    <s v="66.25879279722756"/>
    <s v="53.81451410639184"/>
    <s v="5.161913072962843"/>
    <n v="809092458"/>
    <x v="0"/>
    <n v="3.2101269999999999E-4"/>
    <x v="0"/>
  </r>
  <r>
    <n v="37"/>
    <n v="1"/>
    <n v="1"/>
    <n v="2"/>
    <n v="2"/>
    <n v="3"/>
    <n v="0"/>
    <n v="24"/>
    <n v="6"/>
    <n v="3"/>
    <n v="4"/>
    <n v="11309"/>
    <n v="0"/>
    <n v="11309"/>
    <n v="0.47399999999999998"/>
    <n v="4809"/>
    <n v="71"/>
    <n v="0.47899999999999998"/>
    <n v="0"/>
    <n v="4.8434999999999998E-4"/>
    <n v="0.99951999999999996"/>
    <s v="20.093113235267516"/>
    <s v="27.31748595833989"/>
    <s v="27.021616752068415"/>
    <s v="26.160358168510275"/>
    <n v="718163808"/>
    <x v="0"/>
    <n v="8.3350899999999996E-4"/>
    <x v="0"/>
  </r>
  <r>
    <n v="56"/>
    <n v="1"/>
    <n v="0"/>
    <n v="1"/>
    <n v="2"/>
    <n v="3"/>
    <n v="0"/>
    <n v="47"/>
    <n v="2"/>
    <n v="1"/>
    <n v="2"/>
    <n v="7204"/>
    <n v="0"/>
    <n v="7204"/>
    <n v="0.80300000000000005"/>
    <n v="14042"/>
    <n v="113"/>
    <n v="0.76600000000000001"/>
    <n v="0"/>
    <s v="6.8395e-05"/>
    <n v="0.99992999999999999"/>
    <s v="16.716860826280783"/>
    <s v="5.236647568476794"/>
    <s v="95.34521323538011"/>
    <n v="9.5188103101486803"/>
    <n v="716296833"/>
    <x v="0"/>
    <n v="7.5047980000000002E-4"/>
    <x v="0"/>
  </r>
  <r>
    <n v="50"/>
    <n v="0"/>
    <n v="2"/>
    <n v="2"/>
    <n v="1"/>
    <n v="4"/>
    <n v="0"/>
    <n v="37"/>
    <n v="3"/>
    <n v="2"/>
    <n v="4"/>
    <n v="1963"/>
    <n v="1357"/>
    <n v="606"/>
    <n v="0.68899999999999995"/>
    <n v="1861"/>
    <n v="51"/>
    <n v="0.7"/>
    <n v="0.69099999999999995"/>
    <n v="3.2655999999999999E-4"/>
    <n v="0.99966999999999995"/>
    <s v="44.04101062379247"/>
    <s v="11.89044851788324"/>
    <s v="36.69851808931365"/>
    <s v="5.104487559724181"/>
    <n v="718346658"/>
    <x v="0"/>
    <n v="8.7760119999999995E-4"/>
    <x v="0"/>
  </r>
  <r>
    <n v="46"/>
    <n v="0"/>
    <n v="5"/>
    <n v="2"/>
    <n v="2"/>
    <n v="4"/>
    <n v="0"/>
    <n v="38"/>
    <n v="4"/>
    <n v="5"/>
    <n v="2"/>
    <n v="2799"/>
    <n v="2412"/>
    <n v="387"/>
    <n v="0.877"/>
    <n v="4634"/>
    <n v="91"/>
    <n v="0.75"/>
    <n v="0.86199999999999999"/>
    <n v="2.0740999999999999E-4"/>
    <n v="0.99978999999999996"/>
    <s v="56.23539185553022"/>
    <s v="77.66457207758945"/>
    <s v="87.33316410517183"/>
    <s v="12.17877814839695"/>
    <n v="713985183"/>
    <x v="0"/>
    <n v="3.2101269999999999E-4"/>
    <x v="0"/>
  </r>
  <r>
    <n v="39"/>
    <n v="1"/>
    <n v="2"/>
    <n v="4"/>
    <n v="2"/>
    <n v="1"/>
    <n v="0"/>
    <n v="31"/>
    <n v="6"/>
    <n v="3"/>
    <n v="3"/>
    <n v="3297"/>
    <n v="1761"/>
    <n v="1536"/>
    <n v="0.879"/>
    <n v="15580"/>
    <n v="120"/>
    <n v="0.73899999999999999"/>
    <n v="0.53400000000000003"/>
    <n v="3.5594000000000001E-4"/>
    <n v="0.99963999999999997"/>
    <s v="12.31388556680753"/>
    <s v="11.84227419335712"/>
    <s v="12.058586402770652"/>
    <s v="5.456603475031842"/>
    <n v="721438233"/>
    <x v="0"/>
    <n v="3.4656386999999997E-4"/>
    <x v="0"/>
  </r>
  <r>
    <n v="49"/>
    <n v="1"/>
    <n v="2"/>
    <n v="3"/>
    <n v="1"/>
    <n v="3"/>
    <n v="0"/>
    <n v="38"/>
    <n v="3"/>
    <n v="2"/>
    <n v="4"/>
    <n v="29893"/>
    <n v="0"/>
    <n v="29893"/>
    <n v="0.51900000000000002"/>
    <n v="2063"/>
    <n v="48"/>
    <n v="0.84599999999999997"/>
    <n v="0"/>
    <n v="0.99685999999999997"/>
    <n v="3.1390900000000002E-3"/>
    <s v="11.69256163893069"/>
    <s v="2.066375741257416"/>
    <s v="18.027796435754546"/>
    <s v="10.215959755914616"/>
    <n v="771833433"/>
    <x v="1"/>
    <n v="0.99801624"/>
    <x v="1"/>
  </r>
  <r>
    <n v="29"/>
    <n v="1"/>
    <n v="1"/>
    <n v="2"/>
    <n v="1"/>
    <n v="4"/>
    <n v="0"/>
    <n v="18"/>
    <n v="4"/>
    <n v="1"/>
    <n v="4"/>
    <n v="2710"/>
    <n v="629"/>
    <n v="2081"/>
    <n v="0.77100000000000002"/>
    <n v="1718"/>
    <n v="37"/>
    <n v="0.76200000000000001"/>
    <n v="0.23200000000000001"/>
    <n v="1.4834000000000001E-4"/>
    <n v="0.99985000000000002"/>
    <s v="15.322428162947332"/>
    <s v="45.85059526385263"/>
    <s v="82.00434875820835"/>
    <s v="16.593040595665656"/>
    <n v="717234183"/>
    <x v="0"/>
    <n v="2.1737050000000002E-3"/>
    <x v="0"/>
  </r>
  <r>
    <n v="53"/>
    <n v="0"/>
    <n v="2"/>
    <n v="2"/>
    <n v="2"/>
    <n v="4"/>
    <n v="0"/>
    <n v="43"/>
    <n v="3"/>
    <n v="3"/>
    <n v="4"/>
    <n v="6853"/>
    <n v="1480"/>
    <n v="5373"/>
    <n v="0.51300000000000001"/>
    <n v="2833"/>
    <n v="70"/>
    <n v="0.55600000000000005"/>
    <n v="0.216"/>
    <n v="5.1599999999999997E-4"/>
    <n v="0.99948000000000004"/>
    <s v="2.8807339138277506"/>
    <s v="56.964765547741216"/>
    <s v="106.74899800221236"/>
    <s v="1.1932500045213992"/>
    <n v="780202908"/>
    <x v="0"/>
    <n v="3.9160124000000001E-4"/>
    <x v="0"/>
  </r>
  <r>
    <n v="53"/>
    <n v="0"/>
    <n v="2"/>
    <n v="2"/>
    <n v="1"/>
    <n v="1"/>
    <n v="0"/>
    <n v="45"/>
    <n v="2"/>
    <n v="2"/>
    <n v="2"/>
    <n v="4621"/>
    <n v="913"/>
    <n v="3708"/>
    <n v="0.91700000000000004"/>
    <n v="4952"/>
    <n v="82"/>
    <n v="0.745"/>
    <n v="0.19800000000000001"/>
    <n v="1.1382E-4"/>
    <n v="0.99988999999999995"/>
    <s v="27.13996672975288"/>
    <n v="1.5833672759660501E-2"/>
    <s v="148.05436421548586"/>
    <s v="4.426026214716679"/>
    <n v="716060358"/>
    <x v="0"/>
    <n v="4.3095150000000001E-4"/>
    <x v="0"/>
  </r>
  <r>
    <n v="43"/>
    <n v="1"/>
    <n v="4"/>
    <n v="2"/>
    <n v="1"/>
    <n v="0"/>
    <n v="0"/>
    <n v="31"/>
    <n v="6"/>
    <n v="1"/>
    <n v="3"/>
    <n v="6467"/>
    <n v="1887"/>
    <n v="4580"/>
    <n v="0.442"/>
    <n v="4098"/>
    <n v="61"/>
    <n v="0.60499999999999998"/>
    <n v="0.29199999999999998"/>
    <s v="9.7154e-05"/>
    <n v="0.99990000000000001"/>
    <s v="18.82999941849776"/>
    <s v="29.460164442554586"/>
    <s v="25.38470400600273"/>
    <s v="8.513946502862337"/>
    <n v="720091083"/>
    <x v="0"/>
    <n v="3.5672840999999999E-4"/>
    <x v="0"/>
  </r>
  <r>
    <n v="54"/>
    <n v="0"/>
    <n v="2"/>
    <n v="2"/>
    <n v="1"/>
    <n v="4"/>
    <n v="0"/>
    <n v="45"/>
    <n v="5"/>
    <n v="2"/>
    <n v="4"/>
    <n v="2683"/>
    <n v="1671"/>
    <n v="1012"/>
    <n v="0.78400000000000003"/>
    <n v="1406"/>
    <n v="37"/>
    <n v="0.42299999999999999"/>
    <n v="0.623"/>
    <n v="3.2655999999999999E-4"/>
    <n v="0.99966999999999995"/>
    <s v="37.03362113971997"/>
    <s v="5.298836280909807"/>
    <s v="78.61437909186107"/>
    <s v="7.188925085907685"/>
    <n v="712634133"/>
    <x v="0"/>
    <n v="1.1982243E-3"/>
    <x v="0"/>
  </r>
  <r>
    <n v="54"/>
    <n v="1"/>
    <n v="2"/>
    <n v="0"/>
    <n v="2"/>
    <n v="3"/>
    <n v="0"/>
    <n v="47"/>
    <n v="2"/>
    <n v="2"/>
    <n v="2"/>
    <n v="13769"/>
    <n v="0"/>
    <n v="13769"/>
    <n v="1.0580000000000001"/>
    <n v="4738"/>
    <n v="53"/>
    <n v="0.39500000000000002"/>
    <n v="0"/>
    <n v="0.99104999999999999"/>
    <n v="8.9499999999999996E-3"/>
    <s v="7.605532350831456"/>
    <s v="10.906824966617007"/>
    <s v="30.613041021302585"/>
    <s v="7.408784611013219"/>
    <n v="757667133"/>
    <x v="1"/>
    <n v="0.99778160000000005"/>
    <x v="1"/>
  </r>
  <r>
    <n v="43"/>
    <n v="0"/>
    <n v="2"/>
    <n v="6"/>
    <n v="1"/>
    <n v="4"/>
    <n v="0"/>
    <n v="31"/>
    <n v="6"/>
    <n v="3"/>
    <n v="3"/>
    <n v="2069"/>
    <n v="839"/>
    <n v="1230"/>
    <n v="0.92300000000000004"/>
    <n v="4117"/>
    <n v="70"/>
    <n v="0.70699999999999996"/>
    <n v="0.40600000000000003"/>
    <n v="3.3251E-4"/>
    <n v="0.99966999999999995"/>
    <s v="23.532207785987893"/>
    <n v="51.034015873139403"/>
    <s v="11.66257601983343"/>
    <s v="8.912567879933325"/>
    <n v="789099783"/>
    <x v="0"/>
    <n v="4.913777E-4"/>
    <x v="0"/>
  </r>
  <r>
    <n v="58"/>
    <n v="1"/>
    <n v="1"/>
    <n v="2"/>
    <n v="2"/>
    <n v="3"/>
    <n v="0"/>
    <n v="36"/>
    <n v="6"/>
    <n v="3"/>
    <n v="4"/>
    <n v="22718"/>
    <n v="0"/>
    <n v="22718"/>
    <n v="0.747"/>
    <n v="8100"/>
    <n v="77"/>
    <n v="0.83299999999999996"/>
    <n v="0"/>
    <n v="0.99794000000000005"/>
    <n v="2.05937E-3"/>
    <s v="34.09377243293787"/>
    <s v="47.60294186246092"/>
    <s v="40.96428661951203"/>
    <s v="14.233098384064627"/>
    <n v="712457208"/>
    <x v="1"/>
    <n v="0.99321824000000003"/>
    <x v="1"/>
  </r>
  <r>
    <n v="45"/>
    <n v="0"/>
    <n v="3"/>
    <n v="3"/>
    <n v="2"/>
    <n v="5"/>
    <n v="0"/>
    <n v="36"/>
    <n v="6"/>
    <n v="1"/>
    <n v="2"/>
    <n v="3111"/>
    <n v="1994"/>
    <n v="1117"/>
    <n v="0.753"/>
    <n v="4478"/>
    <n v="56"/>
    <n v="0.69699999999999995"/>
    <n v="0.64100000000000001"/>
    <s v="5.5559e-05"/>
    <n v="0.99994000000000005"/>
    <s v="21.11275163270913"/>
    <s v="38.54870333350916"/>
    <s v="0.6978429185675757"/>
    <s v="4.124792848542305"/>
    <n v="714154533"/>
    <x v="0"/>
    <n v="4.8360816000000002E-4"/>
    <x v="0"/>
  </r>
  <r>
    <n v="49"/>
    <n v="1"/>
    <n v="0"/>
    <n v="6"/>
    <n v="1"/>
    <n v="3"/>
    <n v="0"/>
    <n v="36"/>
    <n v="1"/>
    <n v="2"/>
    <n v="1"/>
    <n v="26882"/>
    <n v="1673"/>
    <n v="25209"/>
    <n v="0.69099999999999995"/>
    <n v="7409"/>
    <n v="89"/>
    <n v="0.53400000000000003"/>
    <n v="6.2E-2"/>
    <s v="6.4745e-05"/>
    <n v="0.99994000000000005"/>
    <s v="6.450336944639028"/>
    <s v="4.085275859146881"/>
    <s v="72.91593100613537"/>
    <s v="25.268547404991736"/>
    <n v="719784708"/>
    <x v="0"/>
    <n v="4.2060707000000003E-4"/>
    <x v="0"/>
  </r>
  <r>
    <n v="40"/>
    <n v="1"/>
    <n v="3"/>
    <n v="2"/>
    <n v="3"/>
    <n v="2"/>
    <n v="0"/>
    <n v="30"/>
    <n v="4"/>
    <n v="2"/>
    <n v="3"/>
    <n v="6391"/>
    <n v="0"/>
    <n v="6391"/>
    <n v="0.63200000000000001"/>
    <n v="2323"/>
    <n v="44"/>
    <n v="0.41899999999999998"/>
    <n v="0"/>
    <n v="0.99499000000000004"/>
    <n v="5.0099999999999997E-3"/>
    <s v="30.66336216680816"/>
    <s v="30.503126840962462"/>
    <s v="82.56921596396585"/>
    <n v="6.4445098160872197E-2"/>
    <n v="708139833"/>
    <x v="1"/>
    <n v="0.99873226999999998"/>
    <x v="1"/>
  </r>
  <r>
    <n v="49"/>
    <n v="1"/>
    <n v="2"/>
    <n v="3"/>
    <n v="3"/>
    <n v="2"/>
    <n v="0"/>
    <n v="42"/>
    <n v="6"/>
    <n v="1"/>
    <n v="2"/>
    <n v="3017"/>
    <n v="786"/>
    <n v="2231"/>
    <n v="1.081"/>
    <n v="1640"/>
    <n v="37"/>
    <n v="0.76200000000000001"/>
    <n v="0.26100000000000001"/>
    <s v="5.3542e-05"/>
    <n v="0.99995000000000001"/>
    <s v="19.260410448552577"/>
    <s v="32.83323312616955"/>
    <s v="60.37685537277972"/>
    <s v="16.089175355623556"/>
    <n v="766429908"/>
    <x v="0"/>
    <n v="1.7474664E-3"/>
    <x v="0"/>
  </r>
  <r>
    <n v="34"/>
    <n v="1"/>
    <n v="0"/>
    <n v="2"/>
    <n v="0"/>
    <n v="3"/>
    <n v="3"/>
    <n v="24"/>
    <n v="1"/>
    <n v="2"/>
    <n v="3"/>
    <n v="34516"/>
    <n v="400"/>
    <n v="34116"/>
    <n v="0.20200000000000001"/>
    <n v="5112"/>
    <n v="49"/>
    <n v="0.25600000000000001"/>
    <n v="1.2E-2"/>
    <n v="0.99331000000000003"/>
    <n v="6.6899999999999998E-3"/>
    <s v="24.386894249418727"/>
    <s v="6.867569693324087"/>
    <s v="26.552753287020057"/>
    <s v="7.889872715968826"/>
    <n v="714145233"/>
    <x v="1"/>
    <n v="0.99821210000000005"/>
    <x v="1"/>
  </r>
  <r>
    <n v="42"/>
    <n v="0"/>
    <n v="3"/>
    <n v="2"/>
    <n v="2"/>
    <n v="1"/>
    <n v="0"/>
    <n v="34"/>
    <n v="1"/>
    <n v="2"/>
    <n v="1"/>
    <n v="1528"/>
    <n v="820"/>
    <n v="708"/>
    <n v="0.90800000000000003"/>
    <n v="5212"/>
    <n v="88"/>
    <n v="0.83299999999999996"/>
    <n v="0.53700000000000003"/>
    <s v="7.1226e-05"/>
    <n v="0.99992999999999999"/>
    <s v="59.17640486129737"/>
    <s v="53.66776873947878"/>
    <s v="8.826956552056899"/>
    <n v="23.082881417342499"/>
    <n v="715644633"/>
    <x v="0"/>
    <n v="5.1208410000000003E-4"/>
    <x v="0"/>
  </r>
  <r>
    <n v="56"/>
    <n v="1"/>
    <n v="4"/>
    <n v="3"/>
    <n v="1"/>
    <n v="2"/>
    <n v="0"/>
    <n v="43"/>
    <n v="6"/>
    <n v="2"/>
    <n v="6"/>
    <n v="4535"/>
    <n v="0"/>
    <n v="4535"/>
    <n v="0.83099999999999996"/>
    <n v="2342"/>
    <n v="40"/>
    <n v="0.6"/>
    <n v="0"/>
    <n v="0.99900999999999995"/>
    <n v="9.875000000000001E-4"/>
    <s v="70.44947755423959"/>
    <s v="42.67764145207317"/>
    <s v="60.11096050333935"/>
    <s v="14.899062696487457"/>
    <n v="719328858"/>
    <x v="1"/>
    <n v="0.99763009999999996"/>
    <x v="1"/>
  </r>
  <r>
    <n v="32"/>
    <n v="0"/>
    <n v="0"/>
    <n v="6"/>
    <n v="0"/>
    <n v="4"/>
    <n v="0"/>
    <n v="36"/>
    <n v="6"/>
    <n v="3"/>
    <n v="3"/>
    <n v="1732"/>
    <n v="0"/>
    <n v="1732"/>
    <n v="0.68300000000000005"/>
    <n v="2479"/>
    <n v="43"/>
    <n v="0.53600000000000003"/>
    <n v="0"/>
    <n v="0.99651000000000001"/>
    <n v="3.4913000000000001E-3"/>
    <s v="17.25031240147499"/>
    <s v="61.50240464582435"/>
    <s v="22.81326511356104"/>
    <n v="8.0524409634380696"/>
    <n v="721406658"/>
    <x v="1"/>
    <n v="0.99873226999999998"/>
    <x v="1"/>
  </r>
  <r>
    <n v="40"/>
    <n v="0"/>
    <n v="1"/>
    <n v="5"/>
    <n v="1"/>
    <n v="4"/>
    <n v="0"/>
    <n v="28"/>
    <n v="5"/>
    <n v="2"/>
    <n v="3"/>
    <n v="3680"/>
    <n v="0"/>
    <n v="3680"/>
    <n v="0.72899999999999998"/>
    <n v="2725"/>
    <n v="41"/>
    <n v="0.57699999999999996"/>
    <n v="0"/>
    <n v="0.99461999999999995"/>
    <n v="5.3800000000000002E-3"/>
    <s v="23.53970127730388"/>
    <s v="22.80952828179147"/>
    <s v="3.005979733576947"/>
    <s v="24.782630483926216"/>
    <n v="714684933"/>
    <x v="1"/>
    <n v="0.99869054999999995"/>
    <x v="1"/>
  </r>
  <r>
    <n v="52"/>
    <n v="0"/>
    <n v="1"/>
    <n v="5"/>
    <n v="1"/>
    <n v="1"/>
    <n v="0"/>
    <n v="47"/>
    <n v="6"/>
    <n v="3"/>
    <n v="3"/>
    <n v="2151"/>
    <n v="1338"/>
    <n v="813"/>
    <n v="0.92600000000000005"/>
    <n v="3446"/>
    <n v="58"/>
    <n v="1"/>
    <n v="0.622"/>
    <n v="2.9196000000000002E-4"/>
    <n v="0.99970999999999999"/>
    <s v="23.556574037605145"/>
    <s v="46.89625387110501"/>
    <s v="67.52778064661584"/>
    <s v="8.494441439317786"/>
    <n v="813261408"/>
    <x v="0"/>
    <n v="3.838057E-4"/>
    <x v="0"/>
  </r>
  <r>
    <n v="47"/>
    <n v="1"/>
    <n v="1"/>
    <n v="3"/>
    <n v="1"/>
    <n v="1"/>
    <n v="0"/>
    <n v="29"/>
    <n v="5"/>
    <n v="3"/>
    <n v="2"/>
    <n v="3291"/>
    <n v="1197"/>
    <n v="2094"/>
    <n v="0.67200000000000004"/>
    <n v="3228"/>
    <n v="82"/>
    <n v="0.70799999999999996"/>
    <n v="0.36399999999999999"/>
    <n v="1.6412999999999999E-4"/>
    <n v="0.99983999999999995"/>
    <s v="20.916423922211816"/>
    <s v="2.457333423564453"/>
    <s v="68.81996042700091"/>
    <s v="11.003371214103415"/>
    <n v="711461658"/>
    <x v="0"/>
    <n v="3.2101269999999999E-4"/>
    <x v="0"/>
  </r>
  <r>
    <n v="50"/>
    <n v="1"/>
    <n v="2"/>
    <n v="6"/>
    <n v="1"/>
    <n v="2"/>
    <n v="0"/>
    <n v="44"/>
    <n v="5"/>
    <n v="3"/>
    <n v="1"/>
    <n v="2205"/>
    <n v="1659"/>
    <n v="546"/>
    <n v="0.89100000000000001"/>
    <n v="4813"/>
    <n v="77"/>
    <n v="0.67400000000000004"/>
    <n v="0.752"/>
    <n v="1.1924E-4"/>
    <n v="0.99987999999999999"/>
    <s v="14.867530626314306"/>
    <s v="14.041952156234624"/>
    <s v="0.4653412208178472"/>
    <s v="8.971390705216807"/>
    <n v="803355408"/>
    <x v="0"/>
    <n v="3.221314E-4"/>
    <x v="0"/>
  </r>
  <r>
    <n v="47"/>
    <n v="0"/>
    <n v="4"/>
    <n v="6"/>
    <n v="2"/>
    <n v="5"/>
    <n v="0"/>
    <n v="34"/>
    <n v="1"/>
    <n v="3"/>
    <n v="2"/>
    <n v="5756"/>
    <n v="860"/>
    <n v="4896"/>
    <n v="0.70799999999999996"/>
    <n v="5298"/>
    <n v="72"/>
    <n v="0.71399999999999997"/>
    <n v="0.14899999999999999"/>
    <n v="2.0735E-4"/>
    <n v="0.99978999999999996"/>
    <s v="12.96183548828531"/>
    <s v="31.504844046507227"/>
    <s v="35.19768328907351"/>
    <s v="16.20119086562251"/>
    <n v="717759783"/>
    <x v="0"/>
    <n v="6.3240799999999999E-4"/>
    <x v="0"/>
  </r>
  <r>
    <n v="40"/>
    <n v="1"/>
    <n v="3"/>
    <n v="3"/>
    <n v="3"/>
    <n v="3"/>
    <n v="0"/>
    <n v="34"/>
    <n v="1"/>
    <n v="3"/>
    <n v="4"/>
    <n v="29715"/>
    <n v="0"/>
    <n v="29715"/>
    <n v="0.39900000000000002"/>
    <n v="2128"/>
    <n v="39"/>
    <n v="0.34499999999999997"/>
    <n v="0"/>
    <n v="0.99807999999999997"/>
    <n v="1.91647E-3"/>
    <s v="8.123797847904079"/>
    <s v="18.17267926167728"/>
    <s v="67.97129322576131"/>
    <s v="5.671270712285612"/>
    <n v="718524783"/>
    <x v="1"/>
    <n v="0.99841880000000005"/>
    <x v="1"/>
  </r>
  <r>
    <n v="46"/>
    <n v="0"/>
    <n v="3"/>
    <n v="2"/>
    <n v="2"/>
    <n v="4"/>
    <n v="0"/>
    <n v="36"/>
    <n v="4"/>
    <n v="2"/>
    <n v="3"/>
    <n v="3138"/>
    <n v="986"/>
    <n v="2152"/>
    <n v="1.002"/>
    <n v="4724"/>
    <n v="56"/>
    <n v="0.80600000000000005"/>
    <n v="0.314"/>
    <n v="0.99499000000000004"/>
    <n v="5.0099999999999997E-3"/>
    <s v="74.11127437177007"/>
    <s v="36.94097414332087"/>
    <s v="9.731997582863636"/>
    <s v="4.169911607182472"/>
    <n v="716329383"/>
    <x v="1"/>
    <n v="0.98783989999999999"/>
    <x v="1"/>
  </r>
  <r>
    <n v="45"/>
    <n v="0"/>
    <n v="3"/>
    <n v="2"/>
    <n v="2"/>
    <n v="5"/>
    <n v="0"/>
    <n v="36"/>
    <n v="3"/>
    <n v="3"/>
    <n v="4"/>
    <n v="11189"/>
    <n v="2517"/>
    <n v="8672"/>
    <n v="2.0409999999999999"/>
    <n v="2959"/>
    <n v="58"/>
    <n v="1.2310000000000001"/>
    <n v="0.22500000000000001"/>
    <n v="5.3543000000000004E-4"/>
    <n v="0.99946000000000002"/>
    <s v="28.040554401753017"/>
    <s v="14.28639661719763"/>
    <s v="34.584081511188096"/>
    <s v="9.900823351037385"/>
    <n v="789920883"/>
    <x v="0"/>
    <n v="4.6636745999999998E-4"/>
    <x v="0"/>
  </r>
  <r>
    <n v="39"/>
    <n v="0"/>
    <n v="2"/>
    <n v="6"/>
    <n v="2"/>
    <n v="5"/>
    <n v="0"/>
    <n v="28"/>
    <n v="6"/>
    <n v="2"/>
    <n v="2"/>
    <n v="1493"/>
    <n v="792"/>
    <n v="701"/>
    <n v="0.68799999999999994"/>
    <n v="4131"/>
    <n v="80"/>
    <n v="0.70199999999999996"/>
    <n v="0.53"/>
    <n v="1.2511E-4"/>
    <n v="0.99987000000000004"/>
    <s v="42.366734248265786"/>
    <s v="33.004666909593205"/>
    <s v="99.37095555215112"/>
    <s v="3.826648886742353"/>
    <n v="712325433"/>
    <x v="0"/>
    <n v="5.2566850000000003E-4"/>
    <x v="0"/>
  </r>
  <r>
    <n v="41"/>
    <n v="0"/>
    <n v="5"/>
    <n v="6"/>
    <n v="1"/>
    <n v="4"/>
    <n v="0"/>
    <n v="22"/>
    <n v="2"/>
    <n v="1"/>
    <n v="3"/>
    <n v="6739"/>
    <n v="896"/>
    <n v="5843"/>
    <n v="0.76500000000000001"/>
    <n v="15471"/>
    <n v="115"/>
    <n v="0.85499999999999998"/>
    <n v="0.13300000000000001"/>
    <n v="1.0512E-4"/>
    <n v="0.99988999999999995"/>
    <n v="50.012486564742602"/>
    <s v="13.454580592120417"/>
    <s v="1.3938193821413094"/>
    <s v="3.3357385386702667"/>
    <n v="710697408"/>
    <x v="0"/>
    <n v="4.5518312000000002E-4"/>
    <x v="0"/>
  </r>
  <r>
    <n v="46"/>
    <n v="0"/>
    <n v="4"/>
    <n v="2"/>
    <n v="2"/>
    <n v="5"/>
    <n v="0"/>
    <n v="42"/>
    <n v="4"/>
    <n v="0"/>
    <n v="3"/>
    <n v="13376"/>
    <n v="1633"/>
    <n v="11743"/>
    <n v="0.98"/>
    <n v="4515"/>
    <n v="63"/>
    <n v="1.1719999999999999"/>
    <n v="0.122"/>
    <s v="3.595e-05"/>
    <n v="0.99995999999999996"/>
    <s v="19.24991819679249"/>
    <s v="16.329517837089334"/>
    <s v="19.28926805738078"/>
    <s v="5.477032193509008"/>
    <n v="826069983"/>
    <x v="0"/>
    <n v="3.5702356000000003E-4"/>
    <x v="0"/>
  </r>
  <r>
    <n v="48"/>
    <n v="0"/>
    <n v="2"/>
    <n v="2"/>
    <n v="1"/>
    <n v="5"/>
    <n v="0"/>
    <n v="40"/>
    <n v="3"/>
    <n v="2"/>
    <n v="4"/>
    <n v="5104"/>
    <n v="736"/>
    <n v="4368"/>
    <n v="0.67900000000000005"/>
    <n v="3943"/>
    <n v="78"/>
    <n v="0.69599999999999995"/>
    <n v="0.14399999999999999"/>
    <n v="3.2655999999999999E-4"/>
    <n v="0.99966999999999995"/>
    <s v="10.926652763176955"/>
    <s v="82.90494404232199"/>
    <s v="155.65590380655587"/>
    <s v="21.81376938234084"/>
    <n v="716769783"/>
    <x v="0"/>
    <n v="5.4489190000000002E-4"/>
    <x v="0"/>
  </r>
  <r>
    <n v="51"/>
    <n v="0"/>
    <n v="3"/>
    <n v="5"/>
    <n v="2"/>
    <n v="4"/>
    <n v="0"/>
    <n v="36"/>
    <n v="5"/>
    <n v="3"/>
    <n v="3"/>
    <n v="3747"/>
    <n v="2268"/>
    <n v="1479"/>
    <n v="0.70899999999999996"/>
    <n v="4609"/>
    <n v="87"/>
    <n v="0.74"/>
    <n v="0.60499999999999998"/>
    <n v="3.2275000000000001E-4"/>
    <n v="0.99968000000000001"/>
    <s v="27.03926265741655"/>
    <s v="34.340631746449915"/>
    <s v="12.50084488128541"/>
    <s v="2.0939541245571065"/>
    <n v="712176708"/>
    <x v="0"/>
    <n v="3.2101269999999999E-4"/>
    <x v="0"/>
  </r>
  <r>
    <n v="37"/>
    <n v="1"/>
    <n v="2"/>
    <n v="3"/>
    <n v="3"/>
    <n v="0"/>
    <n v="0"/>
    <n v="32"/>
    <n v="6"/>
    <n v="1"/>
    <n v="1"/>
    <n v="34516"/>
    <n v="0"/>
    <n v="34516"/>
    <n v="0.92800000000000005"/>
    <n v="3660"/>
    <n v="59"/>
    <n v="1.107"/>
    <n v="0"/>
    <s v="3.2288e-05"/>
    <n v="0.99997000000000003"/>
    <s v="31.58110718669959"/>
    <n v="91.944116969911605"/>
    <s v="19.736444135578303"/>
    <s v="8.193451485457157"/>
    <n v="806226933"/>
    <x v="0"/>
    <n v="9.9864700000000008E-4"/>
    <x v="0"/>
  </r>
  <r>
    <n v="35"/>
    <n v="0"/>
    <n v="1"/>
    <n v="3"/>
    <n v="1"/>
    <n v="4"/>
    <n v="0"/>
    <n v="28"/>
    <n v="6"/>
    <n v="0"/>
    <n v="2"/>
    <n v="1438.3"/>
    <n v="977"/>
    <n v="461.3"/>
    <n v="1.1890000000000001"/>
    <n v="4840"/>
    <n v="85"/>
    <n v="1.073"/>
    <n v="0.67900000000000005"/>
    <s v="1.8596e-05"/>
    <n v="0.99997999999999998"/>
    <s v="0.9960497491132174"/>
    <s v="4.134925456569492"/>
    <s v="45.95173241845674"/>
    <s v="2.910756461577088"/>
    <n v="789541458"/>
    <x v="0"/>
    <n v="3.8405842E-4"/>
    <x v="0"/>
  </r>
  <r>
    <n v="38"/>
    <n v="0"/>
    <n v="4"/>
    <n v="2"/>
    <n v="1"/>
    <n v="5"/>
    <n v="0"/>
    <n v="28"/>
    <n v="4"/>
    <n v="1"/>
    <n v="2"/>
    <n v="6861"/>
    <n v="1598"/>
    <n v="5263"/>
    <n v="2.1030000000000002"/>
    <n v="2228"/>
    <n v="39"/>
    <n v="0.95"/>
    <n v="0.23300000000000001"/>
    <s v="5.7762e-05"/>
    <n v="0.99994000000000005"/>
    <s v="13.792271839550803"/>
    <s v="46.02906718844114"/>
    <s v="12.177335295219905"/>
    <n v="0.74227881916586202"/>
    <n v="719728383"/>
    <x v="0"/>
    <n v="1.0481173E-3"/>
    <x v="0"/>
  </r>
  <r>
    <n v="42"/>
    <n v="0"/>
    <n v="3"/>
    <n v="6"/>
    <n v="1"/>
    <n v="4"/>
    <n v="0"/>
    <n v="36"/>
    <n v="2"/>
    <n v="3"/>
    <n v="3"/>
    <n v="2515"/>
    <n v="1453"/>
    <n v="1062"/>
    <n v="0.64900000000000002"/>
    <n v="4025"/>
    <n v="74"/>
    <n v="0.80500000000000005"/>
    <n v="0.57799999999999996"/>
    <n v="3.4503000000000002E-4"/>
    <n v="0.99965000000000004"/>
    <s v="12.184285385480225"/>
    <n v="53.131022107780801"/>
    <s v="0.8406851632282788"/>
    <s v="26.15542176869218"/>
    <n v="799717458"/>
    <x v="0"/>
    <n v="3.2101269999999999E-4"/>
    <x v="0"/>
  </r>
  <r>
    <n v="46"/>
    <n v="1"/>
    <n v="3"/>
    <n v="0"/>
    <n v="2"/>
    <n v="2"/>
    <n v="0"/>
    <n v="36"/>
    <n v="4"/>
    <n v="2"/>
    <n v="3"/>
    <n v="1621"/>
    <n v="787"/>
    <n v="834"/>
    <n v="0.55100000000000005"/>
    <n v="4719"/>
    <n v="73"/>
    <n v="0.73799999999999999"/>
    <n v="0.48599999999999999"/>
    <n v="1.9312999999999999E-4"/>
    <n v="0.99980999999999998"/>
    <s v="7.670353282792457"/>
    <s v="64.23267564117756"/>
    <s v="22.64192120620055"/>
    <s v="20.909952545636152"/>
    <n v="708897408"/>
    <x v="0"/>
    <n v="5.2566850000000003E-4"/>
    <x v="0"/>
  </r>
  <r>
    <n v="61"/>
    <n v="1"/>
    <n v="1"/>
    <n v="3"/>
    <n v="1"/>
    <n v="1"/>
    <n v="0"/>
    <n v="56"/>
    <n v="2"/>
    <n v="2"/>
    <n v="3"/>
    <n v="3193"/>
    <n v="2517"/>
    <n v="676"/>
    <n v="1.831"/>
    <n v="1336"/>
    <n v="30"/>
    <n v="1.143"/>
    <n v="0.78800000000000003"/>
    <n v="1.7468E-4"/>
    <n v="0.99983"/>
    <s v="77.26712903077271"/>
    <s v="19.399151929945557"/>
    <s v="44.32544856279508"/>
    <s v="12.627046108002402"/>
    <n v="806160108"/>
    <x v="0"/>
    <n v="1.2758437000000001E-3"/>
    <x v="0"/>
  </r>
  <r>
    <n v="42"/>
    <n v="1"/>
    <n v="4"/>
    <n v="5"/>
    <n v="2"/>
    <n v="3"/>
    <n v="3"/>
    <n v="36"/>
    <n v="2"/>
    <n v="2"/>
    <n v="1"/>
    <n v="34516"/>
    <n v="2253"/>
    <n v="32263"/>
    <n v="0.85299999999999998"/>
    <n v="7836"/>
    <n v="93"/>
    <n v="0.60299999999999998"/>
    <n v="6.5000000000000002E-2"/>
    <s v="6.6879e-05"/>
    <n v="0.99992999999999999"/>
    <s v="29.273343971633626"/>
    <s v="33.33596935825802"/>
    <s v="109.38524944284846"/>
    <n v="9.0721144677072196"/>
    <n v="712029783"/>
    <x v="0"/>
    <n v="4.2060707000000003E-4"/>
    <x v="0"/>
  </r>
  <r>
    <n v="53"/>
    <n v="1"/>
    <n v="3"/>
    <n v="5"/>
    <n v="1"/>
    <n v="1"/>
    <n v="0"/>
    <n v="40"/>
    <n v="6"/>
    <n v="3"/>
    <n v="3"/>
    <n v="3326"/>
    <n v="1442"/>
    <n v="1884"/>
    <n v="0.71099999999999997"/>
    <n v="1627"/>
    <n v="54"/>
    <n v="1.077"/>
    <n v="0.434"/>
    <n v="3.2275000000000001E-4"/>
    <n v="0.99968000000000001"/>
    <s v="13.498997617793078"/>
    <s v="16.493427446767086"/>
    <s v="57.11260048714405"/>
    <s v="12.771606741566025"/>
    <n v="709583133"/>
    <x v="0"/>
    <n v="5.0029369999999998E-4"/>
    <x v="0"/>
  </r>
  <r>
    <n v="27"/>
    <n v="1"/>
    <n v="0"/>
    <n v="5"/>
    <n v="1"/>
    <n v="1"/>
    <n v="0"/>
    <n v="15"/>
    <n v="4"/>
    <n v="3"/>
    <n v="4"/>
    <n v="3682"/>
    <n v="0"/>
    <n v="3682"/>
    <n v="0.68500000000000005"/>
    <n v="1826"/>
    <n v="35"/>
    <n v="0.75"/>
    <n v="0"/>
    <n v="4.5531E-4"/>
    <n v="0.99953999999999998"/>
    <n v="7.8789232691209303"/>
    <s v="19.901788032870343"/>
    <s v="14.669403969033766"/>
    <s v="0.1505708139672925"/>
    <n v="712187808"/>
    <x v="0"/>
    <n v="3.6896945E-3"/>
    <x v="0"/>
  </r>
  <r>
    <n v="49"/>
    <n v="0"/>
    <n v="5"/>
    <n v="3"/>
    <n v="1"/>
    <n v="1"/>
    <n v="0"/>
    <n v="33"/>
    <n v="6"/>
    <n v="3"/>
    <n v="2"/>
    <n v="2506"/>
    <n v="1549"/>
    <n v="957"/>
    <n v="0.752"/>
    <n v="4747"/>
    <n v="91"/>
    <n v="0.93600000000000005"/>
    <n v="0.61799999999999999"/>
    <n v="1.8053000000000001E-4"/>
    <n v="0.99982000000000004"/>
    <s v="1.568890889484134"/>
    <s v="16.648668579495787"/>
    <s v="5.185671090793721"/>
    <s v="7.796142413663438"/>
    <n v="778372158"/>
    <x v="0"/>
    <n v="3.2101269999999999E-4"/>
    <x v="0"/>
  </r>
  <r>
    <n v="42"/>
    <n v="0"/>
    <n v="1"/>
    <n v="6"/>
    <n v="1"/>
    <n v="4"/>
    <n v="0"/>
    <n v="36"/>
    <n v="3"/>
    <n v="3"/>
    <n v="4"/>
    <n v="2983"/>
    <n v="0"/>
    <n v="2983"/>
    <n v="0.86499999999999999"/>
    <n v="2509"/>
    <n v="46"/>
    <n v="0.58599999999999997"/>
    <n v="0"/>
    <n v="0.99812999999999996"/>
    <n v="1.8738699999999999E-3"/>
    <s v="4.634999231302943"/>
    <s v="17.62842831322515"/>
    <s v="39.73511803181323"/>
    <s v="7.268354532164537"/>
    <n v="719495958"/>
    <x v="1"/>
    <n v="0.99841880000000005"/>
    <x v="1"/>
  </r>
  <r>
    <n v="45"/>
    <n v="0"/>
    <n v="3"/>
    <n v="6"/>
    <n v="1"/>
    <n v="5"/>
    <n v="0"/>
    <n v="28"/>
    <n v="5"/>
    <n v="1"/>
    <n v="2"/>
    <n v="2535"/>
    <n v="2440"/>
    <n v="95"/>
    <n v="1.7050000000000001"/>
    <n v="1312"/>
    <n v="20"/>
    <n v="1.222"/>
    <n v="0.96299999999999997"/>
    <s v="6.282e-05"/>
    <n v="0.99994000000000005"/>
    <s v="38.11924402604418"/>
    <s v="63.03871176611001"/>
    <s v="58.51811878566782"/>
    <s v="4.402183110701204"/>
    <n v="715550508"/>
    <x v="0"/>
    <n v="9.8706899999999992E-4"/>
    <x v="0"/>
  </r>
  <r>
    <n v="40"/>
    <n v="1"/>
    <n v="3"/>
    <n v="1"/>
    <n v="3"/>
    <n v="4"/>
    <n v="0"/>
    <n v="36"/>
    <n v="1"/>
    <n v="1"/>
    <n v="3"/>
    <n v="4587"/>
    <n v="1771"/>
    <n v="2816"/>
    <n v="0.64700000000000002"/>
    <n v="7479"/>
    <n v="83"/>
    <n v="0.69399999999999995"/>
    <n v="0.38600000000000001"/>
    <n v="1.3909999999999999E-4"/>
    <n v="0.99985999999999997"/>
    <s v="0.1927049432764063"/>
    <s v="8.603075492398055"/>
    <s v="14.546838703293586"/>
    <s v="6.654303899475945"/>
    <n v="715037133"/>
    <x v="0"/>
    <n v="3.6856539999999998E-4"/>
    <x v="0"/>
  </r>
  <r>
    <n v="43"/>
    <n v="0"/>
    <n v="3"/>
    <n v="2"/>
    <n v="1"/>
    <n v="1"/>
    <n v="0"/>
    <n v="32"/>
    <n v="4"/>
    <n v="3"/>
    <n v="3"/>
    <n v="2701"/>
    <n v="2498"/>
    <n v="203"/>
    <n v="0.63700000000000001"/>
    <n v="2678"/>
    <n v="37"/>
    <n v="0.60899999999999999"/>
    <n v="0.92500000000000004"/>
    <n v="0.99682999999999999"/>
    <n v="3.1745800000000002E-3"/>
    <s v="29.47285264138744"/>
    <s v="37.85162093158105"/>
    <s v="25.969162675955264"/>
    <s v="15.788802482559417"/>
    <n v="780143283"/>
    <x v="1"/>
    <n v="0.99520399999999998"/>
    <x v="1"/>
  </r>
  <r>
    <n v="44"/>
    <n v="0"/>
    <n v="4"/>
    <n v="2"/>
    <n v="2"/>
    <n v="4"/>
    <n v="0"/>
    <n v="34"/>
    <n v="5"/>
    <n v="1"/>
    <n v="2"/>
    <n v="4214"/>
    <n v="1249"/>
    <n v="2965"/>
    <n v="0.54200000000000004"/>
    <n v="1389"/>
    <n v="34"/>
    <n v="0.47799999999999998"/>
    <n v="0.29599999999999999"/>
    <s v="5.7762e-05"/>
    <n v="0.99994000000000005"/>
    <s v="50.27636048505407"/>
    <s v="63.54032600898249"/>
    <s v="33.24286769583745"/>
    <s v="15.18971594986969"/>
    <n v="714173808"/>
    <x v="0"/>
    <n v="1.1982243E-3"/>
    <x v="0"/>
  </r>
  <r>
    <n v="42"/>
    <n v="1"/>
    <n v="3"/>
    <n v="4"/>
    <n v="3"/>
    <n v="3"/>
    <n v="0"/>
    <n v="37"/>
    <n v="1"/>
    <n v="1"/>
    <n v="3"/>
    <n v="32106"/>
    <n v="0"/>
    <n v="32106"/>
    <n v="0.67800000000000005"/>
    <n v="4452"/>
    <n v="83"/>
    <n v="0.72899999999999998"/>
    <n v="0"/>
    <n v="1.1311000000000001E-4"/>
    <n v="0.99988999999999995"/>
    <s v="6.364825889536332"/>
    <s v="33.89508859215166"/>
    <n v="31.6469111251239"/>
    <s v="21.28478951522968"/>
    <n v="809631483"/>
    <x v="0"/>
    <n v="6.9517245999999998E-4"/>
    <x v="0"/>
  </r>
  <r>
    <n v="36"/>
    <n v="1"/>
    <n v="1"/>
    <n v="5"/>
    <n v="0"/>
    <n v="3"/>
    <n v="0"/>
    <n v="28"/>
    <n v="4"/>
    <n v="1"/>
    <n v="3"/>
    <n v="34516"/>
    <n v="774"/>
    <n v="33742"/>
    <n v="0.98899999999999999"/>
    <n v="3030"/>
    <n v="74"/>
    <n v="0.80500000000000005"/>
    <n v="2.1999999999999999E-2"/>
    <s v="8.9404e-05"/>
    <n v="0.99990999999999997"/>
    <s v="27.81227614623369"/>
    <s v="23.914838877295622"/>
    <s v="76.36510753840862"/>
    <s v="6.794513925767402"/>
    <n v="712652283"/>
    <x v="0"/>
    <n v="6.6915463000000001E-4"/>
    <x v="0"/>
  </r>
  <r>
    <n v="41"/>
    <n v="0"/>
    <n v="2"/>
    <n v="5"/>
    <n v="2"/>
    <n v="4"/>
    <n v="0"/>
    <n v="36"/>
    <n v="2"/>
    <n v="2"/>
    <n v="3"/>
    <n v="2892"/>
    <n v="2517"/>
    <n v="375"/>
    <n v="0.77700000000000002"/>
    <n v="2257"/>
    <n v="48"/>
    <n v="0.71399999999999997"/>
    <n v="0.87"/>
    <n v="0.99495"/>
    <n v="5.0499999999999998E-3"/>
    <s v="16.260855030222025"/>
    <s v="0.5667946411070778"/>
    <s v="20.50631405838966"/>
    <s v="20.60455273303717"/>
    <n v="714727833"/>
    <x v="1"/>
    <n v="0.99591450000000004"/>
    <x v="1"/>
  </r>
  <r>
    <n v="39"/>
    <n v="0"/>
    <n v="4"/>
    <n v="2"/>
    <n v="2"/>
    <n v="5"/>
    <n v="0"/>
    <n v="23"/>
    <n v="1"/>
    <n v="3"/>
    <n v="2"/>
    <n v="1811"/>
    <n v="0"/>
    <n v="1811"/>
    <n v="0.83499999999999996"/>
    <n v="4934"/>
    <n v="70"/>
    <n v="0.628"/>
    <n v="0"/>
    <n v="1.8864000000000001E-4"/>
    <n v="0.99980999999999998"/>
    <s v="11.123907572833398"/>
    <s v="53.60966745350628"/>
    <s v="47.94517158842995"/>
    <s v="4.502226659845078"/>
    <n v="779916408"/>
    <x v="0"/>
    <n v="7.686247E-4"/>
    <x v="0"/>
  </r>
  <r>
    <n v="47"/>
    <n v="1"/>
    <n v="3"/>
    <n v="0"/>
    <n v="1"/>
    <n v="0"/>
    <n v="3"/>
    <n v="27"/>
    <n v="6"/>
    <n v="3"/>
    <n v="3"/>
    <n v="34516"/>
    <n v="2315"/>
    <n v="32201"/>
    <n v="0.59899999999999998"/>
    <n v="1805"/>
    <n v="46"/>
    <n v="0.70399999999999996"/>
    <n v="6.7000000000000004E-2"/>
    <n v="2.7576E-4"/>
    <n v="0.99972000000000005"/>
    <s v="52.19055246412948"/>
    <s v="7.230258100292817"/>
    <s v="63.26744756206202"/>
    <s v="1.861503691345798"/>
    <n v="716864733"/>
    <x v="0"/>
    <n v="1.1504791999999999E-3"/>
    <x v="0"/>
  </r>
  <r>
    <n v="48"/>
    <n v="0"/>
    <n v="2"/>
    <n v="6"/>
    <n v="2"/>
    <n v="4"/>
    <n v="0"/>
    <n v="37"/>
    <n v="3"/>
    <n v="3"/>
    <n v="2"/>
    <n v="3594"/>
    <n v="1996"/>
    <n v="1598"/>
    <n v="0.79500000000000004"/>
    <n v="14881"/>
    <n v="109"/>
    <n v="0.70299999999999996"/>
    <n v="0.55500000000000005"/>
    <n v="1.9771E-4"/>
    <n v="0.99980000000000002"/>
    <s v="23.39522019409681"/>
    <s v="13.434977345312568"/>
    <s v="102.12136376375184"/>
    <s v="17.303968174491402"/>
    <n v="714635883"/>
    <x v="0"/>
    <n v="3.4656386999999997E-4"/>
    <x v="0"/>
  </r>
  <r>
    <n v="40"/>
    <n v="1"/>
    <n v="5"/>
    <n v="6"/>
    <n v="1"/>
    <n v="3"/>
    <n v="0"/>
    <n v="33"/>
    <n v="4"/>
    <n v="2"/>
    <n v="4"/>
    <n v="34516"/>
    <n v="1501"/>
    <n v="33015"/>
    <n v="0.81299999999999994"/>
    <n v="3368"/>
    <n v="64"/>
    <n v="0.64100000000000001"/>
    <n v="4.2999999999999997E-2"/>
    <n v="3.7057000000000002E-4"/>
    <n v="0.99963000000000002"/>
    <s v="11.21690674688455"/>
    <s v="1.7457496371402093"/>
    <s v="54.78473943881183"/>
    <s v="14.88114806615545"/>
    <n v="721252683"/>
    <x v="0"/>
    <n v="3.8516130999999998E-4"/>
    <x v="0"/>
  </r>
  <r>
    <n v="46"/>
    <n v="0"/>
    <n v="4"/>
    <n v="6"/>
    <n v="3"/>
    <n v="1"/>
    <n v="0"/>
    <n v="37"/>
    <n v="6"/>
    <n v="4"/>
    <n v="2"/>
    <n v="1912"/>
    <n v="1172"/>
    <n v="740"/>
    <n v="0.82699999999999996"/>
    <n v="4841"/>
    <n v="81"/>
    <n v="0.88400000000000001"/>
    <n v="0.61299999999999999"/>
    <n v="2.5057999999999998E-4"/>
    <n v="0.99975000000000003"/>
    <s v="0.9142945678310396"/>
    <s v="134.14015480248256"/>
    <s v="27.16064657271505"/>
    <s v="4.254928504728931"/>
    <n v="717870108"/>
    <x v="0"/>
    <n v="3.2101269999999999E-4"/>
    <x v="0"/>
  </r>
  <r>
    <n v="45"/>
    <n v="1"/>
    <n v="3"/>
    <n v="4"/>
    <n v="1"/>
    <n v="1"/>
    <n v="0"/>
    <n v="39"/>
    <n v="3"/>
    <n v="1"/>
    <n v="2"/>
    <n v="4409"/>
    <n v="1753"/>
    <n v="2656"/>
    <n v="0.55000000000000004"/>
    <n v="4292"/>
    <n v="76"/>
    <n v="0.65200000000000002"/>
    <n v="0.39800000000000002"/>
    <s v="6.7249e-05"/>
    <n v="0.99992999999999999"/>
    <s v="9.057568278060518"/>
    <s v="64.21217898322891"/>
    <s v="106.75662494924998"/>
    <s v="3.8079489412977385"/>
    <n v="795713058"/>
    <x v="0"/>
    <n v="3.2101269999999999E-4"/>
    <x v="0"/>
  </r>
  <r>
    <n v="28"/>
    <n v="1"/>
    <n v="1"/>
    <n v="3"/>
    <n v="2"/>
    <n v="4"/>
    <n v="0"/>
    <n v="14"/>
    <n v="4"/>
    <n v="3"/>
    <n v="1"/>
    <n v="2897"/>
    <n v="1398"/>
    <n v="1499"/>
    <n v="0.90700000000000003"/>
    <n v="2698"/>
    <n v="73"/>
    <n v="0.872"/>
    <n v="0.48299999999999998"/>
    <s v="9.8983e-05"/>
    <n v="0.99990000000000001"/>
    <n v="1.8062018497743"/>
    <s v="60.35840618892816"/>
    <s v="55.99589441989437"/>
    <s v="6.659795043379038"/>
    <n v="713384508"/>
    <x v="0"/>
    <n v="3.8326240000000002E-4"/>
    <x v="0"/>
  </r>
  <r>
    <n v="61"/>
    <n v="0"/>
    <n v="1"/>
    <n v="2"/>
    <n v="2"/>
    <n v="5"/>
    <n v="0"/>
    <n v="44"/>
    <n v="4"/>
    <n v="3"/>
    <n v="2"/>
    <n v="2303"/>
    <n v="540"/>
    <n v="1763"/>
    <n v="0.56999999999999995"/>
    <n v="3440"/>
    <n v="46"/>
    <n v="0.70399999999999996"/>
    <n v="0.23400000000000001"/>
    <n v="1.6882999999999999E-4"/>
    <n v="0.99983"/>
    <s v="7.446166678111307"/>
    <s v="16.866985770027284"/>
    <s v="113.73071591100252"/>
    <s v="0.4112474283005161"/>
    <n v="721306908"/>
    <x v="0"/>
    <n v="2.9010162999999999E-3"/>
    <x v="0"/>
  </r>
  <r>
    <n v="41"/>
    <n v="1"/>
    <n v="3"/>
    <n v="6"/>
    <n v="1"/>
    <n v="2"/>
    <n v="0"/>
    <n v="32"/>
    <n v="4"/>
    <n v="1"/>
    <n v="3"/>
    <n v="5071"/>
    <n v="1043"/>
    <n v="4028"/>
    <n v="0.66700000000000004"/>
    <n v="3358"/>
    <n v="62"/>
    <n v="0.72199999999999998"/>
    <n v="0.20599999999999999"/>
    <n v="1.0566E-4"/>
    <n v="0.99988999999999995"/>
    <s v="21.488637707289325"/>
    <s v="58.43174352059899"/>
    <s v="3.672630679083337"/>
    <n v="11.1284167237903"/>
    <n v="720193533"/>
    <x v="0"/>
    <n v="3.479205E-4"/>
    <x v="0"/>
  </r>
  <r>
    <n v="53"/>
    <n v="0"/>
    <n v="3"/>
    <n v="4"/>
    <n v="0"/>
    <n v="5"/>
    <n v="0"/>
    <n v="48"/>
    <n v="5"/>
    <n v="2"/>
    <n v="2"/>
    <n v="12286"/>
    <n v="997"/>
    <n v="11289"/>
    <n v="0.72599999999999998"/>
    <n v="4960"/>
    <n v="83"/>
    <n v="0.72899999999999998"/>
    <n v="8.1000000000000003E-2"/>
    <n v="1.3897000000000001E-4"/>
    <n v="0.99985999999999997"/>
    <s v="26.369379385400915"/>
    <s v="36.050854092564016"/>
    <s v="201.0330214226604"/>
    <n v="26.906111218134601"/>
    <n v="812465958"/>
    <x v="0"/>
    <n v="3.3885973999999997E-4"/>
    <x v="0"/>
  </r>
  <r>
    <n v="50"/>
    <n v="0"/>
    <n v="1"/>
    <n v="3"/>
    <n v="2"/>
    <n v="4"/>
    <n v="0"/>
    <n v="36"/>
    <n v="4"/>
    <n v="2"/>
    <n v="5"/>
    <n v="1457"/>
    <n v="0"/>
    <n v="1457"/>
    <n v="0.49299999999999999"/>
    <n v="1441"/>
    <n v="39"/>
    <n v="0.39300000000000002"/>
    <n v="0"/>
    <n v="0.99807000000000001"/>
    <n v="1.9348900000000001E-3"/>
    <s v="3.818858763169304"/>
    <s v="23.66829357829098"/>
    <s v="10.26062129563963"/>
    <s v="11.75635130974212"/>
    <n v="712257258"/>
    <x v="1"/>
    <n v="0.99772470000000002"/>
    <x v="1"/>
  </r>
  <r>
    <n v="54"/>
    <n v="0"/>
    <n v="2"/>
    <n v="0"/>
    <n v="1"/>
    <n v="4"/>
    <n v="0"/>
    <n v="48"/>
    <n v="3"/>
    <n v="2"/>
    <n v="2"/>
    <n v="2473"/>
    <n v="1745"/>
    <n v="728"/>
    <n v="0.76900000000000002"/>
    <n v="4823"/>
    <n v="72"/>
    <n v="0.8"/>
    <n v="0.70599999999999996"/>
    <n v="1.1066E-4"/>
    <n v="0.99988999999999995"/>
    <s v="29.587722786031552"/>
    <s v="16.113572640585403"/>
    <s v="148.26689337630418"/>
    <s v="9.724297575087522"/>
    <n v="712154883"/>
    <x v="0"/>
    <n v="3.2101269999999999E-4"/>
    <x v="0"/>
  </r>
  <r>
    <n v="44"/>
    <n v="1"/>
    <n v="3"/>
    <n v="2"/>
    <n v="1"/>
    <n v="3"/>
    <n v="0"/>
    <n v="25"/>
    <n v="5"/>
    <n v="2"/>
    <n v="3"/>
    <n v="25256"/>
    <n v="966"/>
    <n v="24290"/>
    <n v="0.48799999999999999"/>
    <n v="2048"/>
    <n v="40"/>
    <n v="0.33300000000000002"/>
    <n v="3.7999999999999999E-2"/>
    <n v="0.99499000000000004"/>
    <n v="5.0099999999999997E-3"/>
    <s v="12.868816014185038"/>
    <s v="0.3379419917646373"/>
    <s v="56.66102470137768"/>
    <s v="1.4133406624945932"/>
    <n v="720330558"/>
    <x v="1"/>
    <n v="0.99665389999999998"/>
    <x v="1"/>
  </r>
  <r>
    <n v="43"/>
    <n v="1"/>
    <n v="5"/>
    <n v="2"/>
    <n v="3"/>
    <n v="2"/>
    <n v="0"/>
    <n v="28"/>
    <n v="1"/>
    <n v="3"/>
    <n v="1"/>
    <n v="12773"/>
    <n v="1637"/>
    <n v="11136"/>
    <n v="0.91900000000000004"/>
    <n v="14833"/>
    <n v="114"/>
    <n v="0.58299999999999996"/>
    <n v="0.128"/>
    <n v="1.1199E-4"/>
    <n v="0.99988999999999995"/>
    <s v="7.259054845249148"/>
    <s v="25.863385916442223"/>
    <s v="9.536591380460765"/>
    <s v="12.363432068365482"/>
    <n v="713552958"/>
    <x v="0"/>
    <n v="3.7359665000000002E-4"/>
    <x v="0"/>
  </r>
  <r>
    <n v="50"/>
    <n v="0"/>
    <n v="4"/>
    <n v="6"/>
    <n v="1"/>
    <n v="4"/>
    <n v="0"/>
    <n v="45"/>
    <n v="4"/>
    <n v="1"/>
    <n v="4"/>
    <n v="1488"/>
    <n v="755"/>
    <n v="733"/>
    <n v="0.78300000000000003"/>
    <n v="4451"/>
    <n v="65"/>
    <n v="0.71099999999999997"/>
    <n v="0.50700000000000001"/>
    <n v="1.8217999999999999E-4"/>
    <n v="0.99982000000000004"/>
    <s v="74.95882177300277"/>
    <s v="18.70413015352942"/>
    <s v="69.49937547734888"/>
    <s v="7.1732260165670505"/>
    <n v="811697958"/>
    <x v="0"/>
    <n v="5.5828195999999995E-4"/>
    <x v="0"/>
  </r>
  <r>
    <n v="37"/>
    <n v="1"/>
    <n v="1"/>
    <n v="2"/>
    <n v="2"/>
    <n v="2"/>
    <n v="0"/>
    <n v="27"/>
    <n v="4"/>
    <n v="1"/>
    <n v="3"/>
    <n v="4288"/>
    <n v="2349"/>
    <n v="1939"/>
    <n v="0.71799999999999997"/>
    <n v="2591"/>
    <n v="57"/>
    <n v="0.54100000000000004"/>
    <n v="0.54800000000000004"/>
    <s v="8.6952e-05"/>
    <n v="0.99990999999999997"/>
    <s v="33.66597446161147"/>
    <s v="9.022344741088444"/>
    <s v="102.82147139609556"/>
    <s v="6.133067422311613"/>
    <n v="713424108"/>
    <x v="0"/>
    <n v="5.6312064000000001E-4"/>
    <x v="0"/>
  </r>
  <r>
    <n v="36"/>
    <n v="1"/>
    <n v="1"/>
    <n v="5"/>
    <n v="2"/>
    <n v="0"/>
    <n v="0"/>
    <n v="25"/>
    <n v="6"/>
    <n v="3"/>
    <n v="2"/>
    <n v="7049"/>
    <n v="1932"/>
    <n v="5117"/>
    <n v="0.80400000000000005"/>
    <n v="2602"/>
    <n v="51"/>
    <n v="0.54500000000000004"/>
    <n v="0.27400000000000002"/>
    <n v="1.7359999999999999E-4"/>
    <n v="0.99983"/>
    <s v="13.840007463533397"/>
    <s v="0.8458866189612513"/>
    <s v="19.917156182542872"/>
    <s v="29.163288887038583"/>
    <n v="789297558"/>
    <x v="0"/>
    <n v="1.0948938000000001E-3"/>
    <x v="0"/>
  </r>
  <r>
    <n v="35"/>
    <n v="1"/>
    <n v="2"/>
    <n v="5"/>
    <n v="2"/>
    <n v="2"/>
    <n v="0"/>
    <n v="16"/>
    <n v="6"/>
    <n v="3"/>
    <n v="2"/>
    <n v="18278"/>
    <n v="0"/>
    <n v="18278"/>
    <n v="0.79800000000000004"/>
    <n v="2084"/>
    <n v="61"/>
    <n v="1.103"/>
    <n v="0"/>
    <n v="1.8494E-4"/>
    <n v="0.99982000000000004"/>
    <s v="49.66978889818599"/>
    <s v="6.687078334042019"/>
    <n v="57.636375150116301"/>
    <s v="4.102749032727285"/>
    <n v="708623283"/>
    <x v="0"/>
    <n v="1.0180222E-3"/>
    <x v="0"/>
  </r>
  <r>
    <n v="35"/>
    <n v="0"/>
    <n v="3"/>
    <n v="6"/>
    <n v="2"/>
    <n v="5"/>
    <n v="0"/>
    <n v="30"/>
    <n v="3"/>
    <n v="3"/>
    <n v="2"/>
    <n v="9293"/>
    <n v="0"/>
    <n v="9293"/>
    <n v="0.89700000000000002"/>
    <n v="2314"/>
    <n v="59"/>
    <n v="1.034"/>
    <n v="0"/>
    <n v="2.0515999999999999E-4"/>
    <n v="0.99978999999999996"/>
    <s v="4.014421413313047"/>
    <s v="4.747749449642904"/>
    <n v="29.3774564906686"/>
    <s v="19.52995070887676"/>
    <n v="809620833"/>
    <x v="0"/>
    <n v="1.2512602E-3"/>
    <x v="0"/>
  </r>
  <r>
    <n v="49"/>
    <n v="0"/>
    <n v="3"/>
    <n v="3"/>
    <n v="0"/>
    <n v="5"/>
    <n v="0"/>
    <n v="40"/>
    <n v="3"/>
    <n v="3"/>
    <n v="2"/>
    <n v="5267"/>
    <n v="0"/>
    <n v="5267"/>
    <n v="0.442"/>
    <n v="1353"/>
    <n v="24"/>
    <n v="0.26300000000000001"/>
    <n v="0"/>
    <n v="1.8144999999999999E-4"/>
    <n v="0.99982000000000004"/>
    <s v="7.458055314191196"/>
    <s v="38.01593540834759"/>
    <s v="7.596159646615959"/>
    <s v="5.281450478137225"/>
    <n v="708655983"/>
    <x v="0"/>
    <n v="4.5874009999999996E-3"/>
    <x v="0"/>
  </r>
  <r>
    <n v="49"/>
    <n v="0"/>
    <n v="4"/>
    <n v="0"/>
    <n v="2"/>
    <n v="1"/>
    <n v="0"/>
    <n v="30"/>
    <n v="5"/>
    <n v="3"/>
    <n v="3"/>
    <n v="2765"/>
    <n v="1211"/>
    <n v="1554"/>
    <n v="0.73599999999999999"/>
    <n v="4629"/>
    <n v="58"/>
    <n v="0.70599999999999996"/>
    <n v="0.438"/>
    <n v="3.0844999999999999E-4"/>
    <n v="0.99968999999999997"/>
    <s v="58.79739691699991"/>
    <s v="4.597420526817942"/>
    <s v="74.18591851395391"/>
    <s v="2.9008117277606598"/>
    <n v="709946658"/>
    <x v="0"/>
    <n v="3.9187474999999999E-4"/>
    <x v="0"/>
  </r>
  <r>
    <n v="40"/>
    <n v="0"/>
    <n v="3"/>
    <n v="6"/>
    <n v="2"/>
    <n v="1"/>
    <n v="0"/>
    <n v="29"/>
    <n v="3"/>
    <n v="3"/>
    <n v="3"/>
    <n v="2473"/>
    <n v="2332"/>
    <n v="141"/>
    <n v="0.29299999999999998"/>
    <n v="1738"/>
    <n v="32"/>
    <n v="0.45500000000000002"/>
    <n v="0.94299999999999995"/>
    <n v="0.99711000000000005"/>
    <n v="2.8889200000000001E-3"/>
    <s v="18.82370359113064"/>
    <s v="48.094801170413966"/>
    <s v="156.84298931376264"/>
    <n v="1.8270952353973101E-2"/>
    <n v="713717283"/>
    <x v="1"/>
    <n v="0.99494959999999999"/>
    <x v="1"/>
  </r>
  <r>
    <n v="36"/>
    <n v="1"/>
    <n v="1"/>
    <n v="2"/>
    <n v="1"/>
    <n v="4"/>
    <n v="0"/>
    <n v="18"/>
    <n v="6"/>
    <n v="3"/>
    <n v="3"/>
    <n v="2032"/>
    <n v="1003"/>
    <n v="1029"/>
    <n v="1.0049999999999999"/>
    <n v="2454"/>
    <n v="46"/>
    <n v="0.58599999999999997"/>
    <n v="0.49399999999999999"/>
    <n v="2.8394999999999999E-4"/>
    <n v="0.99972000000000005"/>
    <s v="13.064448101757248"/>
    <s v="32.472433854880805"/>
    <s v="152.17007021225305"/>
    <n v="16.235127219076698"/>
    <n v="711436083"/>
    <x v="0"/>
    <n v="1.3267322E-3"/>
    <x v="0"/>
  </r>
  <r>
    <n v="26"/>
    <n v="0"/>
    <n v="0"/>
    <n v="6"/>
    <n v="2"/>
    <n v="4"/>
    <n v="0"/>
    <n v="13"/>
    <n v="4"/>
    <n v="2"/>
    <n v="4"/>
    <n v="2063"/>
    <n v="1390"/>
    <n v="673"/>
    <n v="0.877"/>
    <n v="2602"/>
    <n v="42"/>
    <n v="0.55600000000000005"/>
    <n v="0.67400000000000004"/>
    <n v="3.0802999999999999E-4"/>
    <n v="0.99968999999999997"/>
    <s v="6.258677867622088"/>
    <n v="43.932283572489297"/>
    <s v="0.1789248749635046"/>
    <s v="10.93886856039292"/>
    <n v="789731433"/>
    <x v="0"/>
    <n v="1.3267322E-3"/>
    <x v="0"/>
  </r>
  <r>
    <n v="49"/>
    <n v="0"/>
    <n v="3"/>
    <n v="6"/>
    <n v="2"/>
    <n v="4"/>
    <n v="0"/>
    <n v="44"/>
    <n v="4"/>
    <n v="2"/>
    <n v="4"/>
    <n v="1546"/>
    <n v="0"/>
    <n v="1546"/>
    <n v="0.79300000000000004"/>
    <n v="4496"/>
    <n v="83"/>
    <n v="0.66"/>
    <n v="0"/>
    <n v="3.7246000000000002E-4"/>
    <n v="0.99963000000000002"/>
    <s v="34.11174350503971"/>
    <s v="61.81521431415663"/>
    <s v="59.14413518728213"/>
    <s v="2.350653215605264"/>
    <n v="803973483"/>
    <x v="0"/>
    <n v="6.9517245999999998E-4"/>
    <x v="0"/>
  </r>
  <r>
    <n v="57"/>
    <n v="1"/>
    <n v="2"/>
    <n v="5"/>
    <n v="2"/>
    <n v="3"/>
    <n v="0"/>
    <n v="43"/>
    <n v="6"/>
    <n v="3"/>
    <n v="1"/>
    <n v="12045"/>
    <n v="1749"/>
    <n v="10296"/>
    <n v="0.73599999999999999"/>
    <n v="4884"/>
    <n v="86"/>
    <n v="0.87"/>
    <n v="0.14499999999999999"/>
    <n v="1.1153E-4"/>
    <n v="0.99988999999999995"/>
    <s v="34.34677988631603"/>
    <s v="66.73506180634385"/>
    <s v="122.48002563321482"/>
    <s v="7.193844575829571"/>
    <n v="708286683"/>
    <x v="0"/>
    <n v="3.2101269999999999E-4"/>
    <x v="0"/>
  </r>
  <r>
    <n v="52"/>
    <n v="0"/>
    <n v="1"/>
    <n v="2"/>
    <n v="1"/>
    <n v="1"/>
    <n v="0"/>
    <n v="34"/>
    <n v="3"/>
    <n v="3"/>
    <n v="3"/>
    <n v="4189"/>
    <n v="2066"/>
    <n v="2123"/>
    <n v="0.68600000000000005"/>
    <n v="4661"/>
    <n v="85"/>
    <n v="0.73499999999999999"/>
    <n v="0.49299999999999999"/>
    <n v="2.8394999999999999E-4"/>
    <n v="0.99972000000000005"/>
    <s v="68.79499439882542"/>
    <s v="38.630509739627854"/>
    <s v="66.30490690840793"/>
    <s v="0.2386500744258048"/>
    <n v="710883483"/>
    <x v="0"/>
    <n v="3.2101269999999999E-4"/>
    <x v="0"/>
  </r>
  <r>
    <n v="41"/>
    <n v="0"/>
    <n v="3"/>
    <n v="2"/>
    <n v="1"/>
    <n v="5"/>
    <n v="0"/>
    <n v="33"/>
    <n v="3"/>
    <n v="3"/>
    <n v="3"/>
    <n v="2542"/>
    <n v="0"/>
    <n v="2542"/>
    <n v="0.58699999999999997"/>
    <n v="4087"/>
    <n v="73"/>
    <n v="0.78"/>
    <n v="0"/>
    <n v="3.1389999999999999E-4"/>
    <n v="0.99968999999999997"/>
    <s v="19.030160689111185"/>
    <s v="36.99739528916998"/>
    <s v="34.20318525707586"/>
    <s v="9.573021645743127"/>
    <n v="719848908"/>
    <x v="0"/>
    <n v="6.9517245999999998E-4"/>
    <x v="0"/>
  </r>
  <r>
    <n v="42"/>
    <n v="0"/>
    <n v="3"/>
    <n v="2"/>
    <n v="3"/>
    <n v="5"/>
    <n v="0"/>
    <n v="32"/>
    <n v="2"/>
    <n v="3"/>
    <n v="2"/>
    <n v="9749"/>
    <n v="859"/>
    <n v="8890"/>
    <n v="0.58399999999999996"/>
    <n v="4684"/>
    <n v="86"/>
    <n v="0.623"/>
    <n v="8.7999999999999995E-2"/>
    <n v="1.8665000000000001E-4"/>
    <n v="0.99980999999999998"/>
    <s v="28.54583405500366"/>
    <n v="9.6083371679643292"/>
    <s v="97.97552618066766"/>
    <n v="10.9646398710812"/>
    <n v="713809833"/>
    <x v="0"/>
    <n v="5.1646989999999996E-4"/>
    <x v="0"/>
  </r>
  <r>
    <n v="47"/>
    <n v="1"/>
    <n v="1"/>
    <n v="4"/>
    <n v="2"/>
    <n v="2"/>
    <n v="0"/>
    <n v="36"/>
    <n v="4"/>
    <n v="2"/>
    <n v="2"/>
    <n v="9090"/>
    <n v="1371"/>
    <n v="7719"/>
    <n v="0.64"/>
    <n v="4422"/>
    <n v="65"/>
    <n v="0.58499999999999996"/>
    <n v="0.151"/>
    <n v="1.2570999999999999E-4"/>
    <n v="0.99987000000000004"/>
    <s v="10.049585152063246"/>
    <s v="52.95733431856394"/>
    <s v="1.7551368397791245"/>
    <s v="3.8577198548098224"/>
    <n v="715803933"/>
    <x v="0"/>
    <n v="3.3723077000000001E-4"/>
    <x v="0"/>
  </r>
  <r>
    <n v="41"/>
    <n v="1"/>
    <n v="4"/>
    <n v="6"/>
    <n v="1"/>
    <n v="0"/>
    <n v="3"/>
    <n v="36"/>
    <n v="3"/>
    <n v="1"/>
    <n v="4"/>
    <n v="34516"/>
    <n v="2205"/>
    <n v="32311"/>
    <n v="0.89700000000000002"/>
    <n v="15033"/>
    <n v="98"/>
    <n v="0.92200000000000004"/>
    <n v="6.4000000000000001E-2"/>
    <n v="1.6461000000000001E-4"/>
    <n v="0.99983999999999995"/>
    <s v="23.288872940712857"/>
    <s v="72.98515006329859"/>
    <s v="125.3222388597483"/>
    <s v="10.063640346421735"/>
    <n v="714465558"/>
    <x v="0"/>
    <n v="4.0555582000000002E-4"/>
    <x v="0"/>
  </r>
  <r>
    <n v="38"/>
    <n v="0"/>
    <n v="2"/>
    <n v="5"/>
    <n v="2"/>
    <n v="4"/>
    <n v="0"/>
    <n v="32"/>
    <n v="5"/>
    <n v="3"/>
    <n v="3"/>
    <n v="2264"/>
    <n v="0"/>
    <n v="2264"/>
    <n v="0.47899999999999998"/>
    <n v="1204"/>
    <n v="28"/>
    <n v="0.33300000000000002"/>
    <n v="0"/>
    <n v="3.1104E-4"/>
    <n v="0.99968999999999997"/>
    <s v="9.274179187286869"/>
    <s v="23.10887592171825"/>
    <s v="42.99223522126066"/>
    <s v="1.2565925633168873"/>
    <n v="713217858"/>
    <x v="0"/>
    <n v="4.459518E-3"/>
    <x v="0"/>
  </r>
  <r>
    <n v="47"/>
    <n v="0"/>
    <n v="1"/>
    <n v="2"/>
    <n v="1"/>
    <n v="4"/>
    <n v="0"/>
    <n v="36"/>
    <n v="4"/>
    <n v="2"/>
    <n v="1"/>
    <n v="8322"/>
    <n v="0"/>
    <n v="8322"/>
    <n v="0.86"/>
    <n v="3700"/>
    <n v="62"/>
    <n v="1"/>
    <n v="0"/>
    <s v="6.4428e-05"/>
    <n v="0.99994000000000005"/>
    <s v="1.6878736361515796"/>
    <s v="79.13160760966177"/>
    <s v="29.87287082771178"/>
    <s v="13.694848459256242"/>
    <n v="721508283"/>
    <x v="0"/>
    <n v="8.3036936000000004E-4"/>
    <x v="0"/>
  </r>
  <r>
    <n v="38"/>
    <n v="1"/>
    <n v="1"/>
    <n v="3"/>
    <n v="2"/>
    <n v="0"/>
    <n v="0"/>
    <n v="30"/>
    <n v="5"/>
    <n v="3"/>
    <n v="3"/>
    <n v="10874"/>
    <n v="2415"/>
    <n v="8459"/>
    <n v="0.93300000000000005"/>
    <n v="4619"/>
    <n v="59"/>
    <n v="0.372"/>
    <n v="0.222"/>
    <n v="0.99639"/>
    <n v="3.6085800000000001E-3"/>
    <s v="13.618770953388688"/>
    <s v="60.38962628069317"/>
    <s v="25.27159079982705"/>
    <s v="14.19035641830886"/>
    <n v="716212383"/>
    <x v="1"/>
    <n v="0.98597190000000001"/>
    <x v="1"/>
  </r>
  <r>
    <n v="50"/>
    <n v="1"/>
    <n v="3"/>
    <n v="5"/>
    <n v="1"/>
    <n v="4"/>
    <n v="0"/>
    <n v="36"/>
    <n v="2"/>
    <n v="3"/>
    <n v="3"/>
    <n v="5128"/>
    <n v="0"/>
    <n v="5128"/>
    <n v="0.70399999999999996"/>
    <n v="7588"/>
    <n v="98"/>
    <n v="0.58099999999999996"/>
    <n v="0"/>
    <n v="3.2275000000000001E-4"/>
    <n v="0.99968000000000001"/>
    <s v="16.748596043696264"/>
    <s v="72.91553038371308"/>
    <s v="1.809406372749276"/>
    <s v="2.737608656042812"/>
    <n v="711963183"/>
    <x v="0"/>
    <n v="8.4809323999999998E-4"/>
    <x v="0"/>
  </r>
  <r>
    <n v="39"/>
    <n v="1"/>
    <n v="5"/>
    <n v="5"/>
    <n v="1"/>
    <n v="1"/>
    <n v="0"/>
    <n v="36"/>
    <n v="4"/>
    <n v="2"/>
    <n v="3"/>
    <n v="1438.3"/>
    <n v="0"/>
    <n v="1438.3"/>
    <n v="0.67700000000000005"/>
    <n v="4596"/>
    <n v="82"/>
    <n v="0.745"/>
    <n v="0"/>
    <n v="2.0321E-4"/>
    <n v="0.99980000000000002"/>
    <s v="10.974567037388931"/>
    <s v="25.919509940235564"/>
    <s v="42.31819851207056"/>
    <s v="18.627601224849982"/>
    <n v="715117008"/>
    <x v="0"/>
    <n v="6.9517245999999998E-4"/>
    <x v="0"/>
  </r>
  <r>
    <n v="52"/>
    <n v="1"/>
    <n v="2"/>
    <n v="3"/>
    <n v="2"/>
    <n v="0"/>
    <n v="0"/>
    <n v="46"/>
    <n v="4"/>
    <n v="2"/>
    <n v="4"/>
    <n v="34516"/>
    <n v="0"/>
    <n v="34516"/>
    <n v="0.77500000000000002"/>
    <n v="4037"/>
    <n v="87"/>
    <n v="0.70599999999999996"/>
    <n v="0"/>
    <n v="3.1745999999999999E-4"/>
    <n v="0.99968000000000001"/>
    <s v="45.26161014380064"/>
    <s v="17.56457617244279"/>
    <s v="83.54182608475729"/>
    <s v="22.50247813847753"/>
    <n v="713056083"/>
    <x v="0"/>
    <n v="6.9517245999999998E-4"/>
    <x v="0"/>
  </r>
  <r>
    <n v="43"/>
    <n v="1"/>
    <n v="2"/>
    <n v="3"/>
    <n v="1"/>
    <n v="0"/>
    <n v="3"/>
    <n v="23"/>
    <n v="3"/>
    <n v="3"/>
    <n v="2"/>
    <n v="34516"/>
    <n v="1153"/>
    <n v="33363"/>
    <n v="0.89"/>
    <n v="4486"/>
    <n v="71"/>
    <n v="0.69"/>
    <n v="3.3000000000000002E-2"/>
    <n v="1.5799999999999999E-4"/>
    <n v="0.99983999999999995"/>
    <s v="84.44498110406084"/>
    <s v="31.500323240032177"/>
    <s v="138.31075524915877"/>
    <s v="13.612411498099162"/>
    <n v="713264583"/>
    <x v="0"/>
    <n v="3.756586E-4"/>
    <x v="0"/>
  </r>
  <r>
    <n v="46"/>
    <n v="0"/>
    <n v="4"/>
    <n v="1"/>
    <n v="0"/>
    <n v="4"/>
    <n v="0"/>
    <n v="41"/>
    <n v="4"/>
    <n v="1"/>
    <n v="1"/>
    <n v="8693"/>
    <n v="1378"/>
    <n v="7315"/>
    <n v="0.79900000000000004"/>
    <n v="1594"/>
    <n v="45"/>
    <n v="0.45200000000000001"/>
    <n v="0.159"/>
    <s v="5.0408e-05"/>
    <n v="0.99995000000000001"/>
    <s v="41.25128019395796"/>
    <s v="49.881967978525125"/>
    <s v="43.33437199041207"/>
    <s v="5.4462456685037886"/>
    <n v="808964433"/>
    <x v="0"/>
    <n v="1.1982243E-3"/>
    <x v="0"/>
  </r>
  <r>
    <n v="34"/>
    <n v="1"/>
    <n v="4"/>
    <n v="6"/>
    <n v="2"/>
    <n v="4"/>
    <n v="0"/>
    <n v="23"/>
    <n v="1"/>
    <n v="3"/>
    <n v="2"/>
    <n v="7664"/>
    <n v="1785"/>
    <n v="5879"/>
    <n v="0.94699999999999995"/>
    <n v="15077"/>
    <n v="126"/>
    <n v="0.8"/>
    <n v="0.23300000000000001"/>
    <n v="2.0735E-4"/>
    <n v="0.99978999999999996"/>
    <s v="16.560822851612606"/>
    <s v="20.70114284483635"/>
    <s v="123.6449450796218"/>
    <s v="4.703998090547508"/>
    <n v="719365233"/>
    <x v="0"/>
    <n v="3.6437239999999999E-4"/>
    <x v="0"/>
  </r>
  <r>
    <n v="50"/>
    <n v="0"/>
    <n v="4"/>
    <n v="1"/>
    <n v="1"/>
    <n v="5"/>
    <n v="0"/>
    <n v="38"/>
    <n v="6"/>
    <n v="4"/>
    <n v="2"/>
    <n v="23692"/>
    <n v="2402"/>
    <n v="21290"/>
    <n v="0.94199999999999995"/>
    <n v="3632"/>
    <n v="62"/>
    <n v="0.67600000000000005"/>
    <n v="0.10100000000000001"/>
    <n v="3.2988000000000001E-4"/>
    <n v="0.99966999999999995"/>
    <s v="9.653463833951822"/>
    <s v="49.79026855984436"/>
    <s v="43.769750287376326"/>
    <s v="12.13165878148936"/>
    <n v="715611933"/>
    <x v="0"/>
    <n v="3.5702356000000003E-4"/>
    <x v="0"/>
  </r>
  <r>
    <n v="49"/>
    <n v="1"/>
    <n v="4"/>
    <n v="1"/>
    <n v="1"/>
    <n v="2"/>
    <n v="0"/>
    <n v="44"/>
    <n v="3"/>
    <n v="1"/>
    <n v="1"/>
    <n v="3343"/>
    <n v="1581"/>
    <n v="1762"/>
    <n v="1.1459999999999999"/>
    <n v="1545"/>
    <n v="31"/>
    <n v="0.82399999999999995"/>
    <n v="0.47299999999999998"/>
    <s v="5.0408e-05"/>
    <n v="0.99995000000000001"/>
    <s v="19.836538141423016"/>
    <s v="33.774936588232734"/>
    <s v="41.60735073502767"/>
    <s v="4.594700531251735"/>
    <n v="816089433"/>
    <x v="0"/>
    <n v="1.0249399E-3"/>
    <x v="0"/>
  </r>
  <r>
    <n v="42"/>
    <n v="0"/>
    <n v="3"/>
    <n v="0"/>
    <n v="1"/>
    <n v="4"/>
    <n v="0"/>
    <n v="37"/>
    <n v="5"/>
    <n v="4"/>
    <n v="2"/>
    <n v="2238"/>
    <n v="1693"/>
    <n v="545"/>
    <n v="0.71399999999999997"/>
    <n v="5339"/>
    <n v="86"/>
    <n v="0.45800000000000002"/>
    <n v="0.75600000000000001"/>
    <n v="2.1929999999999999E-4"/>
    <n v="0.99978"/>
    <s v="53.09148708143957"/>
    <s v="5.884129413385046"/>
    <s v="36.91861699573934"/>
    <s v="1.6953858356473093"/>
    <n v="819351258"/>
    <x v="0"/>
    <n v="3.7036769999999999E-4"/>
    <x v="0"/>
  </r>
  <r>
    <n v="37"/>
    <n v="1"/>
    <n v="1"/>
    <n v="5"/>
    <n v="2"/>
    <n v="3"/>
    <n v="0"/>
    <n v="36"/>
    <n v="6"/>
    <n v="1"/>
    <n v="2"/>
    <n v="3127"/>
    <n v="2378"/>
    <n v="749"/>
    <n v="0.86199999999999999"/>
    <n v="2292"/>
    <n v="49"/>
    <n v="0.441"/>
    <n v="0.76"/>
    <s v="5.3155e-05"/>
    <n v="0.99995000000000001"/>
    <s v="50.41857939609409"/>
    <s v="21.53311657740549"/>
    <s v="52.90246859647727"/>
    <s v="22.314073754769858"/>
    <n v="712933083"/>
    <x v="0"/>
    <n v="1.2722325E-3"/>
    <x v="0"/>
  </r>
  <r>
    <n v="47"/>
    <n v="0"/>
    <n v="3"/>
    <n v="5"/>
    <n v="0"/>
    <n v="1"/>
    <n v="0"/>
    <n v="36"/>
    <n v="2"/>
    <n v="3"/>
    <n v="3"/>
    <n v="1439"/>
    <n v="0"/>
    <n v="1439"/>
    <n v="0.63800000000000001"/>
    <n v="5047"/>
    <n v="79"/>
    <n v="0.83699999999999997"/>
    <n v="0"/>
    <n v="3.2275000000000001E-4"/>
    <n v="0.99968000000000001"/>
    <s v="0.1026845294503035"/>
    <s v="12.934753065035054"/>
    <s v="2.828572561664509"/>
    <s v="0.3741659042922233"/>
    <n v="779770683"/>
    <x v="0"/>
    <n v="6.9517245999999998E-4"/>
    <x v="0"/>
  </r>
  <r>
    <n v="45"/>
    <n v="0"/>
    <n v="4"/>
    <n v="5"/>
    <n v="1"/>
    <n v="1"/>
    <n v="3"/>
    <n v="36"/>
    <n v="6"/>
    <n v="2"/>
    <n v="2"/>
    <n v="18679"/>
    <n v="905"/>
    <n v="17774"/>
    <n v="0.54100000000000004"/>
    <n v="2168"/>
    <n v="55"/>
    <n v="0.48599999999999999"/>
    <n v="4.8000000000000001E-2"/>
    <n v="1.109E-4"/>
    <n v="0.99988999999999995"/>
    <s v="11.951104977463023"/>
    <s v="13.854833633893977"/>
    <s v="67.46197343629736"/>
    <s v="6.688291210950683"/>
    <n v="713277783"/>
    <x v="0"/>
    <n v="8.9876370000000004E-4"/>
    <x v="0"/>
  </r>
  <r>
    <n v="54"/>
    <n v="1"/>
    <n v="1"/>
    <n v="3"/>
    <n v="2"/>
    <n v="3"/>
    <n v="0"/>
    <n v="36"/>
    <n v="1"/>
    <n v="2"/>
    <n v="3"/>
    <n v="12813"/>
    <n v="1998"/>
    <n v="10815"/>
    <n v="0.83699999999999997"/>
    <n v="7803"/>
    <n v="81"/>
    <n v="0.68799999999999994"/>
    <n v="0.156"/>
    <n v="1.7468E-4"/>
    <n v="0.99983"/>
    <s v="6.551301665717829"/>
    <s v="23.59173705637205"/>
    <s v="21.82611748043273"/>
    <s v="18.42802970973276"/>
    <n v="716745408"/>
    <x v="0"/>
    <n v="5.0494296000000004E-4"/>
    <x v="0"/>
  </r>
  <r>
    <n v="51"/>
    <n v="1"/>
    <n v="1"/>
    <n v="3"/>
    <n v="2"/>
    <n v="3"/>
    <n v="0"/>
    <n v="38"/>
    <n v="2"/>
    <n v="3"/>
    <n v="3"/>
    <n v="28605"/>
    <n v="0"/>
    <n v="28605"/>
    <n v="1.054"/>
    <n v="5524"/>
    <n v="67"/>
    <n v="0.71799999999999997"/>
    <n v="0"/>
    <n v="0.99639"/>
    <n v="3.6085800000000001E-3"/>
    <s v="39.43374562480632"/>
    <s v="0.3161872601706957"/>
    <s v="22.974830460082234"/>
    <s v="1.219711059148085"/>
    <n v="720698883"/>
    <x v="1"/>
    <n v="0.9954307"/>
    <x v="1"/>
  </r>
  <r>
    <n v="59"/>
    <n v="0"/>
    <n v="1"/>
    <n v="2"/>
    <n v="2"/>
    <n v="1"/>
    <n v="0"/>
    <n v="53"/>
    <n v="2"/>
    <n v="2"/>
    <n v="0"/>
    <n v="1980"/>
    <n v="1409"/>
    <n v="571"/>
    <n v="0.74299999999999999"/>
    <n v="5350"/>
    <n v="96"/>
    <n v="0.71399999999999997"/>
    <n v="0.71199999999999997"/>
    <s v="3.941e-05"/>
    <n v="0.99995999999999996"/>
    <s v="17.716140938506253"/>
    <s v="37.014754038502566"/>
    <s v="144.00336729291945"/>
    <s v="4.6865867101230885"/>
    <n v="785487783"/>
    <x v="0"/>
    <n v="3.6588970000000001E-4"/>
    <x v="0"/>
  </r>
  <r>
    <n v="36"/>
    <n v="0"/>
    <n v="2"/>
    <n v="3"/>
    <n v="2"/>
    <n v="5"/>
    <n v="0"/>
    <n v="26"/>
    <n v="3"/>
    <n v="2"/>
    <n v="2"/>
    <n v="5956"/>
    <n v="2517"/>
    <n v="3439"/>
    <n v="0.877"/>
    <n v="2828"/>
    <n v="46"/>
    <n v="0.48399999999999999"/>
    <n v="0.42299999999999999"/>
    <n v="0.99104000000000003"/>
    <n v="8.9599999999999992E-3"/>
    <s v="15.986091673379413"/>
    <s v="8.050924279979267"/>
    <s v="95.26791959546964"/>
    <s v="22.624845290787427"/>
    <n v="709100283"/>
    <x v="1"/>
    <n v="0.99582990000000005"/>
    <x v="1"/>
  </r>
  <r>
    <n v="49"/>
    <n v="0"/>
    <n v="3"/>
    <n v="0"/>
    <n v="1"/>
    <n v="4"/>
    <n v="0"/>
    <n v="29"/>
    <n v="6"/>
    <n v="1"/>
    <n v="2"/>
    <n v="2548"/>
    <n v="1998"/>
    <n v="550"/>
    <n v="0.67900000000000005"/>
    <n v="4702"/>
    <n v="79"/>
    <n v="0.92700000000000005"/>
    <n v="0.78400000000000003"/>
    <s v="5.5564e-05"/>
    <n v="0.99994000000000005"/>
    <s v="44.55800918961525"/>
    <s v="3.200554657115436"/>
    <s v="162.14413686747906"/>
    <s v="24.97032238699404"/>
    <n v="778632933"/>
    <x v="0"/>
    <n v="3.2101269999999999E-4"/>
    <x v="0"/>
  </r>
  <r>
    <n v="45"/>
    <n v="1"/>
    <n v="4"/>
    <n v="6"/>
    <n v="1"/>
    <n v="2"/>
    <n v="0"/>
    <n v="36"/>
    <n v="6"/>
    <n v="1"/>
    <n v="1"/>
    <n v="11498"/>
    <n v="1577"/>
    <n v="9921"/>
    <n v="0.75600000000000001"/>
    <n v="4014"/>
    <n v="70"/>
    <n v="0.48899999999999999"/>
    <n v="0.13700000000000001"/>
    <s v="3.8289e-05"/>
    <n v="0.99995999999999996"/>
    <s v="30.511942921104545"/>
    <s v="22.34490382480285"/>
    <s v="56.92202727186738"/>
    <s v="19.99506589866388"/>
    <n v="720171033"/>
    <x v="0"/>
    <n v="3.5747702000000001E-4"/>
    <x v="0"/>
  </r>
  <r>
    <n v="52"/>
    <n v="1"/>
    <n v="1"/>
    <n v="5"/>
    <n v="2"/>
    <n v="3"/>
    <n v="0"/>
    <n v="37"/>
    <n v="5"/>
    <n v="2"/>
    <n v="2"/>
    <n v="2733"/>
    <n v="1306"/>
    <n v="1427"/>
    <n v="0.79100000000000004"/>
    <n v="1139"/>
    <n v="39"/>
    <n v="0.44400000000000001"/>
    <n v="0.47799999999999998"/>
    <n v="1.0985E-4"/>
    <n v="0.99988999999999995"/>
    <s v="1.957608125040518"/>
    <n v="6.06207309642165"/>
    <s v="14.624873747287678"/>
    <s v="21.08258055403809"/>
    <n v="713308683"/>
    <x v="0"/>
    <n v="1.1982243E-3"/>
    <x v="0"/>
  </r>
  <r>
    <n v="40"/>
    <n v="1"/>
    <n v="3"/>
    <n v="2"/>
    <n v="0"/>
    <n v="3"/>
    <n v="0"/>
    <n v="31"/>
    <n v="4"/>
    <n v="2"/>
    <n v="3"/>
    <n v="27374"/>
    <n v="1509"/>
    <n v="25865"/>
    <n v="0.80300000000000005"/>
    <n v="4231"/>
    <n v="60"/>
    <n v="0.71399999999999997"/>
    <n v="5.5E-2"/>
    <n v="1.9864000000000001E-4"/>
    <n v="0.99980000000000002"/>
    <s v="15.835249358182567"/>
    <s v="20.11834926348632"/>
    <n v="7.30490741735179E-2"/>
    <s v="17.157991141945143"/>
    <n v="772825308"/>
    <x v="0"/>
    <n v="4.034504E-4"/>
    <x v="0"/>
  </r>
  <r>
    <n v="45"/>
    <n v="1"/>
    <n v="2"/>
    <n v="2"/>
    <n v="1"/>
    <n v="2"/>
    <n v="2"/>
    <n v="31"/>
    <n v="2"/>
    <n v="2"/>
    <n v="1"/>
    <n v="34516"/>
    <n v="1308"/>
    <n v="33208"/>
    <n v="0.746"/>
    <n v="8773"/>
    <n v="105"/>
    <n v="0.78"/>
    <n v="3.7999999999999999E-2"/>
    <n v="1.1924E-4"/>
    <n v="0.99987999999999999"/>
    <s v="31.851323274657847"/>
    <s v="32.72993542626233"/>
    <s v="27.99989966416625"/>
    <s v="2.2709129744569783"/>
    <n v="770848308"/>
    <x v="0"/>
    <n v="4.1022256E-4"/>
    <x v="0"/>
  </r>
  <r>
    <n v="41"/>
    <n v="0"/>
    <n v="3"/>
    <n v="3"/>
    <n v="3"/>
    <n v="5"/>
    <n v="0"/>
    <n v="36"/>
    <n v="5"/>
    <n v="1"/>
    <n v="2"/>
    <n v="5869"/>
    <n v="0"/>
    <n v="5869"/>
    <n v="0.71299999999999997"/>
    <n v="4191"/>
    <n v="65"/>
    <n v="0.85699999999999998"/>
    <n v="0"/>
    <s v="5.5559e-05"/>
    <n v="0.99994000000000005"/>
    <s v="16.48965685714354"/>
    <s v="59.95156849461746"/>
    <s v="98.86280955889308"/>
    <s v="10.064421504758984"/>
    <n v="716044383"/>
    <x v="0"/>
    <n v="7.6807226000000001E-4"/>
    <x v="0"/>
  </r>
  <r>
    <n v="55"/>
    <n v="0"/>
    <n v="1"/>
    <n v="5"/>
    <n v="1"/>
    <n v="4"/>
    <n v="0"/>
    <n v="36"/>
    <n v="5"/>
    <n v="3"/>
    <n v="2"/>
    <n v="2258"/>
    <n v="2000"/>
    <n v="258"/>
    <n v="0.61099999999999999"/>
    <n v="2500"/>
    <n v="42"/>
    <n v="0.68"/>
    <n v="0.88600000000000001"/>
    <n v="0.99426999999999999"/>
    <n v="5.7299999999999999E-3"/>
    <s v="1.7401569958150442"/>
    <n v="85.386341815204901"/>
    <s v="72.14601208386942"/>
    <s v="0.4798259893274992"/>
    <n v="711862533"/>
    <x v="1"/>
    <n v="0.99505460000000001"/>
    <x v="1"/>
  </r>
  <r>
    <n v="52"/>
    <n v="0"/>
    <n v="3"/>
    <n v="4"/>
    <n v="1"/>
    <n v="1"/>
    <n v="0"/>
    <n v="33"/>
    <n v="3"/>
    <n v="2"/>
    <n v="0"/>
    <n v="3900"/>
    <n v="0"/>
    <n v="3900"/>
    <n v="1.0920000000000001"/>
    <n v="4337"/>
    <n v="81"/>
    <n v="0.8"/>
    <n v="0"/>
    <s v="5.1265e-05"/>
    <n v="0.99995000000000001"/>
    <n v="49.335172651981502"/>
    <s v="52.01693143881487"/>
    <s v="24.53801601167801"/>
    <s v="0.3844598816800716"/>
    <n v="778857108"/>
    <x v="0"/>
    <n v="7.4699510000000001E-4"/>
    <x v="0"/>
  </r>
  <r>
    <n v="40"/>
    <n v="0"/>
    <n v="3"/>
    <n v="5"/>
    <n v="1"/>
    <n v="4"/>
    <n v="0"/>
    <n v="27"/>
    <n v="1"/>
    <n v="1"/>
    <n v="1"/>
    <n v="2840"/>
    <n v="2517"/>
    <n v="323"/>
    <n v="0.59099999999999997"/>
    <n v="4405"/>
    <n v="82"/>
    <n v="0.86399999999999999"/>
    <n v="0.88600000000000001"/>
    <s v="3.5437e-05"/>
    <n v="0.99995999999999996"/>
    <s v="13.623308413149449"/>
    <s v="15.74907354737125"/>
    <n v="52.991620806195797"/>
    <s v="4.658460816049135"/>
    <n v="713152383"/>
    <x v="0"/>
    <n v="3.4692350000000002E-4"/>
    <x v="0"/>
  </r>
  <r>
    <n v="58"/>
    <n v="0"/>
    <n v="1"/>
    <n v="5"/>
    <n v="1"/>
    <n v="5"/>
    <n v="0"/>
    <n v="36"/>
    <n v="5"/>
    <n v="2"/>
    <n v="3"/>
    <n v="4784"/>
    <n v="0"/>
    <n v="4784"/>
    <n v="0.90500000000000003"/>
    <n v="2160"/>
    <n v="54"/>
    <n v="0.92900000000000005"/>
    <n v="0"/>
    <n v="1.8474999999999999E-4"/>
    <n v="0.99982000000000004"/>
    <s v="15.10302627033562"/>
    <n v="56.092667971211199"/>
    <s v="12.341676400520925"/>
    <s v="2.938116653184377"/>
    <n v="716349183"/>
    <x v="0"/>
    <n v="1.9312267000000001E-3"/>
    <x v="0"/>
  </r>
  <r>
    <n v="47"/>
    <n v="1"/>
    <n v="5"/>
    <n v="2"/>
    <n v="1"/>
    <n v="3"/>
    <n v="3"/>
    <n v="36"/>
    <n v="3"/>
    <n v="3"/>
    <n v="1"/>
    <n v="34516"/>
    <n v="760"/>
    <n v="33756"/>
    <n v="0.40699999999999997"/>
    <n v="3756"/>
    <n v="67"/>
    <n v="0.55800000000000005"/>
    <n v="2.1999999999999999E-2"/>
    <n v="1.0119E-4"/>
    <n v="0.99990000000000001"/>
    <s v="24.99351720349587"/>
    <n v="2.7436809057592901"/>
    <s v="52.90572738585035"/>
    <n v="6.3485125266176307E-2"/>
    <n v="712361583"/>
    <x v="0"/>
    <n v="6.2181555999999999E-4"/>
    <x v="0"/>
  </r>
  <r>
    <n v="33"/>
    <n v="0"/>
    <n v="2"/>
    <n v="2"/>
    <n v="2"/>
    <n v="4"/>
    <n v="0"/>
    <n v="19"/>
    <n v="3"/>
    <n v="2"/>
    <n v="3"/>
    <n v="5141"/>
    <n v="1737"/>
    <n v="3404"/>
    <n v="0.98499999999999999"/>
    <n v="5859"/>
    <n v="82"/>
    <n v="0.78300000000000003"/>
    <n v="0.33800000000000002"/>
    <n v="1.9143E-4"/>
    <n v="0.99980999999999998"/>
    <s v="15.606000939019326"/>
    <s v="1.9326048169908308"/>
    <s v="53.05655908222533"/>
    <s v="14.015985850507988"/>
    <n v="817288458"/>
    <x v="0"/>
    <n v="3.8750382000000001E-4"/>
    <x v="0"/>
  </r>
  <r>
    <n v="44"/>
    <n v="0"/>
    <n v="4"/>
    <n v="2"/>
    <n v="2"/>
    <n v="4"/>
    <n v="0"/>
    <n v="36"/>
    <n v="6"/>
    <n v="4"/>
    <n v="2"/>
    <n v="7000"/>
    <n v="2517"/>
    <n v="4483"/>
    <n v="0.47499999999999998"/>
    <n v="1112"/>
    <n v="23"/>
    <n v="1.875"/>
    <n v="0.36"/>
    <n v="2.2797E-4"/>
    <n v="0.99977000000000005"/>
    <s v="22.43012709165352"/>
    <s v="52.69442147530426"/>
    <n v="10.008565825086"/>
    <s v="11.23480025880957"/>
    <n v="804595158"/>
    <x v="0"/>
    <n v="1.0254878999999999E-3"/>
    <x v="0"/>
  </r>
  <r>
    <n v="44"/>
    <n v="1"/>
    <n v="5"/>
    <n v="1"/>
    <n v="2"/>
    <n v="2"/>
    <n v="3"/>
    <n v="36"/>
    <n v="2"/>
    <n v="3"/>
    <n v="4"/>
    <n v="34140"/>
    <n v="0"/>
    <n v="34140"/>
    <n v="0.877"/>
    <n v="8177"/>
    <n v="76"/>
    <n v="0.52"/>
    <n v="0"/>
    <n v="0.99856999999999996"/>
    <n v="1.43279E-3"/>
    <s v="12.36291915645558"/>
    <s v="20.234539275882383"/>
    <n v="19.113673813918901"/>
    <s v="8.533209838922659"/>
    <n v="718665033"/>
    <x v="1"/>
    <n v="0.99361575000000002"/>
    <x v="1"/>
  </r>
  <r>
    <n v="50"/>
    <n v="0"/>
    <n v="1"/>
    <n v="6"/>
    <n v="1"/>
    <n v="4"/>
    <n v="0"/>
    <n v="36"/>
    <n v="3"/>
    <n v="5"/>
    <n v="3"/>
    <n v="3069"/>
    <n v="1482"/>
    <n v="1587"/>
    <n v="0.66300000000000003"/>
    <n v="4351"/>
    <n v="74"/>
    <n v="0.72099999999999997"/>
    <n v="0.48299999999999998"/>
    <n v="3.4859000000000002E-4"/>
    <n v="0.99965000000000004"/>
    <s v="22.903077806593327"/>
    <s v="48.99893390051551"/>
    <n v="71.635072786915003"/>
    <s v="15.084039396553528"/>
    <n v="711508608"/>
    <x v="0"/>
    <n v="3.2101269999999999E-4"/>
    <x v="0"/>
  </r>
  <r>
    <n v="33"/>
    <n v="1"/>
    <n v="3"/>
    <n v="3"/>
    <n v="1"/>
    <n v="0"/>
    <n v="0"/>
    <n v="20"/>
    <n v="6"/>
    <n v="3"/>
    <n v="2"/>
    <n v="27499"/>
    <n v="1188"/>
    <n v="26311"/>
    <n v="0.54400000000000004"/>
    <n v="2202"/>
    <n v="46"/>
    <n v="0.39400000000000002"/>
    <n v="4.2999999999999997E-2"/>
    <n v="1.8144999999999999E-4"/>
    <n v="0.99982000000000004"/>
    <s v="64.63314004101841"/>
    <s v="56.813191964917706"/>
    <s v="55.57737072158352"/>
    <s v="14.703815524870508"/>
    <n v="719706483"/>
    <x v="0"/>
    <n v="1.6691644E-3"/>
    <x v="0"/>
  </r>
  <r>
    <n v="56"/>
    <n v="1"/>
    <n v="2"/>
    <n v="3"/>
    <n v="1"/>
    <n v="2"/>
    <n v="0"/>
    <n v="36"/>
    <n v="4"/>
    <n v="3"/>
    <n v="1"/>
    <n v="2713"/>
    <n v="1990"/>
    <n v="723"/>
    <n v="0.7"/>
    <n v="4027"/>
    <n v="67"/>
    <n v="0.63400000000000001"/>
    <n v="0.73399999999999999"/>
    <n v="1.0545E-4"/>
    <n v="0.99988999999999995"/>
    <s v="43.21985026895159"/>
    <s v="25.164059227968707"/>
    <s v="39.41841006966922"/>
    <s v="0.6540979618707448"/>
    <n v="716631708"/>
    <x v="0"/>
    <n v="3.2914013999999999E-4"/>
    <x v="0"/>
  </r>
  <r>
    <n v="53"/>
    <n v="0"/>
    <n v="3"/>
    <n v="5"/>
    <n v="1"/>
    <n v="4"/>
    <n v="0"/>
    <n v="36"/>
    <n v="3"/>
    <n v="1"/>
    <n v="3"/>
    <n v="1438.3"/>
    <n v="1183"/>
    <n v="255.3"/>
    <n v="0.84099999999999997"/>
    <n v="4551"/>
    <n v="65"/>
    <n v="0.66700000000000004"/>
    <n v="0.82199999999999995"/>
    <s v="9.8837e-05"/>
    <n v="0.99990000000000001"/>
    <s v="8.664663220828636"/>
    <s v="16.889544734091647"/>
    <s v="82.96960706317442"/>
    <s v="24.80555213873589"/>
    <n v="711343233"/>
    <x v="0"/>
    <n v="3.2890364000000001E-4"/>
    <x v="0"/>
  </r>
  <r>
    <n v="47"/>
    <n v="0"/>
    <n v="4"/>
    <n v="2"/>
    <n v="0"/>
    <n v="4"/>
    <n v="0"/>
    <n v="42"/>
    <n v="1"/>
    <n v="3"/>
    <n v="3"/>
    <n v="5798"/>
    <n v="2517"/>
    <n v="3281"/>
    <n v="0.57999999999999996"/>
    <n v="1860"/>
    <n v="43"/>
    <n v="0.433"/>
    <n v="0.434"/>
    <n v="0.99685999999999997"/>
    <n v="3.1411199999999998E-3"/>
    <s v="3.0012550812609624"/>
    <s v="49.46415996656228"/>
    <s v="131.39978427992978"/>
    <n v="1.9374139416195799"/>
    <n v="814483608"/>
    <x v="1"/>
    <n v="0.99578226000000003"/>
    <x v="1"/>
  </r>
  <r>
    <n v="52"/>
    <n v="1"/>
    <n v="2"/>
    <n v="2"/>
    <n v="2"/>
    <n v="0"/>
    <n v="0"/>
    <n v="44"/>
    <n v="5"/>
    <n v="1"/>
    <n v="1"/>
    <n v="34516"/>
    <n v="2174"/>
    <n v="32342"/>
    <n v="0.42599999999999999"/>
    <n v="1616"/>
    <n v="50"/>
    <n v="0.51500000000000001"/>
    <n v="6.3E-2"/>
    <s v="3.3214e-05"/>
    <n v="0.99997000000000003"/>
    <s v="32.249827358779086"/>
    <s v="5.0988387534847845"/>
    <s v="252.84127722650456"/>
    <s v="14.825746312753706"/>
    <n v="715383108"/>
    <x v="0"/>
    <n v="1.060255E-3"/>
    <x v="0"/>
  </r>
  <r>
    <n v="44"/>
    <n v="0"/>
    <n v="1"/>
    <n v="6"/>
    <n v="1"/>
    <n v="4"/>
    <n v="0"/>
    <n v="38"/>
    <n v="5"/>
    <n v="2"/>
    <n v="4"/>
    <n v="3242"/>
    <n v="799"/>
    <n v="2443"/>
    <n v="0.45900000000000002"/>
    <n v="1424"/>
    <n v="37"/>
    <n v="2.8000000000000001E-2"/>
    <n v="0.246"/>
    <n v="3.3691999999999999E-4"/>
    <n v="0.99965999999999999"/>
    <s v="16.16929294811276"/>
    <s v="17.83004176262137"/>
    <s v="6.122979588249152"/>
    <s v="11.756753303698224"/>
    <n v="786557358"/>
    <x v="0"/>
    <n v="2.025308E-3"/>
    <x v="0"/>
  </r>
  <r>
    <n v="45"/>
    <n v="0"/>
    <n v="5"/>
    <n v="2"/>
    <n v="1"/>
    <n v="4"/>
    <n v="0"/>
    <n v="39"/>
    <n v="4"/>
    <n v="3"/>
    <n v="2"/>
    <n v="2156"/>
    <n v="1208"/>
    <n v="948"/>
    <n v="0.56899999999999995"/>
    <n v="1345"/>
    <n v="28"/>
    <n v="0.64700000000000002"/>
    <n v="0.56000000000000005"/>
    <n v="1.8569999999999999E-4"/>
    <n v="0.99980999999999998"/>
    <s v="13.428429435138552"/>
    <s v="38.36809240107981"/>
    <s v="54.26979978245349"/>
    <s v="16.030512240990074"/>
    <n v="794831733"/>
    <x v="0"/>
    <n v="1.0598798E-3"/>
    <x v="0"/>
  </r>
  <r>
    <n v="44"/>
    <n v="0"/>
    <n v="4"/>
    <n v="5"/>
    <n v="0"/>
    <n v="5"/>
    <n v="0"/>
    <n v="36"/>
    <n v="3"/>
    <n v="2"/>
    <n v="0"/>
    <n v="9908"/>
    <n v="2066"/>
    <n v="7842"/>
    <n v="0.46300000000000002"/>
    <n v="3749"/>
    <n v="80"/>
    <n v="0.66700000000000004"/>
    <n v="0.20899999999999999"/>
    <s v="4.5275e-05"/>
    <n v="0.99995000000000001"/>
    <s v="29.69573685871837"/>
    <s v="19.49649696597817"/>
    <s v="141.42985594253506"/>
    <s v="4.013228163551935"/>
    <n v="717265983"/>
    <x v="0"/>
    <n v="3.2101269999999999E-4"/>
    <x v="0"/>
  </r>
  <r>
    <n v="55"/>
    <n v="1"/>
    <n v="2"/>
    <n v="0"/>
    <n v="2"/>
    <n v="3"/>
    <n v="3"/>
    <n v="45"/>
    <n v="3"/>
    <n v="1"/>
    <n v="4"/>
    <n v="34516"/>
    <n v="1433"/>
    <n v="33083"/>
    <n v="0.72799999999999998"/>
    <n v="1966"/>
    <n v="31"/>
    <n v="0.55000000000000004"/>
    <n v="4.2000000000000003E-2"/>
    <n v="1.3883E-4"/>
    <n v="0.99985999999999997"/>
    <s v="11.310163439081304"/>
    <s v="6.273327911015134"/>
    <s v="68.21554180495765"/>
    <s v="3.1591760512918827"/>
    <n v="772399983"/>
    <x v="0"/>
    <n v="1.3443193E-3"/>
    <x v="0"/>
  </r>
  <r>
    <n v="48"/>
    <n v="1"/>
    <n v="4"/>
    <n v="2"/>
    <n v="2"/>
    <n v="3"/>
    <n v="0"/>
    <n v="36"/>
    <n v="4"/>
    <n v="1"/>
    <n v="4"/>
    <n v="1536"/>
    <n v="1017"/>
    <n v="519"/>
    <n v="0.58899999999999997"/>
    <n v="3816"/>
    <n v="71"/>
    <n v="0.44900000000000001"/>
    <n v="0.66200000000000003"/>
    <n v="1.6574E-4"/>
    <n v="0.99983"/>
    <s v="62.23314500354556"/>
    <s v="7.146062502432557"/>
    <s v="19.990730945171325"/>
    <s v="5.666004766968831"/>
    <n v="716911608"/>
    <x v="0"/>
    <n v="3.5747702000000001E-4"/>
    <x v="0"/>
  </r>
  <r>
    <n v="43"/>
    <n v="0"/>
    <n v="3"/>
    <n v="2"/>
    <n v="2"/>
    <n v="4"/>
    <n v="0"/>
    <n v="30"/>
    <n v="3"/>
    <n v="3"/>
    <n v="1"/>
    <n v="4075"/>
    <n v="2189"/>
    <n v="1886"/>
    <n v="0.69499999999999995"/>
    <n v="3956"/>
    <n v="71"/>
    <n v="0.73199999999999998"/>
    <n v="0.53700000000000003"/>
    <n v="1.1256000000000001E-4"/>
    <n v="0.99988999999999995"/>
    <s v="5.846494580010596"/>
    <s v="33.47698904482583"/>
    <s v="72.01035716545118"/>
    <s v="0.2373320794142487"/>
    <n v="711675108"/>
    <x v="0"/>
    <n v="3.2101269999999999E-4"/>
    <x v="0"/>
  </r>
  <r>
    <n v="50"/>
    <n v="1"/>
    <n v="1"/>
    <n v="4"/>
    <n v="3"/>
    <n v="3"/>
    <n v="1"/>
    <n v="36"/>
    <n v="2"/>
    <n v="3"/>
    <n v="2"/>
    <n v="34516"/>
    <n v="0"/>
    <n v="34516"/>
    <n v="1.032"/>
    <n v="5547"/>
    <n v="75"/>
    <n v="0.74399999999999999"/>
    <n v="0"/>
    <n v="0.99565000000000003"/>
    <n v="4.3492299999999999E-3"/>
    <s v="19.813067336183337"/>
    <s v="35.60439692754405"/>
    <s v="61.57359606695928"/>
    <s v="22.358052325145877"/>
    <n v="718353633"/>
    <x v="1"/>
    <n v="0.99507409999999996"/>
    <x v="1"/>
  </r>
  <r>
    <n v="30"/>
    <n v="0"/>
    <n v="1"/>
    <n v="2"/>
    <n v="2"/>
    <n v="4"/>
    <n v="0"/>
    <n v="18"/>
    <n v="4"/>
    <n v="2"/>
    <n v="1"/>
    <n v="1438.3"/>
    <n v="0"/>
    <n v="1438.3"/>
    <n v="0.6"/>
    <n v="4322"/>
    <n v="68"/>
    <n v="0.61899999999999999"/>
    <n v="0"/>
    <s v="6.4428e-05"/>
    <n v="0.99994000000000005"/>
    <s v="45.50376681896694"/>
    <n v="18.383726961072099"/>
    <s v="30.62547961211101"/>
    <s v="13.739092481919988"/>
    <n v="718183833"/>
    <x v="0"/>
    <n v="7.686247E-4"/>
    <x v="0"/>
  </r>
  <r>
    <n v="42"/>
    <n v="1"/>
    <n v="3"/>
    <n v="3"/>
    <n v="1"/>
    <n v="3"/>
    <n v="0"/>
    <n v="36"/>
    <n v="5"/>
    <n v="4"/>
    <n v="3"/>
    <n v="1681"/>
    <n v="0"/>
    <n v="1681"/>
    <n v="0.99399999999999999"/>
    <n v="5416"/>
    <n v="82"/>
    <n v="0.95199999999999996"/>
    <n v="0"/>
    <n v="3.6877999999999998E-4"/>
    <n v="0.99963000000000002"/>
    <s v="23.77003472319899"/>
    <s v="69.90910698561126"/>
    <s v="78.23801566046977"/>
    <s v="10.901321312866695"/>
    <n v="796326483"/>
    <x v="0"/>
    <n v="8.1259577000000001E-4"/>
    <x v="0"/>
  </r>
  <r>
    <n v="41"/>
    <n v="1"/>
    <n v="3"/>
    <n v="6"/>
    <n v="1"/>
    <n v="3"/>
    <n v="0"/>
    <n v="22"/>
    <n v="3"/>
    <n v="3"/>
    <n v="4"/>
    <n v="20543"/>
    <n v="0"/>
    <n v="20543"/>
    <n v="0.54700000000000004"/>
    <n v="1874"/>
    <n v="42"/>
    <n v="0.61499999999999999"/>
    <n v="0"/>
    <n v="0.99829999999999997"/>
    <n v="1.6953199999999999E-3"/>
    <s v="46.02365748461119"/>
    <s v="1.2539768007322287"/>
    <s v="121.82331194797624"/>
    <s v="8.999504615153427"/>
    <n v="772922883"/>
    <x v="1"/>
    <n v="0.99803704000000004"/>
    <x v="1"/>
  </r>
  <r>
    <n v="39"/>
    <n v="1"/>
    <n v="1"/>
    <n v="2"/>
    <n v="1"/>
    <n v="2"/>
    <n v="0"/>
    <n v="31"/>
    <n v="4"/>
    <n v="1"/>
    <n v="1"/>
    <n v="2536"/>
    <n v="913"/>
    <n v="1623"/>
    <n v="1.0589999999999999"/>
    <n v="1750"/>
    <n v="35"/>
    <n v="1.333"/>
    <n v="0.36"/>
    <s v="3.1176e-05"/>
    <n v="0.99997000000000003"/>
    <s v="49.12443016938472"/>
    <s v="14.366951629358985"/>
    <s v="101.09814428423348"/>
    <s v="20.97113398799933"/>
    <n v="715205358"/>
    <x v="0"/>
    <n v="1.3014544E-3"/>
    <x v="0"/>
  </r>
  <r>
    <n v="50"/>
    <n v="1"/>
    <n v="2"/>
    <n v="2"/>
    <n v="2"/>
    <n v="3"/>
    <n v="3"/>
    <n v="35"/>
    <n v="1"/>
    <n v="2"/>
    <n v="3"/>
    <n v="34516"/>
    <n v="0"/>
    <n v="34516"/>
    <n v="0.74199999999999999"/>
    <n v="7745"/>
    <n v="83"/>
    <n v="0.72899999999999998"/>
    <n v="0"/>
    <n v="1.7296999999999999E-4"/>
    <n v="0.99983"/>
    <s v="8.477768893697878"/>
    <s v="11.88287649317298"/>
    <s v="18.56206786856279"/>
    <s v="10.71205434889483"/>
    <n v="779548008"/>
    <x v="0"/>
    <n v="7.9810305E-4"/>
    <x v="0"/>
  </r>
  <r>
    <n v="40"/>
    <n v="1"/>
    <n v="2"/>
    <n v="2"/>
    <n v="1"/>
    <n v="3"/>
    <n v="0"/>
    <n v="28"/>
    <n v="6"/>
    <n v="2"/>
    <n v="3"/>
    <n v="3654"/>
    <n v="1172"/>
    <n v="2482"/>
    <n v="0.93799999999999994"/>
    <n v="4003"/>
    <n v="67"/>
    <n v="0.59499999999999997"/>
    <n v="0.32100000000000001"/>
    <n v="1.9143E-4"/>
    <n v="0.99980999999999998"/>
    <s v="4.806619997947756"/>
    <s v="1.7452382871897112"/>
    <s v="114.5288278651146"/>
    <s v="12.620839459388536"/>
    <n v="708665133"/>
    <x v="0"/>
    <n v="3.3028650000000001E-4"/>
    <x v="0"/>
  </r>
  <r>
    <n v="33"/>
    <n v="0"/>
    <n v="2"/>
    <n v="1"/>
    <n v="2"/>
    <n v="4"/>
    <n v="0"/>
    <n v="36"/>
    <n v="5"/>
    <n v="2"/>
    <n v="3"/>
    <n v="2800"/>
    <n v="1559"/>
    <n v="1241"/>
    <n v="0.59799999999999998"/>
    <n v="4253"/>
    <n v="83"/>
    <n v="0.69399999999999995"/>
    <n v="0.55700000000000005"/>
    <n v="2.7701000000000001E-4"/>
    <n v="0.99972000000000005"/>
    <s v="17.501100632542244"/>
    <n v="57.698748722128599"/>
    <s v="10.920254223858436"/>
    <s v="2.881166910805989"/>
    <n v="710929233"/>
    <x v="0"/>
    <n v="3.2101269999999999E-4"/>
    <x v="0"/>
  </r>
  <r>
    <n v="48"/>
    <n v="0"/>
    <n v="3"/>
    <n v="3"/>
    <n v="1"/>
    <n v="4"/>
    <n v="0"/>
    <n v="36"/>
    <n v="4"/>
    <n v="1"/>
    <n v="2"/>
    <n v="3716"/>
    <n v="0"/>
    <n v="3716"/>
    <n v="0.88600000000000001"/>
    <n v="4833"/>
    <n v="73"/>
    <n v="0.52100000000000002"/>
    <n v="0"/>
    <s v="5.5559e-05"/>
    <n v="0.99994000000000005"/>
    <s v="39.62605245372073"/>
    <n v="82.889390095025604"/>
    <s v="26.302592672042035"/>
    <s v="13.84758349330509"/>
    <n v="715636533"/>
    <x v="0"/>
    <n v="7.7666439999999996E-4"/>
    <x v="0"/>
  </r>
  <r>
    <n v="40"/>
    <n v="1"/>
    <n v="1"/>
    <n v="4"/>
    <n v="1"/>
    <n v="2"/>
    <n v="0"/>
    <n v="36"/>
    <n v="6"/>
    <n v="3"/>
    <n v="4"/>
    <n v="18386"/>
    <n v="890"/>
    <n v="17496"/>
    <n v="0.36099999999999999"/>
    <n v="1698"/>
    <n v="43"/>
    <n v="0.48299999999999998"/>
    <n v="4.8000000000000001E-2"/>
    <n v="0.99824999999999997"/>
    <n v="1.7506799999999999E-3"/>
    <s v="4.925903909345968"/>
    <s v="34.55775738330775"/>
    <s v="29.19559567857247"/>
    <s v="17.46998803916983"/>
    <n v="708799983"/>
    <x v="1"/>
    <n v="0.99545824999999999"/>
    <x v="1"/>
  </r>
  <r>
    <n v="33"/>
    <n v="0"/>
    <n v="2"/>
    <n v="2"/>
    <n v="2"/>
    <n v="4"/>
    <n v="0"/>
    <n v="17"/>
    <n v="4"/>
    <n v="3"/>
    <n v="4"/>
    <n v="2431"/>
    <n v="1846"/>
    <n v="585"/>
    <n v="0.61199999999999999"/>
    <n v="4327"/>
    <n v="74"/>
    <n v="0.64400000000000002"/>
    <n v="0.75900000000000001"/>
    <n v="5.1599999999999997E-4"/>
    <n v="0.99948000000000004"/>
    <s v="0.1314291063966559"/>
    <s v="79.95738076980895"/>
    <s v="17.76037175021497"/>
    <s v="14.378186863007516"/>
    <n v="718574808"/>
    <x v="0"/>
    <n v="3.2914013999999999E-4"/>
    <x v="0"/>
  </r>
  <r>
    <n v="38"/>
    <n v="1"/>
    <n v="2"/>
    <n v="5"/>
    <n v="1"/>
    <n v="4"/>
    <n v="0"/>
    <n v="27"/>
    <n v="6"/>
    <n v="2"/>
    <n v="4"/>
    <n v="1438.3"/>
    <n v="0"/>
    <n v="1438.3"/>
    <n v="0.94499999999999995"/>
    <n v="2412"/>
    <n v="58"/>
    <n v="0.65700000000000003"/>
    <n v="0"/>
    <n v="3.3576999999999999E-4"/>
    <n v="0.99965999999999999"/>
    <s v="2.871248979825602"/>
    <s v="30.366379275151186"/>
    <s v="30.295913622808836"/>
    <s v="19.35471766812001"/>
    <n v="719591283"/>
    <x v="0"/>
    <n v="1.29228E-3"/>
    <x v="0"/>
  </r>
  <r>
    <n v="45"/>
    <n v="1"/>
    <n v="4"/>
    <n v="5"/>
    <n v="1"/>
    <n v="2"/>
    <n v="3"/>
    <n v="33"/>
    <n v="5"/>
    <n v="2"/>
    <n v="4"/>
    <n v="25907"/>
    <n v="745"/>
    <n v="25162"/>
    <n v="0.60699999999999998"/>
    <n v="2058"/>
    <n v="56"/>
    <n v="0.80600000000000005"/>
    <n v="2.9000000000000001E-2"/>
    <n v="3.1817999999999999E-4"/>
    <n v="0.99968000000000001"/>
    <s v="70.08465991850733"/>
    <s v="38.44805088638709"/>
    <s v="34.63570548130953"/>
    <s v="0.3708397531304517"/>
    <n v="717613233"/>
    <x v="0"/>
    <n v="1.0718451999999999E-3"/>
    <x v="0"/>
  </r>
  <r>
    <n v="45"/>
    <n v="0"/>
    <n v="2"/>
    <n v="2"/>
    <n v="1"/>
    <n v="4"/>
    <n v="0"/>
    <n v="34"/>
    <n v="5"/>
    <n v="3"/>
    <n v="1"/>
    <n v="5371"/>
    <n v="1499"/>
    <n v="3872"/>
    <n v="0.73699999999999999"/>
    <n v="3282"/>
    <n v="66"/>
    <n v="0.65"/>
    <n v="0.27900000000000003"/>
    <n v="1.0848E-4"/>
    <n v="0.99988999999999995"/>
    <s v="3.389496734535969"/>
    <n v="76.952093350965399"/>
    <s v="99.46103051614529"/>
    <s v="9.445338156837751"/>
    <n v="711629733"/>
    <x v="0"/>
    <n v="3.2101269999999999E-4"/>
    <x v="0"/>
  </r>
  <r>
    <n v="37"/>
    <n v="1"/>
    <n v="3"/>
    <n v="5"/>
    <n v="2"/>
    <n v="3"/>
    <n v="0"/>
    <n v="30"/>
    <n v="5"/>
    <n v="2"/>
    <n v="2"/>
    <n v="11277"/>
    <n v="1747"/>
    <n v="9530"/>
    <n v="0.503"/>
    <n v="2033"/>
    <n v="56"/>
    <n v="0.86699999999999999"/>
    <n v="0.155"/>
    <n v="1.2144E-4"/>
    <n v="0.99987999999999999"/>
    <s v="33.548782015101374"/>
    <s v="52.11622203142915"/>
    <s v="45.57389602896083"/>
    <s v="10.135283822675095"/>
    <n v="765940683"/>
    <x v="0"/>
    <n v="5.2865170000000001E-4"/>
    <x v="0"/>
  </r>
  <r>
    <n v="55"/>
    <n v="1"/>
    <n v="1"/>
    <n v="5"/>
    <n v="2"/>
    <n v="0"/>
    <n v="0"/>
    <n v="41"/>
    <n v="3"/>
    <n v="4"/>
    <n v="4"/>
    <n v="24542"/>
    <n v="2354"/>
    <n v="22188"/>
    <n v="0.314"/>
    <n v="984"/>
    <n v="24"/>
    <n v="0.26300000000000001"/>
    <n v="9.6000000000000002E-2"/>
    <n v="0.99834000000000001"/>
    <n v="1.65792E-3"/>
    <s v="36.44155711933843"/>
    <s v="28.346429336402867"/>
    <s v="7.900369909266943"/>
    <s v="18.583253573145768"/>
    <n v="780292683"/>
    <x v="1"/>
    <n v="0.99400805999999997"/>
    <x v="1"/>
  </r>
  <r>
    <n v="38"/>
    <n v="0"/>
    <n v="2"/>
    <n v="3"/>
    <n v="2"/>
    <n v="4"/>
    <n v="0"/>
    <n v="27"/>
    <n v="6"/>
    <n v="1"/>
    <n v="3"/>
    <n v="2096"/>
    <n v="1567"/>
    <n v="529"/>
    <n v="0.77800000000000002"/>
    <n v="1559"/>
    <n v="49"/>
    <n v="1.042"/>
    <n v="0.748"/>
    <s v="9.0056e-05"/>
    <n v="0.99990999999999997"/>
    <s v="35.30615873536131"/>
    <s v="39.52217351501757"/>
    <s v="35.57751432287572"/>
    <s v="22.889649801770563"/>
    <n v="719182308"/>
    <x v="0"/>
    <n v="8.1453624000000005E-4"/>
    <x v="0"/>
  </r>
  <r>
    <n v="47"/>
    <n v="0"/>
    <n v="2"/>
    <n v="0"/>
    <n v="1"/>
    <n v="4"/>
    <n v="0"/>
    <n v="36"/>
    <n v="6"/>
    <n v="3"/>
    <n v="3"/>
    <n v="1438.3"/>
    <n v="0"/>
    <n v="1438.3"/>
    <n v="0.63400000000000001"/>
    <n v="3832"/>
    <n v="87"/>
    <n v="0.67300000000000004"/>
    <n v="0"/>
    <n v="2.9410999999999999E-4"/>
    <n v="0.99970999999999999"/>
    <s v="20.674676585310216"/>
    <s v="11.149271457807185"/>
    <s v="32.11862900435685"/>
    <s v="3.5997036530669653"/>
    <n v="712102983"/>
    <x v="0"/>
    <n v="6.9517245999999998E-4"/>
    <x v="0"/>
  </r>
  <r>
    <n v="45"/>
    <n v="1"/>
    <n v="3"/>
    <n v="6"/>
    <n v="1"/>
    <n v="3"/>
    <n v="0"/>
    <n v="38"/>
    <n v="6"/>
    <n v="3"/>
    <n v="1"/>
    <n v="12918"/>
    <n v="1345"/>
    <n v="11573"/>
    <n v="1.0609999999999999"/>
    <n v="1562"/>
    <n v="33"/>
    <n v="1.2"/>
    <n v="0.104"/>
    <n v="1.2373000000000001E-4"/>
    <n v="0.99987999999999999"/>
    <n v="9.2477452598874592"/>
    <s v="40.20634058870557"/>
    <s v="138.33648136096488"/>
    <s v="13.654307865667317"/>
    <n v="795155433"/>
    <x v="0"/>
    <n v="9.8706899999999992E-4"/>
    <x v="0"/>
  </r>
  <r>
    <n v="56"/>
    <n v="1"/>
    <n v="3"/>
    <n v="5"/>
    <n v="1"/>
    <n v="0"/>
    <n v="0"/>
    <n v="43"/>
    <n v="5"/>
    <n v="1"/>
    <n v="5"/>
    <n v="5188"/>
    <n v="753"/>
    <n v="4435"/>
    <n v="0.59099999999999997"/>
    <n v="1540"/>
    <n v="30"/>
    <n v="0.42899999999999999"/>
    <n v="0.14499999999999999"/>
    <n v="2.9175000000000002E-4"/>
    <n v="0.99970999999999999"/>
    <s v="5.776862388556256"/>
    <s v="10.643242433822552"/>
    <s v="50.282174234797296"/>
    <s v="11.795913097099596"/>
    <n v="779174133"/>
    <x v="0"/>
    <n v="2.0992573999999999E-3"/>
    <x v="0"/>
  </r>
  <r>
    <n v="57"/>
    <n v="0"/>
    <n v="1"/>
    <n v="2"/>
    <n v="1"/>
    <n v="4"/>
    <n v="0"/>
    <n v="46"/>
    <n v="4"/>
    <n v="3"/>
    <n v="2"/>
    <n v="3638"/>
    <n v="0"/>
    <n v="3638"/>
    <n v="0.83699999999999997"/>
    <n v="16469"/>
    <n v="115"/>
    <n v="0.66700000000000004"/>
    <n v="0"/>
    <n v="1.6882999999999999E-4"/>
    <n v="0.99983"/>
    <s v="0.9835872989276568"/>
    <s v="43.423055846510834"/>
    <s v="41.075024648692384"/>
    <s v="10.030741760952276"/>
    <n v="720515883"/>
    <x v="0"/>
    <n v="7.5047980000000002E-4"/>
    <x v="0"/>
  </r>
  <r>
    <n v="64"/>
    <n v="0"/>
    <n v="0"/>
    <n v="2"/>
    <n v="2"/>
    <n v="4"/>
    <n v="0"/>
    <n v="53"/>
    <n v="5"/>
    <n v="3"/>
    <n v="4"/>
    <n v="6663"/>
    <n v="765"/>
    <n v="5898"/>
    <n v="1.129"/>
    <n v="4583"/>
    <n v="78"/>
    <n v="0.85699999999999998"/>
    <n v="0.115"/>
    <n v="4.4282000000000002E-4"/>
    <n v="0.99956"/>
    <s v="64.81861966576443"/>
    <s v="27.39812524112409"/>
    <n v="51.741207582160101"/>
    <s v="7.011881085069841"/>
    <n v="712852233"/>
    <x v="0"/>
    <n v="5.526754E-4"/>
    <x v="0"/>
  </r>
  <r>
    <n v="46"/>
    <n v="0"/>
    <n v="1"/>
    <n v="5"/>
    <n v="2"/>
    <n v="1"/>
    <n v="0"/>
    <n v="30"/>
    <n v="3"/>
    <n v="2"/>
    <n v="1"/>
    <n v="7195"/>
    <n v="0"/>
    <n v="7195"/>
    <n v="1.0349999999999999"/>
    <n v="2751"/>
    <n v="47"/>
    <n v="1.1359999999999999"/>
    <n v="0"/>
    <n v="0.98512999999999995"/>
    <n v="1.487E-2"/>
    <s v="48.56199885925856"/>
    <s v="27.89516701718878"/>
    <s v="121.7609404444142"/>
    <s v="49.73154344996244"/>
    <n v="719564208"/>
    <x v="1"/>
    <n v="0.99809689999999995"/>
    <x v="1"/>
  </r>
  <r>
    <n v="46"/>
    <n v="0"/>
    <n v="2"/>
    <n v="4"/>
    <n v="1"/>
    <n v="4"/>
    <n v="0"/>
    <n v="28"/>
    <n v="5"/>
    <n v="1"/>
    <n v="1"/>
    <n v="5014"/>
    <n v="1910"/>
    <n v="3104"/>
    <n v="0.86299999999999999"/>
    <n v="1209"/>
    <n v="25"/>
    <n v="1.5"/>
    <n v="0.38100000000000001"/>
    <s v="3.9082e-05"/>
    <n v="0.99995999999999996"/>
    <s v="23.35444924018924"/>
    <s v="34.27855916092804"/>
    <s v="62.24221739454924"/>
    <s v="21.22330811811877"/>
    <n v="779504058"/>
    <x v="0"/>
    <n v="9.8706899999999992E-4"/>
    <x v="0"/>
  </r>
  <r>
    <n v="55"/>
    <n v="0"/>
    <n v="3"/>
    <n v="0"/>
    <n v="2"/>
    <n v="4"/>
    <n v="0"/>
    <n v="43"/>
    <n v="6"/>
    <n v="3"/>
    <n v="4"/>
    <n v="1844"/>
    <n v="0"/>
    <n v="1844"/>
    <n v="0.72899999999999998"/>
    <n v="4564"/>
    <n v="82"/>
    <n v="0.60799999999999998"/>
    <n v="0"/>
    <n v="5.2057000000000004E-4"/>
    <n v="0.99948000000000004"/>
    <s v="42.48977835823629"/>
    <s v="25.447274923743947"/>
    <s v="0.3890757515831615"/>
    <s v="5.837066416644616"/>
    <n v="718538958"/>
    <x v="0"/>
    <n v="7.1276520000000004E-4"/>
    <x v="0"/>
  </r>
  <r>
    <n v="48"/>
    <n v="1"/>
    <n v="3"/>
    <n v="0"/>
    <n v="1"/>
    <n v="4"/>
    <n v="0"/>
    <n v="37"/>
    <n v="4"/>
    <n v="3"/>
    <n v="3"/>
    <n v="3305"/>
    <n v="2517"/>
    <n v="788"/>
    <n v="0.76600000000000001"/>
    <n v="2027"/>
    <n v="57"/>
    <n v="1.036"/>
    <n v="0.76200000000000001"/>
    <n v="3.0519E-4"/>
    <n v="0.99968999999999997"/>
    <s v="28.065411777856667"/>
    <s v="59.97034423655325"/>
    <s v="14.29133280231122"/>
    <s v="18.59999316999734"/>
    <n v="708445608"/>
    <x v="0"/>
    <n v="5.6673439999999997E-4"/>
    <x v="0"/>
  </r>
  <r>
    <n v="49"/>
    <n v="0"/>
    <n v="3"/>
    <n v="5"/>
    <n v="0"/>
    <n v="4"/>
    <n v="0"/>
    <n v="36"/>
    <n v="4"/>
    <n v="1"/>
    <n v="3"/>
    <n v="1902"/>
    <n v="0"/>
    <n v="1902"/>
    <n v="0.69299999999999995"/>
    <n v="3731"/>
    <n v="53"/>
    <n v="0.89300000000000002"/>
    <n v="0"/>
    <s v="9.8837e-05"/>
    <n v="0.99990000000000001"/>
    <n v="5.9337464734775802E-2"/>
    <s v="20.27720500136408"/>
    <s v="36.88287319433022"/>
    <s v="0.8012609326021564"/>
    <n v="708494583"/>
    <x v="0"/>
    <n v="2.0427940000000001E-3"/>
    <x v="0"/>
  </r>
  <r>
    <n v="36"/>
    <n v="0"/>
    <n v="3"/>
    <n v="6"/>
    <n v="1"/>
    <n v="4"/>
    <n v="0"/>
    <n v="36"/>
    <n v="6"/>
    <n v="5"/>
    <n v="3"/>
    <n v="2786"/>
    <n v="1628"/>
    <n v="1158"/>
    <n v="1.3140000000000001"/>
    <n v="2853"/>
    <n v="55"/>
    <n v="0.66700000000000004"/>
    <n v="0.58399999999999996"/>
    <n v="3.8536000000000001E-4"/>
    <n v="0.99961"/>
    <s v="11.249295049278036"/>
    <s v="27.606949415982022"/>
    <s v="81.26627199897263"/>
    <s v="5.407611639565992"/>
    <n v="716870583"/>
    <x v="0"/>
    <n v="4.8800782000000002E-4"/>
    <x v="0"/>
  </r>
  <r>
    <n v="43"/>
    <n v="1"/>
    <n v="3"/>
    <n v="2"/>
    <n v="2"/>
    <n v="0"/>
    <n v="0"/>
    <n v="31"/>
    <n v="3"/>
    <n v="3"/>
    <n v="3"/>
    <n v="1438.3"/>
    <n v="0"/>
    <n v="1438.3"/>
    <n v="0.66300000000000003"/>
    <n v="1867"/>
    <n v="45"/>
    <n v="0.875"/>
    <n v="0"/>
    <n v="3.1389999999999999E-4"/>
    <n v="0.99968999999999997"/>
    <s v="38.94429753477121"/>
    <n v="40.603696840582103"/>
    <s v="68.92878486041006"/>
    <s v="28.42788779108886"/>
    <n v="711836733"/>
    <x v="0"/>
    <n v="3.5265972999999999E-3"/>
    <x v="0"/>
  </r>
  <r>
    <n v="59"/>
    <n v="0"/>
    <n v="0"/>
    <n v="2"/>
    <n v="3"/>
    <n v="5"/>
    <n v="0"/>
    <n v="55"/>
    <n v="4"/>
    <n v="3"/>
    <n v="3"/>
    <n v="1438.3"/>
    <n v="755"/>
    <n v="683.3"/>
    <n v="0.62"/>
    <n v="4222"/>
    <n v="75"/>
    <n v="0.74399999999999999"/>
    <n v="0.52500000000000002"/>
    <n v="2.5960000000000002E-4"/>
    <n v="0.99973999999999996"/>
    <s v="29.435814802789576"/>
    <s v="29.64368991383653"/>
    <s v="27.16750771271444"/>
    <s v="13.303943443253326"/>
    <n v="827635083"/>
    <x v="0"/>
    <n v="5.4489190000000002E-4"/>
    <x v="0"/>
  </r>
  <r>
    <n v="45"/>
    <n v="0"/>
    <n v="5"/>
    <n v="5"/>
    <n v="3"/>
    <n v="4"/>
    <n v="0"/>
    <n v="36"/>
    <n v="1"/>
    <n v="2"/>
    <n v="3"/>
    <n v="2699"/>
    <n v="1583"/>
    <n v="1116"/>
    <n v="0.64800000000000002"/>
    <n v="4071"/>
    <n v="75"/>
    <n v="0.82899999999999996"/>
    <n v="0.58699999999999997"/>
    <n v="2.0321E-4"/>
    <n v="0.99980000000000002"/>
    <s v="0.6002260980712342"/>
    <s v="103.20842801578787"/>
    <s v="10.924822414173924"/>
    <s v="13.817232830731273"/>
    <n v="714695883"/>
    <x v="0"/>
    <n v="3.2101269999999999E-4"/>
    <x v="0"/>
  </r>
  <r>
    <n v="38"/>
    <n v="0"/>
    <n v="3"/>
    <n v="2"/>
    <n v="2"/>
    <n v="4"/>
    <n v="0"/>
    <n v="22"/>
    <n v="4"/>
    <n v="3"/>
    <n v="3"/>
    <n v="1938"/>
    <n v="1175"/>
    <n v="763"/>
    <n v="0.85"/>
    <n v="4606"/>
    <n v="75"/>
    <n v="0.875"/>
    <n v="0.60599999999999998"/>
    <n v="3.1389999999999999E-4"/>
    <n v="0.99968999999999997"/>
    <n v="18.8595287632509"/>
    <s v="101.69841470241984"/>
    <s v="118.89626137458414"/>
    <s v="21.59384795536622"/>
    <n v="779438208"/>
    <x v="0"/>
    <n v="3.2101269999999999E-4"/>
    <x v="0"/>
  </r>
  <r>
    <n v="48"/>
    <n v="0"/>
    <n v="3"/>
    <n v="2"/>
    <n v="3"/>
    <n v="4"/>
    <n v="0"/>
    <n v="44"/>
    <n v="3"/>
    <n v="3"/>
    <n v="2"/>
    <n v="1438.3"/>
    <n v="0"/>
    <n v="1438.3"/>
    <n v="0.73599999999999999"/>
    <n v="2054"/>
    <n v="46"/>
    <n v="0.58599999999999997"/>
    <n v="0"/>
    <n v="0.99467000000000005"/>
    <n v="5.3299999999999997E-3"/>
    <s v="12.66575060243002"/>
    <s v="2.469056118568486"/>
    <s v="5.391898103127706"/>
    <s v="26.146619789921697"/>
    <n v="826261008"/>
    <x v="1"/>
    <n v="0.99876772999999996"/>
    <x v="1"/>
  </r>
  <r>
    <n v="47"/>
    <n v="0"/>
    <n v="5"/>
    <n v="5"/>
    <n v="3"/>
    <n v="1"/>
    <n v="0"/>
    <n v="42"/>
    <n v="2"/>
    <n v="2"/>
    <n v="3"/>
    <n v="5168"/>
    <n v="2265"/>
    <n v="2903"/>
    <n v="0.71499999999999997"/>
    <n v="8211"/>
    <n v="80"/>
    <n v="0.81799999999999995"/>
    <n v="0.438"/>
    <n v="2.0321E-4"/>
    <n v="0.99980000000000002"/>
    <n v="53.685948138397897"/>
    <n v="2.6558895068392099"/>
    <n v="9.2892033411550905"/>
    <s v="8.526940090179979"/>
    <n v="711084183"/>
    <x v="0"/>
    <n v="5.0494296000000004E-4"/>
    <x v="0"/>
  </r>
  <r>
    <n v="52"/>
    <n v="0"/>
    <n v="1"/>
    <n v="3"/>
    <n v="1"/>
    <n v="4"/>
    <n v="0"/>
    <n v="36"/>
    <n v="6"/>
    <n v="3"/>
    <n v="3"/>
    <n v="2133"/>
    <n v="1469"/>
    <n v="664"/>
    <n v="0.83099999999999996"/>
    <n v="1426"/>
    <n v="37"/>
    <n v="0.68200000000000005"/>
    <n v="0.68899999999999995"/>
    <n v="2.7604000000000002E-4"/>
    <n v="0.99972000000000005"/>
    <s v="0.9563319756947888"/>
    <s v="70.53767166944789"/>
    <s v="99.20740984789872"/>
    <s v="5.665285175207456"/>
    <n v="712168833"/>
    <x v="0"/>
    <n v="1.0337284E-3"/>
    <x v="0"/>
  </r>
  <r>
    <n v="43"/>
    <n v="1"/>
    <n v="3"/>
    <n v="2"/>
    <n v="1"/>
    <n v="3"/>
    <n v="0"/>
    <n v="33"/>
    <n v="4"/>
    <n v="1"/>
    <n v="2"/>
    <n v="3498"/>
    <n v="0"/>
    <n v="3498"/>
    <n v="1.109"/>
    <n v="2512"/>
    <n v="56"/>
    <n v="0.86699999999999999"/>
    <n v="0"/>
    <s v="5.7151e-05"/>
    <n v="0.99994000000000005"/>
    <s v="29.483215914030563"/>
    <s v="21.251716615085005"/>
    <s v="51.311481411858026"/>
    <n v="20.8199650274804"/>
    <n v="708747708"/>
    <x v="0"/>
    <n v="1.373204E-3"/>
    <x v="0"/>
  </r>
  <r>
    <n v="53"/>
    <n v="1"/>
    <n v="3"/>
    <n v="2"/>
    <n v="2"/>
    <n v="2"/>
    <n v="0"/>
    <n v="43"/>
    <n v="5"/>
    <n v="3"/>
    <n v="3"/>
    <n v="8404"/>
    <n v="1498"/>
    <n v="6906"/>
    <n v="0.92200000000000004"/>
    <n v="4811"/>
    <n v="56"/>
    <n v="0.55600000000000005"/>
    <n v="0.17799999999999999"/>
    <n v="3.1389999999999999E-4"/>
    <n v="0.99968999999999997"/>
    <s v="11.96499123267721"/>
    <s v="29.621705183800543"/>
    <n v="77.666530748588698"/>
    <s v="6.767201521666318"/>
    <n v="772687983"/>
    <x v="0"/>
    <n v="4.9584946999999999E-4"/>
    <x v="0"/>
  </r>
  <r>
    <n v="43"/>
    <n v="1"/>
    <n v="2"/>
    <n v="3"/>
    <n v="0"/>
    <n v="3"/>
    <n v="0"/>
    <n v="31"/>
    <n v="6"/>
    <n v="2"/>
    <n v="4"/>
    <n v="34516"/>
    <n v="1075"/>
    <n v="33441"/>
    <n v="0.72699999999999998"/>
    <n v="3015"/>
    <n v="65"/>
    <n v="0.47699999999999998"/>
    <n v="3.1E-2"/>
    <n v="3.1745999999999999E-4"/>
    <n v="0.99968000000000001"/>
    <s v="44.50797434805519"/>
    <s v="51.353013776516256"/>
    <n v="17.743570768467901"/>
    <s v="1.2481650224730023"/>
    <n v="719127558"/>
    <x v="0"/>
    <n v="4.4523284E-4"/>
    <x v="0"/>
  </r>
  <r>
    <n v="41"/>
    <n v="1"/>
    <n v="1"/>
    <n v="2"/>
    <n v="0"/>
    <n v="3"/>
    <n v="0"/>
    <n v="35"/>
    <n v="6"/>
    <n v="2"/>
    <n v="3"/>
    <n v="19412"/>
    <n v="770"/>
    <n v="18642"/>
    <n v="0.755"/>
    <n v="1576"/>
    <n v="41"/>
    <n v="0.95199999999999996"/>
    <n v="0.04"/>
    <n v="1.7969000000000001E-4"/>
    <n v="0.99982000000000004"/>
    <s v="0.6028006907735431"/>
    <s v="18.407942613047748"/>
    <s v="19.699210474825414"/>
    <n v="9.2180972409487598"/>
    <n v="767311008"/>
    <x v="0"/>
    <n v="1.8569706000000001E-3"/>
    <x v="0"/>
  </r>
  <r>
    <n v="41"/>
    <n v="0"/>
    <n v="4"/>
    <n v="2"/>
    <n v="0"/>
    <n v="1"/>
    <n v="0"/>
    <n v="36"/>
    <n v="4"/>
    <n v="1"/>
    <n v="0"/>
    <n v="5654"/>
    <n v="2470"/>
    <n v="3184"/>
    <n v="0.63700000000000001"/>
    <n v="15123"/>
    <n v="111"/>
    <n v="0.88100000000000001"/>
    <n v="0.437"/>
    <s v="2.1307e-05"/>
    <n v="0.99997999999999998"/>
    <s v="25.95644561796477"/>
    <s v="42.559679239847895"/>
    <s v="50.28977313213881"/>
    <s v="4.978558914613021"/>
    <n v="714725883"/>
    <x v="0"/>
    <n v="3.7453471999999999E-4"/>
    <x v="0"/>
  </r>
  <r>
    <n v="38"/>
    <n v="1"/>
    <n v="4"/>
    <n v="2"/>
    <n v="3"/>
    <n v="2"/>
    <n v="0"/>
    <n v="22"/>
    <n v="5"/>
    <n v="2"/>
    <n v="3"/>
    <n v="8632"/>
    <n v="0"/>
    <n v="8632"/>
    <n v="0.39500000000000002"/>
    <n v="2221"/>
    <n v="40"/>
    <n v="0.73899999999999999"/>
    <n v="0"/>
    <n v="0.99504000000000004"/>
    <n v="4.9552399999999996E-3"/>
    <s v="15.791197056163162"/>
    <s v="5.371105010840399"/>
    <n v="90.676133048719393"/>
    <s v="32.82691068465138"/>
    <n v="713261133"/>
    <x v="1"/>
    <n v="0.99846690000000005"/>
    <x v="1"/>
  </r>
  <r>
    <n v="49"/>
    <n v="1"/>
    <n v="5"/>
    <n v="5"/>
    <n v="3"/>
    <n v="2"/>
    <n v="0"/>
    <n v="43"/>
    <n v="3"/>
    <n v="3"/>
    <n v="3"/>
    <n v="1960"/>
    <n v="0"/>
    <n v="1960"/>
    <n v="0.49299999999999999"/>
    <n v="2253"/>
    <n v="39"/>
    <n v="0.34499999999999997"/>
    <n v="0"/>
    <n v="0.99690000000000001"/>
    <n v="3.10348E-3"/>
    <s v="3.3954043198156376"/>
    <s v="54.54566508421679"/>
    <s v="25.13829788989389"/>
    <s v="12.403002976753749"/>
    <n v="717308433"/>
    <x v="1"/>
    <n v="0.99876772999999996"/>
    <x v="1"/>
  </r>
  <r>
    <n v="64"/>
    <n v="1"/>
    <n v="0"/>
    <n v="0"/>
    <n v="1"/>
    <n v="4"/>
    <n v="0"/>
    <n v="55"/>
    <n v="5"/>
    <n v="3"/>
    <n v="4"/>
    <n v="2492"/>
    <n v="1424"/>
    <n v="1068"/>
    <n v="0.48499999999999999"/>
    <n v="1375"/>
    <n v="30"/>
    <n v="0.36399999999999999"/>
    <n v="0.57099999999999995"/>
    <n v="4.3052999999999999E-4"/>
    <n v="0.99956999999999996"/>
    <n v="20.229946460214599"/>
    <s v="53.028556111956775"/>
    <s v="14.665389685965788"/>
    <s v="1.435822067144111"/>
    <n v="711840408"/>
    <x v="0"/>
    <n v="1.1982243E-3"/>
    <x v="0"/>
  </r>
  <r>
    <n v="50"/>
    <n v="1"/>
    <n v="2"/>
    <n v="3"/>
    <n v="1"/>
    <n v="2"/>
    <n v="0"/>
    <n v="32"/>
    <n v="3"/>
    <n v="1"/>
    <n v="3"/>
    <n v="10733"/>
    <n v="783"/>
    <n v="9950"/>
    <n v="0.73199999999999998"/>
    <n v="3910"/>
    <n v="66"/>
    <n v="0.65"/>
    <n v="7.2999999999999995E-2"/>
    <s v="9.0056e-05"/>
    <n v="0.99990999999999997"/>
    <s v="28.02366041267191"/>
    <s v="40.41699148684431"/>
    <n v="90.395803893991996"/>
    <s v="8.437558133590349"/>
    <n v="710621283"/>
    <x v="0"/>
    <n v="5.8507190000000003E-4"/>
    <x v="0"/>
  </r>
  <r>
    <n v="35"/>
    <n v="1"/>
    <n v="1"/>
    <n v="2"/>
    <n v="3"/>
    <n v="3"/>
    <n v="0"/>
    <n v="24"/>
    <n v="4"/>
    <n v="2"/>
    <n v="3"/>
    <n v="21114"/>
    <n v="0"/>
    <n v="21114"/>
    <n v="0.69699999999999995"/>
    <n v="3534"/>
    <n v="56"/>
    <n v="1"/>
    <n v="0"/>
    <n v="1.7969000000000001E-4"/>
    <n v="0.99982000000000004"/>
    <s v="2.643930317437193"/>
    <s v="16.479637690947094"/>
    <s v="113.62303913748492"/>
    <s v="4.053299104646793"/>
    <n v="780688383"/>
    <x v="0"/>
    <n v="1.1465303000000001E-3"/>
    <x v="0"/>
  </r>
  <r>
    <n v="53"/>
    <n v="1"/>
    <n v="1"/>
    <n v="2"/>
    <n v="3"/>
    <n v="3"/>
    <n v="0"/>
    <n v="42"/>
    <n v="5"/>
    <n v="5"/>
    <n v="4"/>
    <n v="6514"/>
    <n v="978"/>
    <n v="5536"/>
    <n v="0.84299999999999997"/>
    <n v="3084"/>
    <n v="63"/>
    <n v="0.65800000000000003"/>
    <n v="0.15"/>
    <n v="5.4096000000000005E-4"/>
    <n v="0.99946000000000002"/>
    <s v="0.9716078814649968"/>
    <s v="29.01037677790583"/>
    <n v="66.680047399499202"/>
    <s v="15.995497734412147"/>
    <n v="789170283"/>
    <x v="0"/>
    <n v="4.5124226000000002E-4"/>
    <x v="0"/>
  </r>
  <r>
    <n v="53"/>
    <n v="1"/>
    <n v="3"/>
    <n v="3"/>
    <n v="2"/>
    <n v="3"/>
    <n v="0"/>
    <n v="42"/>
    <n v="6"/>
    <n v="3"/>
    <n v="3"/>
    <n v="18531"/>
    <n v="1548"/>
    <n v="16983"/>
    <n v="0.83299999999999996"/>
    <n v="2484"/>
    <n v="52"/>
    <n v="0.85699999999999998"/>
    <n v="8.4000000000000005E-2"/>
    <n v="3.0516000000000001E-4"/>
    <n v="0.99968999999999997"/>
    <s v="55.06587915374386"/>
    <s v="0.6316876749807185"/>
    <s v="53.92235012368455"/>
    <s v="16.28363671317843"/>
    <n v="710681808"/>
    <x v="0"/>
    <n v="9.2360423999999998E-4"/>
    <x v="0"/>
  </r>
  <r>
    <n v="65"/>
    <n v="0"/>
    <n v="1"/>
    <n v="6"/>
    <n v="2"/>
    <n v="1"/>
    <n v="0"/>
    <n v="48"/>
    <n v="4"/>
    <n v="2"/>
    <n v="4"/>
    <n v="4599"/>
    <n v="637"/>
    <n v="3962"/>
    <n v="0.622"/>
    <n v="2608"/>
    <n v="78"/>
    <n v="0.59199999999999997"/>
    <n v="0.13900000000000001"/>
    <n v="3.3691999999999999E-4"/>
    <n v="0.99965999999999999"/>
    <s v="18.771867349232963"/>
    <s v="24.73454816808432"/>
    <s v="4.574159786526079"/>
    <s v="0.4728675029366557"/>
    <n v="788754108"/>
    <x v="0"/>
    <n v="6.8655739999999999E-4"/>
    <x v="0"/>
  </r>
  <r>
    <n v="49"/>
    <n v="0"/>
    <n v="3"/>
    <n v="4"/>
    <n v="1"/>
    <n v="1"/>
    <n v="0"/>
    <n v="41"/>
    <n v="6"/>
    <n v="2"/>
    <n v="2"/>
    <n v="1869"/>
    <n v="758"/>
    <n v="1111"/>
    <n v="0.91"/>
    <n v="1549"/>
    <n v="34"/>
    <n v="0.47799999999999998"/>
    <n v="0.40600000000000003"/>
    <n v="1.3897000000000001E-4"/>
    <n v="0.99985999999999997"/>
    <s v="27.42107586920377"/>
    <s v="3.973915689260165"/>
    <s v="52.37768378497547"/>
    <s v="24.525708713540364"/>
    <n v="719863758"/>
    <x v="0"/>
    <n v="2.0992573999999999E-3"/>
    <x v="0"/>
  </r>
  <r>
    <n v="46"/>
    <n v="1"/>
    <n v="3"/>
    <n v="5"/>
    <n v="2"/>
    <n v="2"/>
    <n v="0"/>
    <n v="36"/>
    <n v="5"/>
    <n v="1"/>
    <n v="2"/>
    <n v="5489"/>
    <n v="1189"/>
    <n v="4300"/>
    <n v="0.95"/>
    <n v="3215"/>
    <n v="64"/>
    <n v="0.88200000000000001"/>
    <n v="0.217"/>
    <s v="5.8763e-05"/>
    <n v="0.99994000000000005"/>
    <s v="9.409348645907356"/>
    <s v="4.605244532492069"/>
    <s v="40.31541196612024"/>
    <s v="13.18783122565145"/>
    <n v="717358158"/>
    <x v="0"/>
    <n v="3.463343E-4"/>
    <x v="0"/>
  </r>
  <r>
    <n v="41"/>
    <n v="0"/>
    <n v="1"/>
    <n v="2"/>
    <n v="1"/>
    <n v="1"/>
    <n v="0"/>
    <n v="32"/>
    <n v="6"/>
    <n v="3"/>
    <n v="1"/>
    <n v="2413"/>
    <n v="1627"/>
    <n v="786"/>
    <n v="0.72599999999999998"/>
    <n v="5466"/>
    <n v="85"/>
    <n v="0.77100000000000002"/>
    <n v="0.67400000000000004"/>
    <n v="1.0182E-4"/>
    <n v="0.99990000000000001"/>
    <s v="30.402781187382487"/>
    <s v="72.71292044997878"/>
    <s v="12.358988108755788"/>
    <s v="15.597941828275054"/>
    <n v="718165758"/>
    <x v="0"/>
    <n v="3.6856539999999998E-4"/>
    <x v="0"/>
  </r>
  <r>
    <n v="44"/>
    <n v="0"/>
    <n v="3"/>
    <n v="6"/>
    <n v="2"/>
    <n v="4"/>
    <n v="0"/>
    <n v="36"/>
    <n v="3"/>
    <n v="2"/>
    <n v="2"/>
    <n v="1606"/>
    <n v="1578"/>
    <n v="28"/>
    <n v="0.85"/>
    <n v="2418"/>
    <n v="44"/>
    <n v="0.46700000000000003"/>
    <n v="0.98299999999999998"/>
    <n v="0.99236000000000002"/>
    <n v="7.6400000000000001E-3"/>
    <s v="26.86236699209224"/>
    <s v="0.5747948687885711"/>
    <s v="45.79762210621793"/>
    <s v="8.752875969185595"/>
    <n v="717592758"/>
    <x v="1"/>
    <n v="0.99585044"/>
    <x v="1"/>
  </r>
  <r>
    <n v="45"/>
    <n v="0"/>
    <n v="3"/>
    <n v="2"/>
    <n v="2"/>
    <n v="1"/>
    <n v="0"/>
    <n v="36"/>
    <n v="5"/>
    <n v="2"/>
    <n v="2"/>
    <n v="6274"/>
    <n v="883"/>
    <n v="5391"/>
    <n v="0.626"/>
    <n v="4726"/>
    <n v="82"/>
    <n v="0.70799999999999996"/>
    <n v="0.14099999999999999"/>
    <n v="1.1811000000000001E-4"/>
    <n v="0.99987999999999999"/>
    <n v="33.474115778469603"/>
    <s v="30.50464406815553"/>
    <n v="47.297578919384897"/>
    <s v="0.2884769384763681"/>
    <n v="708534033"/>
    <x v="0"/>
    <n v="4.2162873000000002E-4"/>
    <x v="0"/>
  </r>
  <r>
    <n v="55"/>
    <n v="0"/>
    <n v="2"/>
    <n v="0"/>
    <n v="2"/>
    <n v="1"/>
    <n v="0"/>
    <n v="35"/>
    <n v="4"/>
    <n v="4"/>
    <n v="4"/>
    <n v="1438.3"/>
    <n v="696"/>
    <n v="742.3"/>
    <n v="0.88800000000000001"/>
    <n v="4307"/>
    <n v="76"/>
    <n v="0.9"/>
    <n v="0.48399999999999999"/>
    <n v="6.0623999999999997E-4"/>
    <n v="0.99939"/>
    <s v="45.16243265645812"/>
    <s v="28.62598407787584"/>
    <s v="39.610162480390365"/>
    <s v="5.554931691378644"/>
    <n v="712403358"/>
    <x v="0"/>
    <n v="5.8027230000000005E-4"/>
    <x v="0"/>
  </r>
  <r>
    <n v="35"/>
    <n v="0"/>
    <n v="1"/>
    <n v="2"/>
    <n v="1"/>
    <n v="4"/>
    <n v="0"/>
    <n v="18"/>
    <n v="5"/>
    <n v="1"/>
    <n v="2"/>
    <n v="7583"/>
    <n v="1619"/>
    <n v="5964"/>
    <n v="1.468"/>
    <n v="2229"/>
    <n v="53"/>
    <n v="1.208"/>
    <n v="0.214"/>
    <s v="5.1697e-05"/>
    <n v="0.99995000000000001"/>
    <s v="38.03029361593866"/>
    <s v="46.31059326019864"/>
    <s v="16.582240037902217"/>
    <s v="1.0403481039192104"/>
    <n v="779707308"/>
    <x v="0"/>
    <n v="6.9687556000000005E-4"/>
    <x v="0"/>
  </r>
  <r>
    <n v="61"/>
    <n v="0"/>
    <n v="0"/>
    <n v="3"/>
    <n v="1"/>
    <n v="4"/>
    <n v="0"/>
    <n v="53"/>
    <n v="5"/>
    <n v="2"/>
    <n v="0"/>
    <n v="3396"/>
    <n v="802"/>
    <n v="2594"/>
    <n v="0.54800000000000004"/>
    <n v="1418"/>
    <n v="36"/>
    <n v="0.5"/>
    <n v="0.23599999999999999"/>
    <s v="3.5025e-05"/>
    <n v="0.99995999999999996"/>
    <s v="18.969235216494525"/>
    <s v="95.09794456661297"/>
    <s v="15.612248922670428"/>
    <s v="20.603665522594877"/>
    <n v="719207733"/>
    <x v="0"/>
    <n v="1.9662121999999998E-3"/>
    <x v="0"/>
  </r>
  <r>
    <n v="47"/>
    <n v="1"/>
    <n v="5"/>
    <n v="6"/>
    <n v="2"/>
    <n v="0"/>
    <n v="3"/>
    <n v="36"/>
    <n v="5"/>
    <n v="2"/>
    <n v="2"/>
    <n v="34516"/>
    <n v="1686"/>
    <n v="32830"/>
    <n v="0.93700000000000006"/>
    <n v="4039"/>
    <n v="72"/>
    <n v="0.75600000000000001"/>
    <n v="4.9000000000000002E-2"/>
    <n v="1.1671E-4"/>
    <n v="0.99987999999999999"/>
    <s v="44.09369872151082"/>
    <s v="38.52273350041592"/>
    <s v="57.44347978945116"/>
    <s v="9.313002265558664"/>
    <n v="709830783"/>
    <x v="0"/>
    <n v="3.756586E-4"/>
    <x v="0"/>
  </r>
  <r>
    <n v="46"/>
    <n v="0"/>
    <n v="2"/>
    <n v="6"/>
    <n v="2"/>
    <n v="1"/>
    <n v="0"/>
    <n v="33"/>
    <n v="5"/>
    <n v="3"/>
    <n v="6"/>
    <n v="3001"/>
    <n v="0"/>
    <n v="3001"/>
    <n v="0.74"/>
    <n v="2577"/>
    <n v="39"/>
    <n v="0.44400000000000001"/>
    <n v="0"/>
    <n v="0.99941999999999998"/>
    <n v="5.7978999999999995E-4"/>
    <s v="45.66900416056416"/>
    <s v="30.468947639468503"/>
    <s v="13.883346036025596"/>
    <s v="7.681240742109976"/>
    <n v="719986758"/>
    <x v="1"/>
    <n v="0.9979905"/>
    <x v="1"/>
  </r>
  <r>
    <n v="46"/>
    <n v="1"/>
    <n v="2"/>
    <n v="2"/>
    <n v="1"/>
    <n v="3"/>
    <n v="0"/>
    <n v="39"/>
    <n v="2"/>
    <n v="2"/>
    <n v="3"/>
    <n v="11901"/>
    <n v="2517"/>
    <n v="9384"/>
    <n v="0.78100000000000003"/>
    <n v="7998"/>
    <n v="82"/>
    <n v="0.60799999999999998"/>
    <n v="0.21099999999999999"/>
    <n v="1.9143E-4"/>
    <n v="0.99980999999999998"/>
    <s v="2.3819433458404866"/>
    <s v="19.224209631301804"/>
    <s v="57.71228511998705"/>
    <s v="16.74986750861248"/>
    <n v="712447758"/>
    <x v="0"/>
    <n v="4.0839396999999998E-4"/>
    <x v="0"/>
  </r>
  <r>
    <n v="43"/>
    <n v="0"/>
    <n v="3"/>
    <n v="2"/>
    <n v="2"/>
    <n v="1"/>
    <n v="0"/>
    <n v="29"/>
    <n v="5"/>
    <n v="2"/>
    <n v="0"/>
    <n v="3378"/>
    <n v="1069"/>
    <n v="2309"/>
    <n v="0.58099999999999996"/>
    <n v="1285"/>
    <n v="16"/>
    <n v="0.33300000000000002"/>
    <n v="0.316"/>
    <s v="4.3568e-05"/>
    <n v="0.99995999999999996"/>
    <s v="14.847470468190622"/>
    <s v="37.59767234409707"/>
    <s v="75.08123270075222"/>
    <s v="14.379455435523353"/>
    <n v="770590758"/>
    <x v="0"/>
    <n v="1.1982243E-3"/>
    <x v="0"/>
  </r>
  <r>
    <n v="54"/>
    <n v="0"/>
    <n v="2"/>
    <n v="2"/>
    <n v="3"/>
    <n v="4"/>
    <n v="0"/>
    <n v="46"/>
    <n v="5"/>
    <n v="3"/>
    <n v="2"/>
    <n v="1695"/>
    <n v="913"/>
    <n v="782"/>
    <n v="0.44900000000000001"/>
    <n v="2130"/>
    <n v="48"/>
    <n v="0.5"/>
    <n v="0.53900000000000003"/>
    <n v="0.99446999999999997"/>
    <n v="5.5300000000000002E-3"/>
    <s v="16.75588077299758"/>
    <n v="8.7901450084226802"/>
    <s v="117.98553706998491"/>
    <s v="6.492174603238663"/>
    <n v="713058858"/>
    <x v="1"/>
    <n v="0.99676019999999999"/>
    <x v="1"/>
  </r>
  <r>
    <n v="36"/>
    <n v="0"/>
    <n v="1"/>
    <n v="6"/>
    <n v="2"/>
    <n v="4"/>
    <n v="0"/>
    <n v="36"/>
    <n v="4"/>
    <n v="2"/>
    <n v="3"/>
    <n v="9239"/>
    <n v="1421"/>
    <n v="7818"/>
    <n v="0.82299999999999995"/>
    <n v="2246"/>
    <n v="44"/>
    <n v="0.83299999999999996"/>
    <n v="0.154"/>
    <n v="1.9751E-4"/>
    <n v="0.99980000000000002"/>
    <s v="9.274424307448845"/>
    <s v="79.69366703793366"/>
    <s v="51.96380694757493"/>
    <s v="6.440698481712715"/>
    <n v="716452908"/>
    <x v="0"/>
    <n v="1.2356120000000001E-3"/>
    <x v="0"/>
  </r>
  <r>
    <n v="58"/>
    <n v="0"/>
    <n v="2"/>
    <n v="2"/>
    <n v="2"/>
    <n v="1"/>
    <n v="0"/>
    <n v="50"/>
    <n v="4"/>
    <n v="3"/>
    <n v="3"/>
    <n v="5386"/>
    <n v="0"/>
    <n v="5386"/>
    <n v="0.77700000000000002"/>
    <n v="4846"/>
    <n v="84"/>
    <n v="0.68"/>
    <n v="0"/>
    <n v="3.0250999999999998E-4"/>
    <n v="0.99970000000000003"/>
    <s v="23.80175289321994"/>
    <s v="83.00829029820223"/>
    <s v="73.81077220046107"/>
    <s v="8.580754844803593"/>
    <n v="709679658"/>
    <x v="0"/>
    <n v="6.9517245999999998E-4"/>
    <x v="0"/>
  </r>
  <r>
    <n v="54"/>
    <n v="1"/>
    <n v="3"/>
    <n v="2"/>
    <n v="1"/>
    <n v="0"/>
    <n v="0"/>
    <n v="48"/>
    <n v="1"/>
    <n v="3"/>
    <n v="2"/>
    <n v="8426"/>
    <n v="0"/>
    <n v="8426"/>
    <n v="0.96"/>
    <n v="14378"/>
    <n v="103"/>
    <n v="0.71699999999999997"/>
    <n v="0"/>
    <n v="1.8665000000000001E-4"/>
    <n v="0.99980999999999998"/>
    <n v="46.615524333649098"/>
    <s v="14.564575041957378"/>
    <s v="39.955238091387024"/>
    <s v="18.677196947351103"/>
    <n v="792152283"/>
    <x v="0"/>
    <n v="8.064217E-4"/>
    <x v="0"/>
  </r>
  <r>
    <n v="46"/>
    <n v="0"/>
    <n v="4"/>
    <n v="3"/>
    <n v="1"/>
    <n v="5"/>
    <n v="0"/>
    <n v="30"/>
    <n v="3"/>
    <n v="1"/>
    <n v="3"/>
    <n v="5869"/>
    <n v="0"/>
    <n v="5869"/>
    <n v="0.85199999999999998"/>
    <n v="5103"/>
    <n v="83"/>
    <n v="0.84399999999999997"/>
    <n v="0"/>
    <s v="9.4447e-05"/>
    <n v="0.99990999999999997"/>
    <s v="10.20253698854528"/>
    <s v="47.146962262283104"/>
    <s v="14.527682747688688"/>
    <s v="13.678688964970354"/>
    <n v="778936008"/>
    <x v="0"/>
    <n v="7.1049936000000004E-4"/>
    <x v="0"/>
  </r>
  <r>
    <n v="41"/>
    <n v="1"/>
    <n v="4"/>
    <n v="3"/>
    <n v="3"/>
    <n v="3"/>
    <n v="0"/>
    <n v="36"/>
    <n v="4"/>
    <n v="3"/>
    <n v="2"/>
    <n v="23124"/>
    <n v="1746"/>
    <n v="21378"/>
    <n v="0.80700000000000005"/>
    <n v="1959"/>
    <n v="50"/>
    <n v="0.72399999999999998"/>
    <n v="7.5999999999999998E-2"/>
    <n v="1.8338999999999999E-4"/>
    <n v="0.99982000000000004"/>
    <s v="24.307940166436524"/>
    <s v="23.844101234597293"/>
    <s v="107.62668186096217"/>
    <s v="24.04995823202531"/>
    <n v="720620058"/>
    <x v="0"/>
    <n v="1.0229236E-3"/>
    <x v="0"/>
  </r>
  <r>
    <n v="56"/>
    <n v="1"/>
    <n v="3"/>
    <n v="0"/>
    <n v="1"/>
    <n v="0"/>
    <n v="0"/>
    <n v="50"/>
    <n v="3"/>
    <n v="2"/>
    <n v="0"/>
    <n v="9689"/>
    <n v="2250"/>
    <n v="7439"/>
    <n v="0.57599999999999996"/>
    <n v="1158"/>
    <n v="19"/>
    <n v="0.72699999999999998"/>
    <n v="0.23200000000000001"/>
    <s v="4.2358e-05"/>
    <n v="0.99995999999999996"/>
    <s v="17.139743089014917"/>
    <s v="6.086860446886138"/>
    <s v="125.0107940454873"/>
    <s v="24.84684109743961"/>
    <n v="802013583"/>
    <x v="0"/>
    <n v="1.0634780000000001E-3"/>
    <x v="0"/>
  </r>
  <r>
    <n v="41"/>
    <n v="0"/>
    <n v="3"/>
    <n v="2"/>
    <n v="3"/>
    <n v="4"/>
    <n v="0"/>
    <n v="13"/>
    <n v="1"/>
    <n v="3"/>
    <n v="2"/>
    <n v="6077"/>
    <n v="1421"/>
    <n v="4656"/>
    <n v="0.73899999999999999"/>
    <n v="12489"/>
    <n v="97"/>
    <n v="0.76400000000000001"/>
    <n v="0.23400000000000001"/>
    <n v="1.8665000000000001E-4"/>
    <n v="0.99980999999999998"/>
    <s v="37.858929998058905"/>
    <s v="12.35312714426022"/>
    <s v="65.44117385911149"/>
    <n v="3.3620038013191"/>
    <n v="715742658"/>
    <x v="0"/>
    <n v="3.6856539999999998E-4"/>
    <x v="0"/>
  </r>
  <r>
    <n v="50"/>
    <n v="1"/>
    <n v="2"/>
    <n v="2"/>
    <n v="2"/>
    <n v="3"/>
    <n v="3"/>
    <n v="40"/>
    <n v="3"/>
    <n v="4"/>
    <n v="6"/>
    <n v="34516"/>
    <n v="0"/>
    <n v="34516"/>
    <n v="0.80100000000000005"/>
    <n v="7661"/>
    <n v="79"/>
    <n v="1.079"/>
    <n v="0"/>
    <n v="0.99941999999999998"/>
    <n v="5.8361000000000003E-4"/>
    <s v="20.136679085995645"/>
    <s v="2.022725065537273"/>
    <s v="20.80164348088801"/>
    <s v="0.7477303816425256"/>
    <n v="826245858"/>
    <x v="1"/>
    <n v="0.99075259999999998"/>
    <x v="1"/>
  </r>
  <r>
    <n v="29"/>
    <n v="1"/>
    <n v="2"/>
    <n v="2"/>
    <n v="0"/>
    <n v="1"/>
    <n v="3"/>
    <n v="22"/>
    <n v="6"/>
    <n v="2"/>
    <n v="3"/>
    <n v="15578"/>
    <n v="1383"/>
    <n v="14195"/>
    <n v="0.79400000000000004"/>
    <n v="2492"/>
    <n v="71"/>
    <n v="0.61399999999999999"/>
    <n v="8.8999999999999996E-2"/>
    <n v="1.7296999999999999E-4"/>
    <n v="0.99983"/>
    <s v="1.9696841696536735"/>
    <s v="108.95450371514528"/>
    <s v="52.81959117930074"/>
    <s v="10.410273364709138"/>
    <n v="713529858"/>
    <x v="0"/>
    <n v="4.1610179999999999E-4"/>
    <x v="0"/>
  </r>
  <r>
    <n v="37"/>
    <n v="1"/>
    <n v="2"/>
    <n v="2"/>
    <n v="1"/>
    <n v="4"/>
    <n v="0"/>
    <n v="36"/>
    <n v="6"/>
    <n v="3"/>
    <n v="2"/>
    <n v="2463"/>
    <n v="1751"/>
    <n v="712"/>
    <n v="0.85399999999999998"/>
    <n v="2171"/>
    <n v="58"/>
    <n v="0.75800000000000001"/>
    <n v="0.71099999999999997"/>
    <n v="1.7987E-4"/>
    <n v="0.99982000000000004"/>
    <s v="35.44925874267798"/>
    <s v="25.527454263439243"/>
    <s v="112.61504488890162"/>
    <s v="16.63455945161439"/>
    <n v="713194608"/>
    <x v="0"/>
    <n v="4.8158727999999997E-4"/>
    <x v="0"/>
  </r>
  <r>
    <n v="37"/>
    <n v="0"/>
    <n v="2"/>
    <n v="6"/>
    <n v="3"/>
    <n v="4"/>
    <n v="0"/>
    <n v="27"/>
    <n v="5"/>
    <n v="1"/>
    <n v="2"/>
    <n v="2868"/>
    <n v="1434"/>
    <n v="1434"/>
    <n v="0.77700000000000002"/>
    <n v="2909"/>
    <n v="64"/>
    <n v="0.48799999999999999"/>
    <n v="0.5"/>
    <s v="6.054e-05"/>
    <n v="0.99994000000000005"/>
    <s v="6.059171766357668"/>
    <s v="38.33524957110961"/>
    <s v="48.622877494192174"/>
    <s v="12.813058498940377"/>
    <n v="778275783"/>
    <x v="0"/>
    <n v="4.1047996000000001E-4"/>
    <x v="0"/>
  </r>
  <r>
    <n v="28"/>
    <n v="0"/>
    <n v="1"/>
    <n v="4"/>
    <n v="2"/>
    <n v="4"/>
    <n v="0"/>
    <n v="14"/>
    <n v="2"/>
    <n v="3"/>
    <n v="3"/>
    <n v="3848"/>
    <n v="0"/>
    <n v="3848"/>
    <n v="0.84099999999999997"/>
    <n v="14054"/>
    <n v="105"/>
    <n v="0.69399999999999995"/>
    <n v="0"/>
    <n v="3.3410999999999998E-4"/>
    <n v="0.99966999999999995"/>
    <s v="13.769125314427091"/>
    <s v="76.07406686433099"/>
    <s v="168.43852959108415"/>
    <s v="6.583236553352221"/>
    <n v="770766633"/>
    <x v="0"/>
    <n v="7.6702517000000003E-4"/>
    <x v="0"/>
  </r>
  <r>
    <n v="48"/>
    <n v="1"/>
    <n v="3"/>
    <n v="2"/>
    <n v="1"/>
    <n v="2"/>
    <n v="0"/>
    <n v="38"/>
    <n v="5"/>
    <n v="2"/>
    <n v="3"/>
    <n v="16920"/>
    <n v="2157"/>
    <n v="14763"/>
    <n v="0.629"/>
    <n v="3275"/>
    <n v="60"/>
    <n v="0.5"/>
    <n v="0.127"/>
    <n v="1.9864000000000001E-4"/>
    <n v="0.99980000000000002"/>
    <s v="11.006848379717338"/>
    <s v="0.7211324862094067"/>
    <s v="73.71908551424515"/>
    <s v="11.726252773446104"/>
    <n v="718216008"/>
    <x v="0"/>
    <n v="4.0365179999999999E-4"/>
    <x v="0"/>
  </r>
  <r>
    <n v="36"/>
    <n v="0"/>
    <n v="3"/>
    <n v="3"/>
    <n v="1"/>
    <n v="5"/>
    <n v="0"/>
    <n v="24"/>
    <n v="4"/>
    <n v="1"/>
    <n v="1"/>
    <n v="15439"/>
    <n v="0"/>
    <n v="15439"/>
    <n v="0.74199999999999999"/>
    <n v="2069"/>
    <n v="43"/>
    <n v="0.53600000000000003"/>
    <n v="0"/>
    <s v="3.3505e-05"/>
    <n v="0.99997000000000003"/>
    <s v="19.891605327234576"/>
    <s v="13.96067822036771"/>
    <s v="69.73928668673067"/>
    <s v="4.316001822478095"/>
    <n v="710572458"/>
    <x v="0"/>
    <n v="5.0474659999999996E-3"/>
    <x v="0"/>
  </r>
  <r>
    <n v="43"/>
    <n v="1"/>
    <n v="3"/>
    <n v="1"/>
    <n v="1"/>
    <n v="3"/>
    <n v="0"/>
    <n v="27"/>
    <n v="4"/>
    <n v="2"/>
    <n v="2"/>
    <n v="3676"/>
    <n v="673"/>
    <n v="3003"/>
    <n v="0.629"/>
    <n v="14651"/>
    <n v="105"/>
    <n v="0.78"/>
    <n v="0.183"/>
    <n v="1.7091E-4"/>
    <n v="0.99983"/>
    <s v="23.05592095092395"/>
    <s v="4.177550395280853"/>
    <n v="19.591283614461201"/>
    <s v="12.21905150194822"/>
    <n v="719934783"/>
    <x v="0"/>
    <n v="5.8825010000000005E-4"/>
    <x v="0"/>
  </r>
  <r>
    <n v="38"/>
    <n v="0"/>
    <n v="3"/>
    <n v="2"/>
    <n v="1"/>
    <n v="4"/>
    <n v="0"/>
    <n v="36"/>
    <n v="4"/>
    <n v="2"/>
    <n v="4"/>
    <n v="2396"/>
    <n v="2217"/>
    <n v="179"/>
    <n v="0.97799999999999998"/>
    <n v="4593"/>
    <n v="74"/>
    <n v="0.72099999999999997"/>
    <n v="0.92500000000000004"/>
    <n v="3.3886000000000002E-4"/>
    <n v="0.99965999999999999"/>
    <s v="3.5854832892714765"/>
    <s v="15.632534481468944"/>
    <s v="21.658515387808794"/>
    <s v="18.697059511431096"/>
    <n v="720377433"/>
    <x v="0"/>
    <n v="3.221314E-4"/>
    <x v="0"/>
  </r>
  <r>
    <n v="51"/>
    <n v="0"/>
    <n v="2"/>
    <n v="2"/>
    <n v="1"/>
    <n v="4"/>
    <n v="0"/>
    <n v="36"/>
    <n v="3"/>
    <n v="1"/>
    <n v="3"/>
    <n v="3106"/>
    <n v="1304"/>
    <n v="1802"/>
    <n v="0.60399999999999998"/>
    <n v="1368"/>
    <n v="38"/>
    <n v="0.40699999999999997"/>
    <n v="0.42"/>
    <s v="9.2637e-05"/>
    <n v="0.99990999999999997"/>
    <s v="24.44043468799671"/>
    <s v="28.13200112744949"/>
    <s v="11.347914740655968"/>
    <s v="3.8161350501040183"/>
    <n v="788900883"/>
    <x v="0"/>
    <n v="1.232702E-3"/>
    <x v="0"/>
  </r>
  <r>
    <n v="35"/>
    <n v="1"/>
    <n v="2"/>
    <n v="2"/>
    <n v="1"/>
    <n v="2"/>
    <n v="0"/>
    <n v="24"/>
    <n v="5"/>
    <n v="1"/>
    <n v="3"/>
    <n v="7453"/>
    <n v="0"/>
    <n v="7453"/>
    <n v="0.71199999999999997"/>
    <n v="1691"/>
    <n v="47"/>
    <n v="0.51600000000000001"/>
    <n v="0"/>
    <s v="9.2637e-05"/>
    <n v="0.99990999999999997"/>
    <s v="19.282321924154036"/>
    <s v="10.09940832743255"/>
    <s v="10.593264285460338"/>
    <s v="4.053407774777691"/>
    <n v="709361058"/>
    <x v="0"/>
    <n v="4.459518E-3"/>
    <x v="0"/>
  </r>
  <r>
    <n v="38"/>
    <n v="0"/>
    <n v="2"/>
    <n v="4"/>
    <n v="1"/>
    <n v="1"/>
    <n v="0"/>
    <n v="28"/>
    <n v="2"/>
    <n v="1"/>
    <n v="1"/>
    <n v="4468"/>
    <n v="2395"/>
    <n v="2073"/>
    <n v="0.70599999999999996"/>
    <n v="4690"/>
    <n v="79"/>
    <n v="0.75600000000000001"/>
    <n v="0.53600000000000003"/>
    <s v="3.9082e-05"/>
    <n v="0.99995999999999996"/>
    <s v="10.71028323134074"/>
    <s v="11.965481482351162"/>
    <n v="51.473157107688102"/>
    <s v="8.991604305390426"/>
    <n v="789347133"/>
    <x v="0"/>
    <n v="3.2101269999999999E-4"/>
    <x v="0"/>
  </r>
  <r>
    <n v="50"/>
    <n v="0"/>
    <n v="3"/>
    <n v="4"/>
    <n v="2"/>
    <n v="5"/>
    <n v="0"/>
    <n v="36"/>
    <n v="5"/>
    <n v="4"/>
    <n v="3"/>
    <n v="1814"/>
    <n v="0"/>
    <n v="1814"/>
    <n v="0.85199999999999998"/>
    <n v="5014"/>
    <n v="99"/>
    <n v="0.623"/>
    <n v="0"/>
    <n v="4.4633999999999999E-4"/>
    <n v="0.99955000000000005"/>
    <s v="3.0262947797001605"/>
    <s v="27.582831442967844"/>
    <s v="135.70645316902926"/>
    <n v="8.3627414264009499"/>
    <n v="708128733"/>
    <x v="0"/>
    <n v="7.2847964000000002E-4"/>
    <x v="0"/>
  </r>
  <r>
    <n v="35"/>
    <n v="0"/>
    <n v="5"/>
    <n v="3"/>
    <n v="1"/>
    <n v="1"/>
    <n v="0"/>
    <n v="25"/>
    <n v="3"/>
    <n v="2"/>
    <n v="6"/>
    <n v="1438.3"/>
    <n v="0"/>
    <n v="1438.3"/>
    <n v="0.76300000000000001"/>
    <n v="2500"/>
    <n v="44"/>
    <n v="0.51700000000000002"/>
    <n v="0"/>
    <n v="0.999"/>
    <n v="1.0031199999999999E-3"/>
    <s v="31.09428712295965"/>
    <s v="7.195781725406083"/>
    <s v="89.78953387450184"/>
    <s v="19.899400334749966"/>
    <n v="712578933"/>
    <x v="1"/>
    <n v="0.99804663999999998"/>
    <x v="1"/>
  </r>
  <r>
    <n v="45"/>
    <n v="0"/>
    <n v="4"/>
    <n v="2"/>
    <n v="3"/>
    <n v="4"/>
    <n v="0"/>
    <n v="33"/>
    <n v="1"/>
    <n v="3"/>
    <n v="2"/>
    <n v="1748"/>
    <n v="1103"/>
    <n v="645"/>
    <n v="0.73899999999999999"/>
    <n v="2335"/>
    <n v="41"/>
    <n v="0.70799999999999996"/>
    <n v="0.63100000000000001"/>
    <n v="0.99473"/>
    <n v="5.2700000000000004E-3"/>
    <s v="29.274123188362992"/>
    <s v="35.56455876909153"/>
    <s v="16.14099080440003"/>
    <s v="17.775236780630046"/>
    <n v="720867708"/>
    <x v="1"/>
    <n v="0.99575599999999997"/>
    <x v="1"/>
  </r>
  <r>
    <n v="44"/>
    <n v="1"/>
    <n v="2"/>
    <n v="2"/>
    <n v="3"/>
    <n v="3"/>
    <n v="0"/>
    <n v="37"/>
    <n v="3"/>
    <n v="1"/>
    <n v="3"/>
    <n v="1965"/>
    <n v="1021"/>
    <n v="944"/>
    <n v="0.51600000000000001"/>
    <n v="3968"/>
    <n v="57"/>
    <n v="0.78100000000000003"/>
    <n v="0.52"/>
    <s v="9.2637e-05"/>
    <n v="0.99990999999999997"/>
    <s v="44.98841969721104"/>
    <s v="40.14145528517406"/>
    <s v="33.350844805234075"/>
    <s v="19.155676313447376"/>
    <n v="757044033"/>
    <x v="0"/>
    <n v="4.5978295E-4"/>
    <x v="0"/>
  </r>
  <r>
    <n v="48"/>
    <n v="0"/>
    <n v="2"/>
    <n v="3"/>
    <n v="1"/>
    <n v="5"/>
    <n v="0"/>
    <n v="27"/>
    <n v="3"/>
    <n v="1"/>
    <n v="2"/>
    <n v="4009"/>
    <n v="1361"/>
    <n v="2648"/>
    <n v="0.88600000000000001"/>
    <n v="4506"/>
    <n v="80"/>
    <n v="0.86"/>
    <n v="0.33900000000000002"/>
    <s v="5.3542e-05"/>
    <n v="0.99995000000000001"/>
    <s v="5.1888872021533885"/>
    <s v="18.864514061973843"/>
    <s v="50.57041833534856"/>
    <s v="8.654930422789555"/>
    <n v="788744058"/>
    <x v="0"/>
    <n v="3.221314E-4"/>
    <x v="0"/>
  </r>
  <r>
    <n v="38"/>
    <n v="1"/>
    <n v="2"/>
    <n v="6"/>
    <n v="1"/>
    <n v="3"/>
    <n v="0"/>
    <n v="34"/>
    <n v="4"/>
    <n v="1"/>
    <n v="3"/>
    <n v="19259"/>
    <n v="2266"/>
    <n v="16993"/>
    <n v="0.92"/>
    <n v="1388"/>
    <n v="27"/>
    <n v="0.92900000000000005"/>
    <n v="0.11799999999999999"/>
    <n v="1.0183000000000001E-4"/>
    <n v="0.99990000000000001"/>
    <s v="15.39208186029825"/>
    <s v="63.027081271230486"/>
    <s v="12.612946144094629"/>
    <s v="8.471866767378128"/>
    <n v="824165658"/>
    <x v="0"/>
    <n v="9.8706899999999992E-4"/>
    <x v="0"/>
  </r>
  <r>
    <n v="41"/>
    <n v="0"/>
    <n v="4"/>
    <n v="3"/>
    <n v="2"/>
    <n v="5"/>
    <n v="0"/>
    <n v="36"/>
    <n v="4"/>
    <n v="2"/>
    <n v="3"/>
    <n v="1438.3"/>
    <n v="0"/>
    <n v="1438.3"/>
    <n v="0.58499999999999996"/>
    <n v="5020"/>
    <n v="85"/>
    <n v="0.7"/>
    <n v="0"/>
    <n v="1.9516999999999999E-4"/>
    <n v="0.99980000000000002"/>
    <s v="24.15056274237415"/>
    <s v="104.82274363383696"/>
    <s v="89.64791931392462"/>
    <s v="9.072749586064733"/>
    <n v="719775408"/>
    <x v="0"/>
    <n v="6.9517245999999998E-4"/>
    <x v="0"/>
  </r>
  <r>
    <n v="33"/>
    <n v="1"/>
    <n v="0"/>
    <n v="6"/>
    <n v="2"/>
    <n v="1"/>
    <n v="0"/>
    <n v="36"/>
    <n v="6"/>
    <n v="1"/>
    <n v="1"/>
    <n v="10023"/>
    <n v="504"/>
    <n v="9519"/>
    <n v="0.94199999999999995"/>
    <n v="2878"/>
    <n v="65"/>
    <n v="0.625"/>
    <n v="0.05"/>
    <s v="3.1329e-05"/>
    <n v="0.99997000000000003"/>
    <s v="0.1293028284596347"/>
    <s v="32.66196152611366"/>
    <s v="109.24208465662332"/>
    <s v="16.250180627935908"/>
    <n v="712204308"/>
    <x v="0"/>
    <n v="9.4377879999999999E-4"/>
    <x v="0"/>
  </r>
  <r>
    <n v="37"/>
    <n v="0"/>
    <n v="2"/>
    <n v="2"/>
    <n v="1"/>
    <n v="4"/>
    <n v="0"/>
    <n v="32"/>
    <n v="6"/>
    <n v="1"/>
    <n v="3"/>
    <n v="1438.3"/>
    <n v="0"/>
    <n v="1438.3"/>
    <n v="0.70699999999999996"/>
    <n v="4733"/>
    <n v="89"/>
    <n v="0.81599999999999995"/>
    <n v="0"/>
    <s v="9.2637e-05"/>
    <n v="0.99990999999999997"/>
    <s v="14.85258126168864"/>
    <s v="21.307037462766203"/>
    <s v="50.66606156191122"/>
    <s v="2.1325861453342174"/>
    <n v="809452383"/>
    <x v="0"/>
    <n v="6.9517245999999998E-4"/>
    <x v="0"/>
  </r>
  <r>
    <n v="41"/>
    <n v="1"/>
    <n v="4"/>
    <n v="2"/>
    <n v="2"/>
    <n v="2"/>
    <n v="0"/>
    <n v="34"/>
    <n v="5"/>
    <n v="2"/>
    <n v="4"/>
    <n v="5045"/>
    <n v="2080"/>
    <n v="2965"/>
    <n v="0.73799999999999999"/>
    <n v="2042"/>
    <n v="40"/>
    <n v="0.48099999999999998"/>
    <n v="0.41199999999999998"/>
    <n v="0.99709000000000003"/>
    <n v="2.9104000000000001E-3"/>
    <s v="2.301891434236268"/>
    <s v="51.876557421973615"/>
    <s v="0.2228584096747817"/>
    <s v="16.080936221567196"/>
    <n v="713590158"/>
    <x v="1"/>
    <n v="0.99412787000000002"/>
    <x v="1"/>
  </r>
  <r>
    <n v="47"/>
    <n v="0"/>
    <n v="3"/>
    <n v="2"/>
    <n v="2"/>
    <n v="4"/>
    <n v="0"/>
    <n v="36"/>
    <n v="5"/>
    <n v="1"/>
    <n v="3"/>
    <n v="2049"/>
    <n v="1460"/>
    <n v="589"/>
    <n v="0.59899999999999998"/>
    <n v="3514"/>
    <n v="79"/>
    <n v="0.64600000000000002"/>
    <n v="0.71299999999999997"/>
    <s v="9.6126e-05"/>
    <n v="0.99990000000000001"/>
    <s v="25.925064691452512"/>
    <s v="17.37864534857946"/>
    <s v="111.90376065326592"/>
    <s v="0.1671618700732611"/>
    <n v="713940033"/>
    <x v="0"/>
    <n v="3.2914013999999999E-4"/>
    <x v="0"/>
  </r>
  <r>
    <n v="58"/>
    <n v="0"/>
    <n v="1"/>
    <n v="5"/>
    <n v="1"/>
    <n v="4"/>
    <n v="0"/>
    <n v="39"/>
    <n v="3"/>
    <n v="3"/>
    <n v="3"/>
    <n v="2210"/>
    <n v="1624"/>
    <n v="586"/>
    <n v="0.627"/>
    <n v="1287"/>
    <n v="37"/>
    <n v="0.48"/>
    <n v="0.73499999999999999"/>
    <n v="2.9196000000000002E-4"/>
    <n v="0.99970999999999999"/>
    <s v="8.618955480328387"/>
    <s v="65.67780497670255"/>
    <s v="76.20086449096415"/>
    <s v="5.095243381893433"/>
    <n v="794649858"/>
    <x v="0"/>
    <n v="1.232702E-3"/>
    <x v="0"/>
  </r>
  <r>
    <n v="43"/>
    <n v="0"/>
    <n v="5"/>
    <n v="2"/>
    <n v="2"/>
    <n v="4"/>
    <n v="0"/>
    <n v="38"/>
    <n v="6"/>
    <n v="2"/>
    <n v="2"/>
    <n v="1438.3"/>
    <n v="604"/>
    <n v="834.3"/>
    <n v="0.77100000000000002"/>
    <n v="4469"/>
    <n v="85"/>
    <n v="0.93200000000000005"/>
    <n v="0.42"/>
    <n v="1.1751E-4"/>
    <n v="0.99987999999999999"/>
    <n v="64.876236658078398"/>
    <s v="10.887561559048976"/>
    <n v="22.662809535357901"/>
    <s v="10.42572571087255"/>
    <n v="820599333"/>
    <x v="0"/>
    <n v="5.6367530000000002E-4"/>
    <x v="0"/>
  </r>
  <r>
    <n v="34"/>
    <n v="0"/>
    <n v="2"/>
    <n v="3"/>
    <n v="0"/>
    <n v="4"/>
    <n v="0"/>
    <n v="36"/>
    <n v="3"/>
    <n v="6"/>
    <n v="3"/>
    <n v="2426"/>
    <n v="0"/>
    <n v="2426"/>
    <n v="0.88800000000000001"/>
    <n v="4918"/>
    <n v="81"/>
    <n v="0.8"/>
    <n v="0"/>
    <n v="2.3216E-4"/>
    <n v="0.99977000000000005"/>
    <s v="36.20151461417458"/>
    <s v="66.44072691083619"/>
    <s v="1.3114820108624623"/>
    <s v="4.058796210480796"/>
    <n v="718967433"/>
    <x v="0"/>
    <n v="7.1297199999999998E-4"/>
    <x v="0"/>
  </r>
  <r>
    <n v="43"/>
    <n v="1"/>
    <n v="2"/>
    <n v="5"/>
    <n v="2"/>
    <n v="2"/>
    <n v="0"/>
    <n v="35"/>
    <n v="5"/>
    <n v="3"/>
    <n v="2"/>
    <n v="6348"/>
    <n v="0"/>
    <n v="6348"/>
    <n v="0.4"/>
    <n v="1732"/>
    <n v="39"/>
    <n v="0.39300000000000002"/>
    <n v="0"/>
    <n v="0.99461999999999995"/>
    <n v="5.3800000000000002E-3"/>
    <s v="74.90014197191252"/>
    <s v="60.09549081215975"/>
    <n v="6.7963529513838896"/>
    <s v="3.486711915787137"/>
    <n v="714475908"/>
    <x v="1"/>
    <n v="0.99856453999999994"/>
    <x v="1"/>
  </r>
  <r>
    <n v="52"/>
    <n v="0"/>
    <n v="3"/>
    <n v="3"/>
    <n v="2"/>
    <n v="4"/>
    <n v="0"/>
    <n v="45"/>
    <n v="3"/>
    <n v="3"/>
    <n v="0"/>
    <n v="2728"/>
    <n v="1365"/>
    <n v="1363"/>
    <n v="0.64800000000000002"/>
    <n v="4293"/>
    <n v="83"/>
    <n v="0.97599999999999998"/>
    <n v="0.5"/>
    <s v="6.6935e-05"/>
    <n v="0.99992999999999999"/>
    <s v="40.19386145412184"/>
    <s v="29.70240062312287"/>
    <s v="6.017031626315287"/>
    <s v="20.41262621576367"/>
    <n v="753642933"/>
    <x v="0"/>
    <n v="3.2101269999999999E-4"/>
    <x v="0"/>
  </r>
  <r>
    <n v="28"/>
    <n v="1"/>
    <n v="0"/>
    <n v="5"/>
    <n v="0"/>
    <n v="5"/>
    <n v="0"/>
    <n v="36"/>
    <n v="3"/>
    <n v="3"/>
    <n v="3"/>
    <n v="16766"/>
    <n v="1535"/>
    <n v="15231"/>
    <n v="1.042"/>
    <n v="3093"/>
    <n v="77"/>
    <n v="0.878"/>
    <n v="9.1999999999999998E-2"/>
    <n v="2.6692000000000003E-4"/>
    <n v="0.99973000000000001"/>
    <s v="32.771008686261496"/>
    <s v="16.674852549068117"/>
    <s v="149.84486429392928"/>
    <s v="12.085827548302866"/>
    <n v="716068683"/>
    <x v="0"/>
    <n v="3.5468241999999999E-4"/>
    <x v="0"/>
  </r>
  <r>
    <n v="43"/>
    <n v="1"/>
    <n v="3"/>
    <n v="2"/>
    <n v="1"/>
    <n v="0"/>
    <n v="0"/>
    <n v="36"/>
    <n v="3"/>
    <n v="2"/>
    <n v="2"/>
    <n v="22906"/>
    <n v="1132"/>
    <n v="21774"/>
    <n v="0.94199999999999995"/>
    <n v="3204"/>
    <n v="64"/>
    <n v="0.73"/>
    <n v="4.9000000000000002E-2"/>
    <n v="1.1811000000000001E-4"/>
    <n v="0.99987999999999999"/>
    <s v="59.94128568974323"/>
    <s v="23.47496872043684"/>
    <s v="55.10086086727604"/>
    <s v="4.883422151396783"/>
    <n v="717538683"/>
    <x v="0"/>
    <n v="3.8547997000000001E-4"/>
    <x v="0"/>
  </r>
  <r>
    <n v="48"/>
    <n v="0"/>
    <n v="2"/>
    <n v="2"/>
    <n v="1"/>
    <n v="1"/>
    <n v="0"/>
    <n v="43"/>
    <n v="3"/>
    <n v="2"/>
    <n v="4"/>
    <n v="9559"/>
    <n v="1514"/>
    <n v="8045"/>
    <n v="0.71599999999999997"/>
    <n v="4064"/>
    <n v="70"/>
    <n v="0.55600000000000005"/>
    <n v="0.158"/>
    <n v="3.2655999999999999E-4"/>
    <n v="0.99966999999999995"/>
    <s v="14.421117685236457"/>
    <s v="35.639638778060714"/>
    <s v="86.87822144402662"/>
    <s v="13.350292080296416"/>
    <n v="806656083"/>
    <x v="0"/>
    <n v="3.2914013999999999E-4"/>
    <x v="0"/>
  </r>
  <r>
    <n v="35"/>
    <n v="1"/>
    <n v="3"/>
    <n v="0"/>
    <n v="1"/>
    <n v="2"/>
    <n v="0"/>
    <n v="28"/>
    <n v="4"/>
    <n v="3"/>
    <n v="4"/>
    <n v="6921"/>
    <n v="2159"/>
    <n v="4762"/>
    <n v="0.89500000000000002"/>
    <n v="1931"/>
    <n v="35"/>
    <n v="0.75"/>
    <n v="0.312"/>
    <n v="5.2057000000000004E-4"/>
    <n v="0.99948000000000004"/>
    <s v="29.31197600992343"/>
    <s v="21.83572075638557"/>
    <s v="16.39214020605235"/>
    <s v="1.9397788406922132"/>
    <n v="757481283"/>
    <x v="0"/>
    <n v="1.1451696999999999E-3"/>
    <x v="0"/>
  </r>
  <r>
    <n v="60"/>
    <n v="0"/>
    <n v="0"/>
    <n v="5"/>
    <n v="1"/>
    <n v="4"/>
    <n v="0"/>
    <n v="49"/>
    <n v="3"/>
    <n v="1"/>
    <n v="2"/>
    <n v="3955"/>
    <n v="2000"/>
    <n v="1955"/>
    <n v="0.42499999999999999"/>
    <n v="1560"/>
    <n v="43"/>
    <n v="0.48299999999999998"/>
    <n v="0.50600000000000001"/>
    <s v="4.8595e-05"/>
    <n v="0.99995000000000001"/>
    <s v="20.210692182626705"/>
    <s v="36.88958814420485"/>
    <s v="98.14882217160344"/>
    <s v="11.077463582498646"/>
    <n v="715800708"/>
    <x v="0"/>
    <n v="1.232702E-3"/>
    <x v="0"/>
  </r>
  <r>
    <n v="45"/>
    <n v="0"/>
    <n v="4"/>
    <n v="5"/>
    <n v="1"/>
    <n v="1"/>
    <n v="0"/>
    <n v="36"/>
    <n v="3"/>
    <n v="1"/>
    <n v="3"/>
    <n v="3111"/>
    <n v="2290"/>
    <n v="821"/>
    <n v="1.6120000000000001"/>
    <n v="1998"/>
    <n v="41"/>
    <n v="0.46400000000000002"/>
    <n v="0.73599999999999999"/>
    <s v="9.9893e-05"/>
    <n v="0.99990000000000001"/>
    <s v="17.544048575678556"/>
    <s v="34.67337606242933"/>
    <s v="79.25387825897094"/>
    <s v="4.094732941983757"/>
    <n v="716549058"/>
    <x v="0"/>
    <n v="1.2677768E-3"/>
    <x v="0"/>
  </r>
  <r>
    <n v="34"/>
    <n v="0"/>
    <n v="3"/>
    <n v="5"/>
    <n v="2"/>
    <n v="4"/>
    <n v="0"/>
    <n v="36"/>
    <n v="4"/>
    <n v="3"/>
    <n v="3"/>
    <n v="1438.3"/>
    <n v="0"/>
    <n v="1438.3"/>
    <n v="0.73399999999999999"/>
    <n v="4302"/>
    <n v="74"/>
    <n v="0.76200000000000001"/>
    <n v="0"/>
    <n v="3.2275000000000001E-4"/>
    <n v="0.99968000000000001"/>
    <s v="22.669770312035897"/>
    <s v="18.873194122435898"/>
    <s v="37.78255635735514"/>
    <n v="4.0779571346713999"/>
    <n v="720491958"/>
    <x v="0"/>
    <n v="6.9517245999999998E-4"/>
    <x v="0"/>
  </r>
  <r>
    <n v="48"/>
    <n v="1"/>
    <n v="3"/>
    <n v="5"/>
    <n v="2"/>
    <n v="0"/>
    <n v="0"/>
    <n v="38"/>
    <n v="4"/>
    <n v="2"/>
    <n v="5"/>
    <n v="20912"/>
    <n v="0"/>
    <n v="20912"/>
    <n v="0.72499999999999998"/>
    <n v="4172"/>
    <n v="84"/>
    <n v="0.78700000000000003"/>
    <n v="0"/>
    <n v="6.0278000000000003E-4"/>
    <n v="0.99939999999999996"/>
    <s v="66.13098580750301"/>
    <s v="50.60756719904807"/>
    <s v="46.47412885818742"/>
    <s v="11.741283416741314"/>
    <n v="780000258"/>
    <x v="0"/>
    <n v="7.3773605999999999E-4"/>
    <x v="0"/>
  </r>
  <r>
    <n v="52"/>
    <n v="1"/>
    <n v="4"/>
    <n v="5"/>
    <n v="1"/>
    <n v="3"/>
    <n v="0"/>
    <n v="36"/>
    <n v="5"/>
    <n v="2"/>
    <n v="2"/>
    <n v="7474"/>
    <n v="2444"/>
    <n v="5030"/>
    <n v="0.61899999999999999"/>
    <n v="5100"/>
    <n v="79"/>
    <n v="0.71699999999999997"/>
    <n v="0.32700000000000001"/>
    <n v="1.2274000000000001E-4"/>
    <n v="0.99987999999999999"/>
    <s v="3.877071642835211"/>
    <s v="18.046717500083272"/>
    <s v="17.604352778793753"/>
    <s v="13.466543367231646"/>
    <n v="717990183"/>
    <x v="0"/>
    <n v="3.2101269999999999E-4"/>
    <x v="0"/>
  </r>
  <r>
    <n v="54"/>
    <n v="1"/>
    <n v="3"/>
    <n v="2"/>
    <n v="2"/>
    <n v="3"/>
    <n v="0"/>
    <n v="38"/>
    <n v="4"/>
    <n v="2"/>
    <n v="1"/>
    <n v="29200"/>
    <n v="1310"/>
    <n v="27890"/>
    <n v="1.0920000000000001"/>
    <n v="3042"/>
    <n v="73"/>
    <n v="1.028"/>
    <n v="4.4999999999999998E-2"/>
    <s v="7.1226e-05"/>
    <n v="0.99992999999999999"/>
    <s v="3.129935283584534"/>
    <s v="13.667123240097991"/>
    <n v="181.90525438678799"/>
    <s v="10.25654086340655"/>
    <n v="713461533"/>
    <x v="0"/>
    <n v="3.8376141999999999E-4"/>
    <x v="0"/>
  </r>
  <r>
    <n v="55"/>
    <n v="0"/>
    <n v="2"/>
    <n v="2"/>
    <n v="1"/>
    <n v="4"/>
    <n v="3"/>
    <n v="45"/>
    <n v="6"/>
    <n v="3"/>
    <n v="3"/>
    <n v="12207"/>
    <n v="0"/>
    <n v="12207"/>
    <n v="0.31900000000000001"/>
    <n v="5838"/>
    <n v="74"/>
    <n v="1.056"/>
    <n v="0"/>
    <n v="0.99636000000000002"/>
    <n v="3.6440800000000001E-3"/>
    <s v="19.006251131087563"/>
    <s v="39.63525007349977"/>
    <s v="79.65511768236762"/>
    <s v="4.455128788947329"/>
    <n v="717898758"/>
    <x v="1"/>
    <n v="0.99470853999999997"/>
    <x v="1"/>
  </r>
  <r>
    <n v="57"/>
    <n v="0"/>
    <n v="3"/>
    <n v="5"/>
    <n v="1"/>
    <n v="4"/>
    <n v="0"/>
    <n v="47"/>
    <n v="5"/>
    <n v="3"/>
    <n v="3"/>
    <n v="2515"/>
    <n v="1922"/>
    <n v="593"/>
    <n v="1.181"/>
    <n v="2231"/>
    <n v="58"/>
    <n v="0.61099999999999999"/>
    <n v="0.76400000000000001"/>
    <n v="3.2275000000000001E-4"/>
    <n v="0.99968000000000001"/>
    <s v="30.060901816364165"/>
    <s v="29.506825066356864"/>
    <s v="5.6216543359178495"/>
    <s v="3.939229829592493"/>
    <n v="708488208"/>
    <x v="0"/>
    <n v="4.5414726000000001E-4"/>
    <x v="0"/>
  </r>
  <r>
    <n v="41"/>
    <n v="1"/>
    <n v="4"/>
    <n v="4"/>
    <n v="1"/>
    <n v="1"/>
    <n v="0"/>
    <n v="28"/>
    <n v="5"/>
    <n v="3"/>
    <n v="3"/>
    <n v="9815"/>
    <n v="0"/>
    <n v="9815"/>
    <n v="0.85899999999999999"/>
    <n v="15475"/>
    <n v="94"/>
    <n v="0.67900000000000005"/>
    <n v="0"/>
    <n v="3.7329000000000003E-4"/>
    <n v="0.99963000000000002"/>
    <s v="18.785086521010022"/>
    <s v="52.40176643441817"/>
    <n v="116.443070684991"/>
    <s v="6.749831819855851"/>
    <n v="717214158"/>
    <x v="0"/>
    <n v="7.6702517000000003E-4"/>
    <x v="0"/>
  </r>
  <r>
    <n v="43"/>
    <n v="0"/>
    <n v="3"/>
    <n v="6"/>
    <n v="1"/>
    <n v="4"/>
    <n v="0"/>
    <n v="36"/>
    <n v="2"/>
    <n v="2"/>
    <n v="2"/>
    <n v="2440"/>
    <n v="1002"/>
    <n v="1438"/>
    <n v="6.0999999999999999E-2"/>
    <n v="1533"/>
    <n v="42"/>
    <n v="0.105"/>
    <n v="0.41099999999999998"/>
    <n v="0.99236000000000002"/>
    <n v="7.6400000000000001E-3"/>
    <s v="12.373923959176471"/>
    <s v="28.935753100438124"/>
    <s v="36.83223233388084"/>
    <s v="18.826757337178883"/>
    <n v="709145958"/>
    <x v="1"/>
    <n v="0.99566540000000003"/>
    <x v="1"/>
  </r>
  <r>
    <n v="58"/>
    <n v="1"/>
    <n v="1"/>
    <n v="6"/>
    <n v="1"/>
    <n v="2"/>
    <n v="0"/>
    <n v="36"/>
    <n v="3"/>
    <n v="1"/>
    <n v="3"/>
    <n v="2347"/>
    <n v="2163"/>
    <n v="184"/>
    <n v="0.61499999999999999"/>
    <n v="1631"/>
    <n v="40"/>
    <n v="0.28999999999999998"/>
    <n v="0.92200000000000004"/>
    <s v="9.5577e-05"/>
    <n v="0.99990000000000001"/>
    <s v="9.096678208044857"/>
    <s v="35.69303013852461"/>
    <s v="115.06712935926544"/>
    <s v="18.464008204263965"/>
    <n v="709916058"/>
    <x v="0"/>
    <n v="1.232702E-3"/>
    <x v="0"/>
  </r>
  <r>
    <n v="46"/>
    <n v="0"/>
    <n v="3"/>
    <n v="0"/>
    <n v="1"/>
    <n v="4"/>
    <n v="0"/>
    <n v="36"/>
    <n v="5"/>
    <n v="2"/>
    <n v="2"/>
    <n v="1438.3"/>
    <n v="1214"/>
    <n v="224.3"/>
    <n v="0.78300000000000003"/>
    <n v="2445"/>
    <n v="39"/>
    <n v="0.44400000000000001"/>
    <n v="0.84399999999999997"/>
    <n v="0.99136999999999997"/>
    <n v="8.6300000000000005E-3"/>
    <s v="14.186359763921129"/>
    <s v="21.42077070738778"/>
    <s v="62.775551301200224"/>
    <s v="8.493871174569744"/>
    <n v="708946008"/>
    <x v="1"/>
    <n v="0.99573140000000004"/>
    <x v="1"/>
  </r>
  <r>
    <n v="34"/>
    <n v="1"/>
    <n v="4"/>
    <n v="5"/>
    <n v="2"/>
    <n v="0"/>
    <n v="0"/>
    <n v="36"/>
    <n v="6"/>
    <n v="3"/>
    <n v="2"/>
    <n v="34516"/>
    <n v="2517"/>
    <n v="31999"/>
    <n v="0.97499999999999998"/>
    <n v="1969"/>
    <n v="46"/>
    <n v="1.3"/>
    <n v="7.2999999999999995E-2"/>
    <n v="1.9395999999999999E-4"/>
    <n v="0.99980999999999998"/>
    <s v="1.2360213293428273"/>
    <s v="37.41152069159821"/>
    <s v="17.23863720562418"/>
    <s v="12.383714703910352"/>
    <n v="718784358"/>
    <x v="0"/>
    <n v="1.2643322E-3"/>
    <x v="0"/>
  </r>
  <r>
    <n v="44"/>
    <n v="0"/>
    <n v="2"/>
    <n v="3"/>
    <n v="3"/>
    <n v="4"/>
    <n v="0"/>
    <n v="34"/>
    <n v="5"/>
    <n v="1"/>
    <n v="3"/>
    <n v="3226"/>
    <n v="2517"/>
    <n v="709"/>
    <n v="0.81799999999999995"/>
    <n v="4317"/>
    <n v="81"/>
    <n v="0.88400000000000001"/>
    <n v="0.78"/>
    <s v="9.0056e-05"/>
    <n v="0.99990999999999997"/>
    <s v="24.67880564723974"/>
    <s v="13.44693384647324"/>
    <s v="97.78972904525598"/>
    <s v="4.3813494259287245"/>
    <n v="710508858"/>
    <x v="0"/>
    <n v="3.4692350000000002E-4"/>
    <x v="0"/>
  </r>
  <r>
    <n v="42"/>
    <n v="1"/>
    <n v="1"/>
    <n v="2"/>
    <n v="3"/>
    <n v="2"/>
    <n v="0"/>
    <n v="32"/>
    <n v="5"/>
    <n v="3"/>
    <n v="2"/>
    <n v="3741"/>
    <n v="0"/>
    <n v="3741"/>
    <n v="0.95899999999999996"/>
    <n v="4402"/>
    <n v="55"/>
    <n v="0.83299999999999996"/>
    <n v="0"/>
    <n v="1.6882999999999999E-4"/>
    <n v="0.99983"/>
    <s v="27.391715957163363"/>
    <s v="36.968423209769234"/>
    <s v="42.008153173721865"/>
    <s v="15.492641451147042"/>
    <n v="721500108"/>
    <x v="0"/>
    <n v="1.380481E-3"/>
    <x v="0"/>
  </r>
  <r>
    <n v="50"/>
    <n v="1"/>
    <n v="3"/>
    <n v="2"/>
    <n v="2"/>
    <n v="2"/>
    <n v="0"/>
    <n v="44"/>
    <n v="4"/>
    <n v="2"/>
    <n v="3"/>
    <n v="23090"/>
    <n v="839"/>
    <n v="22251"/>
    <n v="1.3260000000000001"/>
    <n v="1198"/>
    <n v="24"/>
    <n v="1"/>
    <n v="3.5999999999999997E-2"/>
    <n v="1.9864000000000001E-4"/>
    <n v="0.99980000000000002"/>
    <s v="9.235075030089623"/>
    <s v="106.97061077859604"/>
    <s v="90.89668318549111"/>
    <s v="19.98856940924132"/>
    <n v="801383808"/>
    <x v="0"/>
    <n v="1.7299717000000001E-3"/>
    <x v="0"/>
  </r>
  <r>
    <n v="50"/>
    <n v="0"/>
    <n v="4"/>
    <n v="6"/>
    <n v="1"/>
    <n v="4"/>
    <n v="0"/>
    <n v="36"/>
    <n v="2"/>
    <n v="4"/>
    <n v="3"/>
    <n v="2407"/>
    <n v="1102"/>
    <n v="1305"/>
    <n v="0.73599999999999999"/>
    <n v="4543"/>
    <n v="71"/>
    <n v="0.77500000000000002"/>
    <n v="0.45800000000000002"/>
    <n v="4.2140999999999999E-4"/>
    <n v="0.99958000000000002"/>
    <s v="50.77843263637476"/>
    <s v="11.256413855215172"/>
    <s v="40.44767696397624"/>
    <s v="20.29438316765883"/>
    <n v="713015433"/>
    <x v="0"/>
    <n v="3.2101269999999999E-4"/>
    <x v="0"/>
  </r>
  <r>
    <n v="41"/>
    <n v="0"/>
    <n v="2"/>
    <n v="2"/>
    <n v="1"/>
    <n v="4"/>
    <n v="0"/>
    <n v="32"/>
    <n v="3"/>
    <n v="3"/>
    <n v="2"/>
    <n v="3302"/>
    <n v="1980"/>
    <n v="1322"/>
    <n v="0.625"/>
    <n v="3899"/>
    <n v="65"/>
    <n v="0.71099999999999997"/>
    <n v="0.6"/>
    <n v="1.7987E-4"/>
    <n v="0.99982000000000004"/>
    <s v="18.009146667265284"/>
    <s v="40.78059957916111"/>
    <s v="37.86991195904497"/>
    <s v="1.4779359767074012"/>
    <n v="720068808"/>
    <x v="0"/>
    <n v="3.2890364000000001E-4"/>
    <x v="0"/>
  </r>
  <r>
    <n v="56"/>
    <n v="1"/>
    <n v="2"/>
    <n v="3"/>
    <n v="2"/>
    <n v="0"/>
    <n v="0"/>
    <n v="46"/>
    <n v="2"/>
    <n v="4"/>
    <n v="4"/>
    <n v="7327"/>
    <n v="0"/>
    <n v="7327"/>
    <n v="0.59799999999999998"/>
    <n v="2185"/>
    <n v="41"/>
    <n v="0.86399999999999999"/>
    <n v="0"/>
    <n v="0.99834999999999996"/>
    <n v="1.64594E-3"/>
    <s v="21.317209742691755"/>
    <s v="23.49287476866682"/>
    <s v="60.43494627197837"/>
    <s v="8.277344407515661"/>
    <n v="713158083"/>
    <x v="1"/>
    <n v="0.99801624"/>
    <x v="1"/>
  </r>
  <r>
    <n v="38"/>
    <n v="0"/>
    <n v="3"/>
    <n v="2"/>
    <n v="1"/>
    <n v="5"/>
    <n v="0"/>
    <n v="27"/>
    <n v="6"/>
    <n v="2"/>
    <n v="2"/>
    <n v="2425"/>
    <n v="1396"/>
    <n v="1029"/>
    <n v="0.89900000000000002"/>
    <n v="4568"/>
    <n v="74"/>
    <n v="0.89700000000000002"/>
    <n v="0.57599999999999996"/>
    <n v="1.1811000000000001E-4"/>
    <n v="0.99987999999999999"/>
    <s v="47.95637111519801"/>
    <s v="105.19439732537148"/>
    <s v="134.1590574931774"/>
    <s v="15.125427000851978"/>
    <n v="789233808"/>
    <x v="0"/>
    <n v="3.221314E-4"/>
    <x v="0"/>
  </r>
  <r>
    <n v="44"/>
    <n v="0"/>
    <n v="1"/>
    <n v="1"/>
    <n v="0"/>
    <n v="4"/>
    <n v="0"/>
    <n v="39"/>
    <n v="5"/>
    <n v="2"/>
    <n v="4"/>
    <n v="2311"/>
    <n v="1830"/>
    <n v="481"/>
    <n v="1.2889999999999999"/>
    <n v="1701"/>
    <n v="33"/>
    <n v="1.357"/>
    <n v="0.79200000000000004"/>
    <n v="4.4352999999999998E-4"/>
    <n v="0.99956"/>
    <s v="4.644443592508004"/>
    <s v="16.049238734696303"/>
    <s v="9.319894668559026"/>
    <s v="9.212747370643058"/>
    <n v="805522758"/>
    <x v="0"/>
    <n v="9.8706899999999992E-4"/>
    <x v="0"/>
  </r>
  <r>
    <n v="51"/>
    <n v="0"/>
    <n v="3"/>
    <n v="2"/>
    <n v="1"/>
    <n v="4"/>
    <n v="0"/>
    <n v="46"/>
    <n v="1"/>
    <n v="4"/>
    <n v="3"/>
    <n v="2016"/>
    <n v="395"/>
    <n v="1621"/>
    <n v="0.71099999999999997"/>
    <n v="2473"/>
    <n v="44"/>
    <n v="0.57099999999999995"/>
    <n v="0.19600000000000001"/>
    <n v="0.99736999999999998"/>
    <n v="2.6281999999999998E-3"/>
    <s v="5.094647214410207"/>
    <n v="55.727309184362902"/>
    <s v="18.69056314435226"/>
    <s v="8.164546627131646"/>
    <n v="810875958"/>
    <x v="1"/>
    <n v="0.99855499999999997"/>
    <x v="1"/>
  </r>
  <r>
    <n v="42"/>
    <n v="0"/>
    <n v="3"/>
    <n v="3"/>
    <n v="1"/>
    <n v="5"/>
    <n v="0"/>
    <n v="30"/>
    <n v="1"/>
    <n v="1"/>
    <n v="2"/>
    <n v="1821"/>
    <n v="935"/>
    <n v="886"/>
    <n v="0.78100000000000003"/>
    <n v="4786"/>
    <n v="87"/>
    <n v="0.77600000000000002"/>
    <n v="0.51300000000000001"/>
    <s v="5.5559e-05"/>
    <n v="0.99994000000000005"/>
    <s v="39.39191630668989"/>
    <s v="25.444113139693723"/>
    <s v="73.56512953112906"/>
    <s v="5.076260438081252"/>
    <n v="771630783"/>
    <x v="0"/>
    <n v="3.9522952000000002E-4"/>
    <x v="0"/>
  </r>
  <r>
    <n v="55"/>
    <n v="0"/>
    <n v="4"/>
    <n v="2"/>
    <n v="1"/>
    <n v="1"/>
    <n v="0"/>
    <n v="41"/>
    <n v="1"/>
    <n v="1"/>
    <n v="3"/>
    <n v="1438.3"/>
    <n v="0"/>
    <n v="1438.3"/>
    <n v="0.86099999999999999"/>
    <n v="4885"/>
    <n v="88"/>
    <n v="0.63"/>
    <n v="0"/>
    <s v="9.7154e-05"/>
    <n v="0.99990000000000001"/>
    <s v="3.814143791866041"/>
    <s v="37.11406107328445"/>
    <s v="239.02253787734568"/>
    <s v="11.788399501492794"/>
    <n v="770581983"/>
    <x v="0"/>
    <n v="7.2847964000000002E-4"/>
    <x v="0"/>
  </r>
  <r>
    <n v="45"/>
    <n v="1"/>
    <n v="2"/>
    <n v="6"/>
    <n v="1"/>
    <n v="0"/>
    <n v="0"/>
    <n v="40"/>
    <n v="4"/>
    <n v="4"/>
    <n v="4"/>
    <n v="16476"/>
    <n v="1374"/>
    <n v="15102"/>
    <n v="0.45900000000000002"/>
    <n v="4717"/>
    <n v="71"/>
    <n v="0.69"/>
    <n v="8.3000000000000004E-2"/>
    <n v="6.8535999999999998E-4"/>
    <n v="0.99931000000000003"/>
    <s v="13.765977529948774"/>
    <s v="41.435907928440585"/>
    <s v="53.53081996824989"/>
    <s v="7.645413420211696"/>
    <n v="806824908"/>
    <x v="0"/>
    <n v="4.297964E-4"/>
    <x v="0"/>
  </r>
  <r>
    <n v="47"/>
    <n v="0"/>
    <n v="2"/>
    <n v="2"/>
    <n v="1"/>
    <n v="4"/>
    <n v="0"/>
    <n v="34"/>
    <n v="6"/>
    <n v="2"/>
    <n v="2"/>
    <n v="2190"/>
    <n v="0"/>
    <n v="2190"/>
    <n v="0.63"/>
    <n v="4416"/>
    <n v="68"/>
    <n v="0.58099999999999996"/>
    <n v="0"/>
    <n v="1.1382E-4"/>
    <n v="0.99988999999999995"/>
    <s v="11.76393084919225"/>
    <s v="52.56107291901925"/>
    <s v="66.97427678825633"/>
    <s v="7.848141632256324"/>
    <n v="710420133"/>
    <x v="0"/>
    <n v="7.9661230000000003E-4"/>
    <x v="0"/>
  </r>
  <r>
    <n v="49"/>
    <n v="1"/>
    <n v="1"/>
    <n v="2"/>
    <n v="1"/>
    <n v="0"/>
    <n v="0"/>
    <n v="39"/>
    <n v="3"/>
    <n v="2"/>
    <n v="3"/>
    <n v="34516"/>
    <n v="0"/>
    <n v="34516"/>
    <n v="0.50700000000000001"/>
    <n v="1106"/>
    <n v="31"/>
    <n v="0.93799999999999994"/>
    <n v="0"/>
    <n v="1.7969000000000001E-4"/>
    <n v="0.99982000000000004"/>
    <s v="18.15492721165844"/>
    <s v="8.980465345478153"/>
    <s v="96.65257179598076"/>
    <s v="13.40994050697352"/>
    <n v="716984658"/>
    <x v="0"/>
    <n v="3.5265972999999999E-3"/>
    <x v="0"/>
  </r>
  <r>
    <n v="45"/>
    <n v="1"/>
    <n v="2"/>
    <n v="3"/>
    <n v="1"/>
    <n v="3"/>
    <n v="3"/>
    <n v="37"/>
    <n v="3"/>
    <n v="2"/>
    <n v="2"/>
    <n v="34516"/>
    <n v="1495"/>
    <n v="33021"/>
    <n v="0.52"/>
    <n v="3247"/>
    <n v="70"/>
    <n v="0.70699999999999996"/>
    <n v="4.2999999999999997E-2"/>
    <s v="9.9979e-05"/>
    <n v="0.99990000000000001"/>
    <s v="6.420118647827646"/>
    <s v="20.324200427058692"/>
    <s v="3.412143692173227"/>
    <n v="8.5316210648440402E-2"/>
    <n v="713456583"/>
    <x v="0"/>
    <n v="3.5729867999999997E-4"/>
    <x v="0"/>
  </r>
  <r>
    <n v="39"/>
    <n v="0"/>
    <n v="4"/>
    <n v="6"/>
    <n v="1"/>
    <n v="5"/>
    <n v="0"/>
    <n v="21"/>
    <n v="2"/>
    <n v="3"/>
    <n v="2"/>
    <n v="1827"/>
    <n v="0"/>
    <n v="1827"/>
    <n v="0.56299999999999994"/>
    <n v="4207"/>
    <n v="86"/>
    <n v="0.79200000000000004"/>
    <n v="0"/>
    <n v="2.0735E-4"/>
    <n v="0.99978999999999996"/>
    <s v="30.49486353161035"/>
    <s v="6.376070117055442"/>
    <s v="13.27707110852724"/>
    <s v="0.2393287686757957"/>
    <n v="708148158"/>
    <x v="0"/>
    <n v="6.9517245999999998E-4"/>
    <x v="0"/>
  </r>
  <r>
    <n v="56"/>
    <n v="1"/>
    <n v="3"/>
    <n v="6"/>
    <n v="3"/>
    <n v="1"/>
    <n v="0"/>
    <n v="46"/>
    <n v="6"/>
    <n v="3"/>
    <n v="4"/>
    <n v="2910"/>
    <n v="709"/>
    <n v="2201"/>
    <n v="0.53800000000000003"/>
    <n v="1192"/>
    <n v="27"/>
    <n v="0.58799999999999997"/>
    <n v="0.24399999999999999"/>
    <n v="5.8850999999999999E-4"/>
    <n v="0.99941000000000002"/>
    <s v="19.51211186957211"/>
    <s v="38.51464778797023"/>
    <s v="106.03758689594328"/>
    <s v="1.3634030671078856"/>
    <n v="719731458"/>
    <x v="0"/>
    <n v="1.8570748000000001E-3"/>
    <x v="0"/>
  </r>
  <r>
    <n v="51"/>
    <n v="0"/>
    <n v="0"/>
    <n v="2"/>
    <n v="1"/>
    <n v="5"/>
    <n v="0"/>
    <n v="36"/>
    <n v="5"/>
    <n v="2"/>
    <n v="3"/>
    <n v="5862"/>
    <n v="2306"/>
    <n v="3556"/>
    <n v="0.80700000000000005"/>
    <n v="4305"/>
    <n v="51"/>
    <n v="1.3180000000000001"/>
    <n v="0.39300000000000002"/>
    <n v="1.6427999999999999E-4"/>
    <n v="0.99983999999999995"/>
    <s v="10.759441354845524"/>
    <s v="53.77831955339012"/>
    <s v="28.23111200518408"/>
    <s v="3.752942402291724"/>
    <n v="719264058"/>
    <x v="0"/>
    <n v="8.2981254999999995E-4"/>
    <x v="0"/>
  </r>
  <r>
    <n v="37"/>
    <n v="0"/>
    <n v="1"/>
    <n v="2"/>
    <n v="1"/>
    <n v="4"/>
    <n v="0"/>
    <n v="19"/>
    <n v="2"/>
    <n v="3"/>
    <n v="2"/>
    <n v="5843"/>
    <n v="1346"/>
    <n v="4497"/>
    <n v="0.64100000000000001"/>
    <n v="13299"/>
    <n v="95"/>
    <n v="0.86299999999999999"/>
    <n v="0.23"/>
    <n v="1.6882999999999999E-4"/>
    <n v="0.99983"/>
    <s v="3.2437370327376165"/>
    <s v="2.091818326538097"/>
    <s v="34.85044170431472"/>
    <s v="5.827596032833997"/>
    <n v="713330133"/>
    <x v="0"/>
    <n v="3.4656386999999997E-4"/>
    <x v="0"/>
  </r>
  <r>
    <n v="41"/>
    <n v="0"/>
    <n v="5"/>
    <n v="5"/>
    <n v="2"/>
    <n v="1"/>
    <n v="0"/>
    <n v="26"/>
    <n v="4"/>
    <n v="3"/>
    <n v="4"/>
    <n v="2264"/>
    <n v="928"/>
    <n v="1336"/>
    <n v="0.66200000000000003"/>
    <n v="4150"/>
    <n v="83"/>
    <n v="0.84399999999999997"/>
    <n v="0.41"/>
    <n v="5.4772999999999996E-4"/>
    <n v="0.99944999999999995"/>
    <s v="24.54875933892183"/>
    <s v="3.027740038494749"/>
    <s v="42.64947686576675"/>
    <s v="13.538278775490951"/>
    <n v="710842308"/>
    <x v="0"/>
    <n v="3.9522952000000002E-4"/>
    <x v="0"/>
  </r>
  <r>
    <n v="40"/>
    <n v="0"/>
    <n v="2"/>
    <n v="5"/>
    <n v="2"/>
    <n v="4"/>
    <n v="0"/>
    <n v="28"/>
    <n v="2"/>
    <n v="2"/>
    <n v="2"/>
    <n v="3021"/>
    <n v="0"/>
    <n v="3021"/>
    <n v="0.69399999999999995"/>
    <n v="2814"/>
    <n v="37"/>
    <n v="0.32100000000000001"/>
    <n v="0"/>
    <n v="0.99153000000000002"/>
    <n v="8.4700000000000001E-3"/>
    <s v="44.98955492969604"/>
    <n v="76.230157825742793"/>
    <s v="59.966685613455965"/>
    <s v="24.58928727721961"/>
    <n v="720766908"/>
    <x v="1"/>
    <n v="0.99872713999999996"/>
    <x v="1"/>
  </r>
  <r>
    <n v="47"/>
    <n v="0"/>
    <n v="2"/>
    <n v="2"/>
    <n v="1"/>
    <n v="4"/>
    <n v="0"/>
    <n v="36"/>
    <n v="6"/>
    <n v="3"/>
    <n v="2"/>
    <n v="1693"/>
    <n v="1088"/>
    <n v="605"/>
    <n v="0.53200000000000003"/>
    <n v="2104"/>
    <n v="40"/>
    <n v="0.73899999999999999"/>
    <n v="0.64300000000000002"/>
    <n v="0.99446999999999997"/>
    <n v="5.5300000000000002E-3"/>
    <s v="17.55913804529921"/>
    <s v="26.81972623253908"/>
    <s v="4.585496483375119"/>
    <s v="1.4114613806857703"/>
    <n v="789177333"/>
    <x v="1"/>
    <n v="0.99505460000000001"/>
    <x v="1"/>
  </r>
  <r>
    <n v="39"/>
    <n v="1"/>
    <n v="0"/>
    <n v="1"/>
    <n v="2"/>
    <n v="2"/>
    <n v="0"/>
    <n v="33"/>
    <n v="6"/>
    <n v="2"/>
    <n v="0"/>
    <n v="10452"/>
    <n v="1120"/>
    <n v="9332"/>
    <n v="0.80200000000000005"/>
    <n v="3592"/>
    <n v="79"/>
    <n v="0.79500000000000004"/>
    <n v="0.107"/>
    <s v="5.2139e-05"/>
    <n v="0.99995000000000001"/>
    <s v="5.712141444691627"/>
    <s v="14.704441183555588"/>
    <n v="3.9016897183882602"/>
    <s v="1.5685768603453882"/>
    <n v="793717608"/>
    <x v="0"/>
    <n v="3.2101269999999999E-4"/>
    <x v="0"/>
  </r>
  <r>
    <n v="30"/>
    <n v="1"/>
    <n v="1"/>
    <n v="6"/>
    <n v="2"/>
    <n v="4"/>
    <n v="0"/>
    <n v="19"/>
    <n v="5"/>
    <n v="2"/>
    <n v="0"/>
    <n v="8744"/>
    <n v="1712"/>
    <n v="7032"/>
    <n v="0.89500000000000002"/>
    <n v="2579"/>
    <n v="68"/>
    <n v="0.65900000000000003"/>
    <n v="0.19600000000000001"/>
    <s v="4.3319e-05"/>
    <n v="0.99995999999999996"/>
    <n v="3.3355316054320001"/>
    <s v="24.31352556683696"/>
    <s v="17.767496103640116"/>
    <s v="6.206568220944384"/>
    <n v="710256708"/>
    <x v="0"/>
    <n v="4.1478183000000002E-4"/>
    <x v="0"/>
  </r>
  <r>
    <n v="44"/>
    <n v="0"/>
    <n v="5"/>
    <n v="4"/>
    <n v="1"/>
    <n v="4"/>
    <n v="0"/>
    <n v="40"/>
    <n v="3"/>
    <n v="3"/>
    <n v="4"/>
    <n v="4453"/>
    <n v="973"/>
    <n v="3480"/>
    <n v="0.90800000000000003"/>
    <n v="3239"/>
    <n v="66"/>
    <n v="0.65"/>
    <n v="0.219"/>
    <n v="6.2677999999999996E-4"/>
    <n v="0.99936999999999998"/>
    <s v="35.88365943855467"/>
    <s v="12.582497600121712"/>
    <n v="62.886117511663002"/>
    <s v="0.1173288951531614"/>
    <n v="822898758"/>
    <x v="0"/>
    <n v="4.2703707E-4"/>
    <x v="0"/>
  </r>
  <r>
    <n v="47"/>
    <n v="0"/>
    <n v="2"/>
    <n v="3"/>
    <n v="1"/>
    <n v="5"/>
    <n v="0"/>
    <n v="40"/>
    <n v="5"/>
    <n v="1"/>
    <n v="3"/>
    <n v="2264"/>
    <n v="0"/>
    <n v="2264"/>
    <n v="0.67"/>
    <n v="4279"/>
    <n v="75"/>
    <n v="0.53100000000000003"/>
    <n v="0"/>
    <s v="9.0056e-05"/>
    <n v="0.99990999999999997"/>
    <s v="6.725210660258641"/>
    <n v="5.7106918252349201"/>
    <s v="23.140784450311223"/>
    <s v="23.30905302769984"/>
    <n v="720256158"/>
    <x v="0"/>
    <n v="7.387203E-4"/>
    <x v="0"/>
  </r>
  <r>
    <n v="51"/>
    <n v="1"/>
    <n v="0"/>
    <n v="2"/>
    <n v="1"/>
    <n v="3"/>
    <n v="0"/>
    <n v="40"/>
    <n v="4"/>
    <n v="3"/>
    <n v="2"/>
    <n v="7158"/>
    <n v="0"/>
    <n v="7158"/>
    <n v="0.90400000000000003"/>
    <n v="2113"/>
    <n v="60"/>
    <n v="0.875"/>
    <n v="0"/>
    <n v="1.5435000000000001E-4"/>
    <n v="0.99985000000000002"/>
    <s v="17.877928996137005"/>
    <s v="33.47057429659507"/>
    <s v="20.611270003383847"/>
    <s v="10.025910204042864"/>
    <n v="717994608"/>
    <x v="0"/>
    <n v="1.1396083E-3"/>
    <x v="0"/>
  </r>
  <r>
    <n v="56"/>
    <n v="0"/>
    <n v="1"/>
    <n v="5"/>
    <n v="3"/>
    <n v="1"/>
    <n v="0"/>
    <n v="46"/>
    <n v="4"/>
    <n v="3"/>
    <n v="3"/>
    <n v="2929"/>
    <n v="1287"/>
    <n v="1642"/>
    <n v="0.497"/>
    <n v="3875"/>
    <n v="67"/>
    <n v="0.59499999999999997"/>
    <n v="0.439"/>
    <n v="2.9196000000000002E-4"/>
    <n v="0.99970999999999999"/>
    <s v="4.484242819671668"/>
    <s v="71.33382949124832"/>
    <s v="57.58937743097594"/>
    <s v="16.146906424719244"/>
    <n v="718757808"/>
    <x v="0"/>
    <n v="3.2914013999999999E-4"/>
    <x v="0"/>
  </r>
  <r>
    <n v="63"/>
    <n v="1"/>
    <n v="0"/>
    <n v="2"/>
    <n v="1"/>
    <n v="1"/>
    <n v="0"/>
    <n v="56"/>
    <n v="4"/>
    <n v="2"/>
    <n v="5"/>
    <n v="6500"/>
    <n v="1786"/>
    <n v="4714"/>
    <n v="0.52400000000000002"/>
    <n v="1497"/>
    <n v="27"/>
    <n v="0.35"/>
    <n v="0.27500000000000002"/>
    <n v="4.8485999999999999E-4"/>
    <n v="0.99951999999999996"/>
    <s v="16.66515326783921"/>
    <s v="35.664235356635174"/>
    <s v="13.48808507414553"/>
    <n v="6.9772077945381705E-2"/>
    <n v="813200058"/>
    <x v="0"/>
    <n v="1.1982243E-3"/>
    <x v="0"/>
  </r>
  <r>
    <n v="44"/>
    <n v="0"/>
    <n v="3"/>
    <n v="3"/>
    <n v="2"/>
    <n v="4"/>
    <n v="0"/>
    <n v="33"/>
    <n v="3"/>
    <n v="3"/>
    <n v="3"/>
    <n v="5362"/>
    <n v="1984"/>
    <n v="3378"/>
    <n v="0.66400000000000003"/>
    <n v="3851"/>
    <n v="87"/>
    <n v="0.64200000000000002"/>
    <n v="0.37"/>
    <n v="3.0516000000000001E-4"/>
    <n v="0.99968999999999997"/>
    <s v="2.190818412322669"/>
    <s v="59.23992899350108"/>
    <s v="93.13436839855402"/>
    <s v="12.108829356964431"/>
    <n v="718816158"/>
    <x v="0"/>
    <n v="3.2914013999999999E-4"/>
    <x v="0"/>
  </r>
  <r>
    <n v="41"/>
    <n v="1"/>
    <n v="4"/>
    <n v="3"/>
    <n v="2"/>
    <n v="2"/>
    <n v="0"/>
    <n v="28"/>
    <n v="6"/>
    <n v="1"/>
    <n v="4"/>
    <n v="4475"/>
    <n v="0"/>
    <n v="4475"/>
    <n v="0.70599999999999996"/>
    <n v="3367"/>
    <n v="66"/>
    <n v="0.73699999999999999"/>
    <n v="0"/>
    <n v="1.6112E-4"/>
    <n v="0.99983999999999995"/>
    <s v="19.33755637510158"/>
    <s v="12.127770987755534"/>
    <s v="17.054632560457225"/>
    <n v="9.3192705303933305"/>
    <n v="719855958"/>
    <x v="0"/>
    <n v="7.4965424999999997E-4"/>
    <x v="0"/>
  </r>
  <r>
    <n v="60"/>
    <n v="0"/>
    <n v="0"/>
    <n v="0"/>
    <n v="2"/>
    <n v="4"/>
    <n v="0"/>
    <n v="55"/>
    <n v="5"/>
    <n v="1"/>
    <n v="3"/>
    <n v="1438.3"/>
    <n v="738"/>
    <n v="700.3"/>
    <n v="0.78200000000000003"/>
    <n v="1226"/>
    <n v="33"/>
    <n v="0.57099999999999995"/>
    <n v="0.51300000000000001"/>
    <s v="7.7286e-05"/>
    <n v="0.99992000000000003"/>
    <s v="4.799164329146098"/>
    <s v="15.298166872230173"/>
    <s v="52.05121504991199"/>
    <s v="11.95480461136797"/>
    <n v="812627208"/>
    <x v="0"/>
    <n v="1.8570748000000001E-3"/>
    <x v="0"/>
  </r>
  <r>
    <n v="52"/>
    <n v="1"/>
    <n v="3"/>
    <n v="2"/>
    <n v="1"/>
    <n v="3"/>
    <n v="0"/>
    <n v="32"/>
    <n v="6"/>
    <n v="3"/>
    <n v="3"/>
    <n v="30820"/>
    <n v="1724"/>
    <n v="29096"/>
    <n v="0.94799999999999995"/>
    <n v="3402"/>
    <n v="75"/>
    <n v="0.92300000000000004"/>
    <n v="5.6000000000000001E-2"/>
    <n v="3.1389999999999999E-4"/>
    <n v="0.99968999999999997"/>
    <s v="24.600414827995788"/>
    <s v="22.561345021542767"/>
    <s v="22.72461382022837"/>
    <s v="18.50423783221032"/>
    <n v="778375458"/>
    <x v="0"/>
    <n v="3.756586E-4"/>
    <x v="0"/>
  </r>
  <r>
    <n v="42"/>
    <n v="0"/>
    <n v="1"/>
    <n v="1"/>
    <n v="1"/>
    <n v="4"/>
    <n v="0"/>
    <n v="27"/>
    <n v="5"/>
    <n v="3"/>
    <n v="3"/>
    <n v="1840"/>
    <n v="1565"/>
    <n v="275"/>
    <n v="0.95"/>
    <n v="4518"/>
    <n v="72"/>
    <n v="0.5"/>
    <n v="0.85099999999999998"/>
    <n v="4.1086999999999997E-4"/>
    <n v="0.99958999999999998"/>
    <s v="36.97004184841017"/>
    <s v="55.221551574842174"/>
    <s v="109.0765024139193"/>
    <s v="20.155539375871648"/>
    <n v="780074733"/>
    <x v="0"/>
    <n v="3.5872155999999998E-4"/>
    <x v="0"/>
  </r>
  <r>
    <n v="54"/>
    <n v="1"/>
    <n v="5"/>
    <n v="3"/>
    <n v="1"/>
    <n v="2"/>
    <n v="0"/>
    <n v="36"/>
    <n v="5"/>
    <n v="2"/>
    <n v="3"/>
    <n v="14539"/>
    <n v="0"/>
    <n v="14539"/>
    <n v="0.90700000000000003"/>
    <n v="965"/>
    <n v="26"/>
    <n v="0.52900000000000003"/>
    <n v="0"/>
    <n v="0.99482000000000004"/>
    <n v="5.1799999999999997E-3"/>
    <s v="31.72782951903621"/>
    <s v="35.51323185995947"/>
    <s v="3.7595799126525247"/>
    <s v="22.761738450224605"/>
    <n v="720990183"/>
    <x v="1"/>
    <n v="0.99867176999999996"/>
    <x v="1"/>
  </r>
  <r>
    <n v="47"/>
    <n v="1"/>
    <n v="3"/>
    <n v="3"/>
    <n v="1"/>
    <n v="3"/>
    <n v="0"/>
    <n v="32"/>
    <n v="3"/>
    <n v="2"/>
    <n v="2"/>
    <n v="23424"/>
    <n v="2517"/>
    <n v="20907"/>
    <n v="0.76200000000000001"/>
    <n v="3537"/>
    <n v="73"/>
    <n v="0.73799999999999999"/>
    <n v="0.107"/>
    <n v="1.1482E-4"/>
    <n v="0.99988999999999995"/>
    <s v="41.704608528629805"/>
    <s v="23.13368861416812"/>
    <s v="44.925713754517965"/>
    <s v="19.609605897255246"/>
    <n v="794579658"/>
    <x v="0"/>
    <n v="3.4692350000000002E-4"/>
    <x v="0"/>
  </r>
  <r>
    <n v="46"/>
    <n v="0"/>
    <n v="4"/>
    <n v="6"/>
    <n v="2"/>
    <n v="4"/>
    <n v="0"/>
    <n v="39"/>
    <n v="4"/>
    <n v="2"/>
    <n v="3"/>
    <n v="7128"/>
    <n v="1457"/>
    <n v="5671"/>
    <n v="0.55300000000000005"/>
    <n v="3534"/>
    <n v="70"/>
    <n v="0.59099999999999997"/>
    <n v="0.20399999999999999"/>
    <n v="2.2068000000000001E-4"/>
    <n v="0.99978"/>
    <n v="77.698737000781406"/>
    <s v="12.275503043723214"/>
    <s v="41.87894568819209"/>
    <s v="4.861712507328931"/>
    <n v="773257233"/>
    <x v="0"/>
    <n v="3.2914013999999999E-4"/>
    <x v="0"/>
  </r>
  <r>
    <n v="61"/>
    <n v="1"/>
    <n v="1"/>
    <n v="5"/>
    <n v="1"/>
    <n v="1"/>
    <n v="0"/>
    <n v="47"/>
    <n v="5"/>
    <n v="3"/>
    <n v="4"/>
    <n v="1438.3"/>
    <n v="847"/>
    <n v="591.29999999999995"/>
    <n v="0.436"/>
    <n v="1397"/>
    <n v="43"/>
    <n v="0.48299999999999998"/>
    <n v="0.58899999999999997"/>
    <n v="4.9799999999999996E-4"/>
    <n v="0.99950000000000006"/>
    <s v="22.31042541374424"/>
    <s v="60.72223888249041"/>
    <n v="33.379091474342303"/>
    <s v="6.319906932950924"/>
    <n v="713511108"/>
    <x v="0"/>
    <n v="1.8868185999999999E-3"/>
    <x v="0"/>
  </r>
  <r>
    <n v="51"/>
    <n v="0"/>
    <n v="3"/>
    <n v="3"/>
    <n v="2"/>
    <n v="4"/>
    <n v="0"/>
    <n v="41"/>
    <n v="1"/>
    <n v="4"/>
    <n v="3"/>
    <n v="3229"/>
    <n v="2517"/>
    <n v="712"/>
    <n v="0.622"/>
    <n v="4526"/>
    <n v="95"/>
    <n v="0.63800000000000001"/>
    <n v="0.77900000000000003"/>
    <n v="3.6877999999999998E-4"/>
    <n v="0.99963000000000002"/>
    <s v="45.746628188214686"/>
    <s v="2.813072886977376"/>
    <s v="54.74759974298975"/>
    <s v="20.178275373073543"/>
    <n v="780727833"/>
    <x v="0"/>
    <n v="3.5570623000000002E-4"/>
    <x v="0"/>
  </r>
  <r>
    <n v="37"/>
    <n v="1"/>
    <n v="2"/>
    <n v="0"/>
    <n v="2"/>
    <n v="3"/>
    <n v="0"/>
    <n v="36"/>
    <n v="3"/>
    <n v="2"/>
    <n v="2"/>
    <n v="12944"/>
    <n v="1399"/>
    <n v="11545"/>
    <n v="0.50700000000000001"/>
    <n v="4389"/>
    <n v="84"/>
    <n v="0.68"/>
    <n v="0.108"/>
    <n v="1.1066E-4"/>
    <n v="0.99988999999999995"/>
    <s v="29.202321437791326"/>
    <s v="15.230312860226531"/>
    <s v="38.36165043595855"/>
    <s v="3.1228985851251565"/>
    <n v="715474833"/>
    <x v="0"/>
    <n v="3.2101269999999999E-4"/>
    <x v="0"/>
  </r>
  <r>
    <n v="40"/>
    <n v="1"/>
    <n v="3"/>
    <n v="2"/>
    <n v="1"/>
    <n v="2"/>
    <n v="0"/>
    <n v="27"/>
    <n v="4"/>
    <n v="2"/>
    <n v="3"/>
    <n v="15186"/>
    <n v="0"/>
    <n v="15186"/>
    <n v="0.48299999999999998"/>
    <n v="1884"/>
    <n v="33"/>
    <n v="0.435"/>
    <n v="0"/>
    <n v="0.99499000000000004"/>
    <n v="5.0099999999999997E-3"/>
    <s v="8.564173198957535"/>
    <s v="26.788602986260464"/>
    <s v="28.56182866432735"/>
    <n v="4.91219113295434"/>
    <n v="711079308"/>
    <x v="1"/>
    <n v="0.99866544999999995"/>
    <x v="1"/>
  </r>
  <r>
    <n v="46"/>
    <n v="1"/>
    <n v="2"/>
    <n v="2"/>
    <n v="2"/>
    <n v="1"/>
    <n v="0"/>
    <n v="31"/>
    <n v="3"/>
    <n v="3"/>
    <n v="5"/>
    <n v="7869"/>
    <n v="0"/>
    <n v="7869"/>
    <n v="0.69199999999999995"/>
    <n v="998"/>
    <n v="25"/>
    <n v="0.56200000000000006"/>
    <n v="0"/>
    <n v="0.99887999999999999"/>
    <n v="1.11805E-3"/>
    <s v="67.83296450088156"/>
    <n v="53.8739547691289"/>
    <s v="49.730680287613616"/>
    <s v="0.7327831419880868"/>
    <n v="713104458"/>
    <x v="1"/>
    <n v="0.99795339999999999"/>
    <x v="1"/>
  </r>
  <r>
    <n v="41"/>
    <n v="0"/>
    <n v="1"/>
    <n v="0"/>
    <n v="1"/>
    <n v="4"/>
    <n v="0"/>
    <n v="32"/>
    <n v="6"/>
    <n v="3"/>
    <n v="3"/>
    <n v="2225"/>
    <n v="0"/>
    <n v="2225"/>
    <n v="1.06"/>
    <n v="4917"/>
    <n v="84"/>
    <n v="0.75"/>
    <n v="0"/>
    <n v="2.7607E-4"/>
    <n v="0.99972000000000005"/>
    <s v="23.90596136314477"/>
    <s v="70.48783683152988"/>
    <s v="50.43507257577448"/>
    <s v="4.4294359718603005"/>
    <n v="715737258"/>
    <x v="0"/>
    <n v="7.1297199999999998E-4"/>
    <x v="0"/>
  </r>
  <r>
    <n v="32"/>
    <n v="1"/>
    <n v="0"/>
    <n v="6"/>
    <n v="1"/>
    <n v="4"/>
    <n v="3"/>
    <n v="24"/>
    <n v="2"/>
    <n v="2"/>
    <n v="3"/>
    <n v="11511"/>
    <n v="0"/>
    <n v="11511"/>
    <n v="0.86699999999999999"/>
    <n v="14436"/>
    <n v="123"/>
    <n v="0.64"/>
    <n v="0"/>
    <n v="1.6316E-4"/>
    <n v="0.99983999999999995"/>
    <n v="7.7381184418340201"/>
    <s v="27.23880116480229"/>
    <n v="46.896067214365203"/>
    <s v="4.966954174121329"/>
    <n v="719955558"/>
    <x v="0"/>
    <n v="7.8643485999999995E-4"/>
    <x v="0"/>
  </r>
  <r>
    <n v="53"/>
    <n v="1"/>
    <n v="1"/>
    <n v="3"/>
    <n v="3"/>
    <n v="1"/>
    <n v="0"/>
    <n v="43"/>
    <n v="2"/>
    <n v="1"/>
    <n v="3"/>
    <n v="9060"/>
    <n v="0"/>
    <n v="9060"/>
    <n v="0.77500000000000002"/>
    <n v="14305"/>
    <n v="102"/>
    <n v="0.64500000000000002"/>
    <n v="0"/>
    <s v="8.453e-05"/>
    <n v="0.99992000000000003"/>
    <n v="18.0515687560824"/>
    <s v="18.108354034601305"/>
    <s v="1.7348900125902806"/>
    <s v="4.356454307404352"/>
    <n v="710775483"/>
    <x v="0"/>
    <n v="7.6947116999999995E-4"/>
    <x v="0"/>
  </r>
  <r>
    <n v="47"/>
    <n v="1"/>
    <n v="2"/>
    <n v="5"/>
    <n v="2"/>
    <n v="2"/>
    <n v="0"/>
    <n v="40"/>
    <n v="5"/>
    <n v="2"/>
    <n v="4"/>
    <n v="3569"/>
    <n v="1030"/>
    <n v="2539"/>
    <n v="1.0900000000000001"/>
    <n v="4612"/>
    <n v="75"/>
    <n v="0.92300000000000004"/>
    <n v="0.28899999999999998"/>
    <n v="3.3576999999999999E-4"/>
    <n v="0.99965999999999999"/>
    <s v="10.388311786049812"/>
    <s v="0.6929802638598883"/>
    <n v="85.531731617578799"/>
    <s v="3.6935173501555423"/>
    <n v="708944958"/>
    <x v="0"/>
    <n v="3.221314E-4"/>
    <x v="0"/>
  </r>
  <r>
    <n v="34"/>
    <n v="0"/>
    <n v="3"/>
    <n v="2"/>
    <n v="2"/>
    <n v="5"/>
    <n v="0"/>
    <n v="23"/>
    <n v="5"/>
    <n v="1"/>
    <n v="0"/>
    <n v="2591"/>
    <n v="0"/>
    <n v="2591"/>
    <n v="0.61"/>
    <n v="3876"/>
    <n v="67"/>
    <n v="0.76300000000000001"/>
    <n v="0"/>
    <s v="2.1081e-05"/>
    <n v="0.99997999999999998"/>
    <s v="29.60761187932178"/>
    <s v="2.9895459625375014"/>
    <s v="54.96622393567221"/>
    <s v="12.413391828493411"/>
    <n v="718748133"/>
    <x v="0"/>
    <n v="7.4965424999999997E-4"/>
    <x v="0"/>
  </r>
  <r>
    <n v="44"/>
    <n v="1"/>
    <n v="3"/>
    <n v="0"/>
    <n v="1"/>
    <n v="2"/>
    <n v="0"/>
    <n v="30"/>
    <n v="5"/>
    <n v="2"/>
    <n v="0"/>
    <n v="4489"/>
    <n v="0"/>
    <n v="4489"/>
    <n v="0.69299999999999995"/>
    <n v="3773"/>
    <n v="64"/>
    <n v="0.45500000000000002"/>
    <n v="0"/>
    <s v="4.2358e-05"/>
    <n v="0.99995999999999996"/>
    <s v="9.077661397387416"/>
    <s v="48.15020336692529"/>
    <s v="115.08493689618858"/>
    <s v="9.342356429883516"/>
    <n v="708720558"/>
    <x v="0"/>
    <n v="8.7630149999999997E-4"/>
    <x v="0"/>
  </r>
  <r>
    <n v="44"/>
    <n v="1"/>
    <n v="3"/>
    <n v="2"/>
    <n v="1"/>
    <n v="1"/>
    <n v="0"/>
    <n v="33"/>
    <n v="2"/>
    <n v="3"/>
    <n v="3"/>
    <n v="7266"/>
    <n v="906"/>
    <n v="6360"/>
    <n v="0.67600000000000005"/>
    <n v="1741"/>
    <n v="27"/>
    <n v="0.42099999999999999"/>
    <n v="0.125"/>
    <n v="0.99682999999999999"/>
    <n v="3.1745800000000002E-3"/>
    <s v="29.109687068369254"/>
    <s v="66.39643662209234"/>
    <s v="60.60762273374063"/>
    <s v="1.570220038235005"/>
    <n v="716244033"/>
    <x v="1"/>
    <n v="0.99670994000000002"/>
    <x v="1"/>
  </r>
  <r>
    <n v="44"/>
    <n v="1"/>
    <n v="3"/>
    <n v="2"/>
    <n v="1"/>
    <n v="3"/>
    <n v="0"/>
    <n v="36"/>
    <n v="3"/>
    <n v="3"/>
    <n v="2"/>
    <n v="25666"/>
    <n v="756"/>
    <n v="24910"/>
    <n v="0.69"/>
    <n v="4088"/>
    <n v="84"/>
    <n v="0.86699999999999999"/>
    <n v="2.9000000000000001E-2"/>
    <n v="1.8665000000000001E-4"/>
    <n v="0.99980999999999998"/>
    <s v="3.665139803213739"/>
    <s v="9.624953619748169"/>
    <s v="2.742987776491912"/>
    <s v="20.965826285435156"/>
    <n v="711648708"/>
    <x v="0"/>
    <n v="6.0646630000000005E-4"/>
    <x v="0"/>
  </r>
  <r>
    <n v="37"/>
    <n v="1"/>
    <n v="1"/>
    <n v="3"/>
    <n v="1"/>
    <n v="0"/>
    <n v="0"/>
    <n v="26"/>
    <n v="5"/>
    <n v="2"/>
    <n v="1"/>
    <n v="11726"/>
    <n v="1925"/>
    <n v="9801"/>
    <n v="0.85499999999999998"/>
    <n v="4186"/>
    <n v="63"/>
    <n v="0.70299999999999996"/>
    <n v="0.16400000000000001"/>
    <s v="6.2633e-05"/>
    <n v="0.99994000000000005"/>
    <s v="28.280889695908687"/>
    <s v="35.339589679143046"/>
    <n v="38.932503925846497"/>
    <s v="21.285329030414257"/>
    <n v="710119233"/>
    <x v="0"/>
    <n v="3.479205E-4"/>
    <x v="0"/>
  </r>
  <r>
    <n v="39"/>
    <n v="0"/>
    <n v="1"/>
    <n v="5"/>
    <n v="1"/>
    <n v="1"/>
    <n v="0"/>
    <n v="27"/>
    <n v="3"/>
    <n v="3"/>
    <n v="3"/>
    <n v="2821"/>
    <n v="725"/>
    <n v="2096"/>
    <n v="0.70399999999999996"/>
    <n v="2397"/>
    <n v="35"/>
    <n v="0.29599999999999999"/>
    <n v="0.25700000000000001"/>
    <n v="0.99658999999999998"/>
    <n v="3.4124899999999998E-3"/>
    <s v="0.3732095430866687"/>
    <s v="12.017443245192396"/>
    <s v="86.52358898107327"/>
    <s v="14.014137008736252"/>
    <n v="715950483"/>
    <x v="1"/>
    <n v="0.99762945999999997"/>
    <x v="1"/>
  </r>
  <r>
    <n v="32"/>
    <n v="1"/>
    <n v="1"/>
    <n v="6"/>
    <n v="1"/>
    <n v="1"/>
    <n v="0"/>
    <n v="36"/>
    <n v="3"/>
    <n v="2"/>
    <n v="4"/>
    <n v="8998"/>
    <n v="1471"/>
    <n v="7527"/>
    <n v="0.84399999999999997"/>
    <n v="1931"/>
    <n v="48"/>
    <n v="0.371"/>
    <n v="0.16300000000000001"/>
    <n v="3.3691999999999999E-4"/>
    <n v="0.99965999999999999"/>
    <s v="39.39002335633553"/>
    <s v="2.876651318742757"/>
    <s v="48.49904097562856"/>
    <s v="7.956820652649231"/>
    <n v="720747633"/>
    <x v="0"/>
    <n v="1.3655631E-3"/>
    <x v="0"/>
  </r>
  <r>
    <n v="48"/>
    <n v="1"/>
    <n v="4"/>
    <n v="5"/>
    <n v="0"/>
    <n v="3"/>
    <n v="1"/>
    <n v="38"/>
    <n v="4"/>
    <n v="3"/>
    <n v="1"/>
    <n v="34516"/>
    <n v="1426"/>
    <n v="33090"/>
    <n v="0.621"/>
    <n v="4814"/>
    <n v="71"/>
    <n v="0.69"/>
    <n v="4.1000000000000002E-2"/>
    <n v="1.3475999999999999E-4"/>
    <n v="0.99987000000000004"/>
    <s v="14.888846355669775"/>
    <s v="38.32921720994253"/>
    <s v="27.443717695396977"/>
    <n v="10.801855741083299"/>
    <n v="714075708"/>
    <x v="0"/>
    <n v="3.5729867999999997E-4"/>
    <x v="0"/>
  </r>
  <r>
    <n v="44"/>
    <n v="1"/>
    <n v="1"/>
    <n v="6"/>
    <n v="3"/>
    <n v="0"/>
    <n v="0"/>
    <n v="36"/>
    <n v="6"/>
    <n v="2"/>
    <n v="2"/>
    <n v="34516"/>
    <n v="1533"/>
    <n v="32983"/>
    <n v="0.92400000000000004"/>
    <n v="1603"/>
    <n v="29"/>
    <n v="0.52600000000000002"/>
    <n v="4.3999999999999997E-2"/>
    <n v="1.1743000000000001E-4"/>
    <n v="0.99987999999999999"/>
    <s v="51.589299292855294"/>
    <s v="52.597601703837775"/>
    <s v="23.11654438923589"/>
    <s v="26.451596881053725"/>
    <n v="715156383"/>
    <x v="0"/>
    <n v="1.2847681E-3"/>
    <x v="0"/>
  </r>
  <r>
    <n v="27"/>
    <n v="1"/>
    <n v="0"/>
    <n v="0"/>
    <n v="3"/>
    <n v="3"/>
    <n v="3"/>
    <n v="19"/>
    <n v="1"/>
    <n v="1"/>
    <n v="3"/>
    <n v="34516"/>
    <n v="1131"/>
    <n v="33385"/>
    <n v="0.71499999999999997"/>
    <n v="14716"/>
    <n v="112"/>
    <n v="0.75"/>
    <n v="3.3000000000000002E-2"/>
    <s v="6.9833e-05"/>
    <n v="0.99992999999999999"/>
    <s v="84.91846334582762"/>
    <s v="24.85799978985747"/>
    <s v="81.91679282954787"/>
    <s v="4.888909245348863"/>
    <n v="719324658"/>
    <x v="0"/>
    <n v="3.8573547000000003E-4"/>
    <x v="0"/>
  </r>
  <r>
    <n v="49"/>
    <n v="0"/>
    <n v="4"/>
    <n v="2"/>
    <n v="1"/>
    <n v="4"/>
    <n v="0"/>
    <n v="43"/>
    <n v="2"/>
    <n v="2"/>
    <n v="2"/>
    <n v="3002"/>
    <n v="1446"/>
    <n v="1556"/>
    <n v="0.81499999999999995"/>
    <n v="4851"/>
    <n v="74"/>
    <n v="0.94699999999999995"/>
    <n v="0.48199999999999998"/>
    <n v="1.1937E-4"/>
    <n v="0.99987999999999999"/>
    <s v="10.988344717039732"/>
    <s v="24.225904460243857"/>
    <s v="9.769680272406069"/>
    <s v="1.967006212583969"/>
    <n v="717231558"/>
    <x v="0"/>
    <n v="3.2101269999999999E-4"/>
    <x v="0"/>
  </r>
  <r>
    <n v="50"/>
    <n v="1"/>
    <n v="1"/>
    <n v="6"/>
    <n v="1"/>
    <n v="0"/>
    <n v="0"/>
    <n v="36"/>
    <n v="6"/>
    <n v="3"/>
    <n v="2"/>
    <n v="20968"/>
    <n v="0"/>
    <n v="20968"/>
    <n v="0.64"/>
    <n v="2823"/>
    <n v="61"/>
    <n v="0.79400000000000004"/>
    <n v="0"/>
    <n v="1.8558E-4"/>
    <n v="0.99980999999999998"/>
    <s v="13.621257955654508"/>
    <s v="1.7654532082927064"/>
    <s v="164.9065292337905"/>
    <s v="3.4945199589701903"/>
    <n v="781117533"/>
    <x v="0"/>
    <n v="9.8558470000000009E-4"/>
    <x v="0"/>
  </r>
  <r>
    <n v="55"/>
    <n v="1"/>
    <n v="2"/>
    <n v="2"/>
    <n v="2"/>
    <n v="3"/>
    <n v="0"/>
    <n v="46"/>
    <n v="3"/>
    <n v="1"/>
    <n v="4"/>
    <n v="34516"/>
    <n v="1718"/>
    <n v="32798"/>
    <n v="0.51"/>
    <n v="5220"/>
    <n v="74"/>
    <n v="0.42299999999999999"/>
    <n v="0.05"/>
    <n v="1.5804E-4"/>
    <n v="0.99983999999999995"/>
    <s v="16.63016616394269"/>
    <s v="13.424201389145017"/>
    <s v="62.869713422482825"/>
    <s v="2.8577611402955965"/>
    <n v="789948408"/>
    <x v="0"/>
    <n v="3.9788143000000001E-4"/>
    <x v="0"/>
  </r>
  <r>
    <n v="44"/>
    <n v="1"/>
    <n v="1"/>
    <n v="0"/>
    <n v="0"/>
    <n v="3"/>
    <n v="3"/>
    <n v="39"/>
    <n v="2"/>
    <n v="3"/>
    <n v="2"/>
    <n v="34516"/>
    <n v="2361"/>
    <n v="32155"/>
    <n v="0.52900000000000003"/>
    <n v="1853"/>
    <n v="36"/>
    <n v="0.38500000000000001"/>
    <n v="6.8000000000000005E-2"/>
    <n v="0.99329999999999996"/>
    <n v="6.7000000000000002E-3"/>
    <s v="8.733758090694717"/>
    <s v="30.547913411505625"/>
    <s v="76.58122734989261"/>
    <s v="11.930960749004358"/>
    <n v="815353083"/>
    <x v="1"/>
    <n v="0.99620900000000001"/>
    <x v="1"/>
  </r>
  <r>
    <n v="60"/>
    <n v="0"/>
    <n v="2"/>
    <n v="3"/>
    <n v="1"/>
    <n v="4"/>
    <n v="0"/>
    <n v="42"/>
    <n v="3"/>
    <n v="3"/>
    <n v="2"/>
    <n v="1438.3"/>
    <n v="0"/>
    <n v="1438.3"/>
    <n v="6.0999999999999999E-2"/>
    <n v="1628"/>
    <n v="42"/>
    <n v="7.6999999999999999E-2"/>
    <n v="0"/>
    <n v="0.99431000000000003"/>
    <n v="5.6899999999999997E-3"/>
    <s v="23.189691553472517"/>
    <s v="36.58060560841941"/>
    <s v="53.76533218484137"/>
    <s v="0.8840687541355935"/>
    <n v="779279883"/>
    <x v="1"/>
    <n v="0.99860470000000001"/>
    <x v="1"/>
  </r>
  <r>
    <n v="56"/>
    <n v="0"/>
    <n v="2"/>
    <n v="5"/>
    <n v="2"/>
    <n v="1"/>
    <n v="0"/>
    <n v="48"/>
    <n v="6"/>
    <n v="2"/>
    <n v="2"/>
    <n v="2941"/>
    <n v="1619"/>
    <n v="1322"/>
    <n v="0.9"/>
    <n v="5000"/>
    <n v="87"/>
    <n v="0.67300000000000004"/>
    <n v="0.55000000000000004"/>
    <n v="1.1703E-4"/>
    <n v="0.99987999999999999"/>
    <s v="33.17561091489744"/>
    <n v="9.8627011630364194"/>
    <s v="19.89279126918822"/>
    <s v="1.905063651008148"/>
    <n v="709436883"/>
    <x v="0"/>
    <n v="3.221314E-4"/>
    <x v="0"/>
  </r>
  <r>
    <n v="50"/>
    <n v="0"/>
    <n v="0"/>
    <n v="3"/>
    <n v="1"/>
    <n v="4"/>
    <n v="0"/>
    <n v="36"/>
    <n v="4"/>
    <n v="3"/>
    <n v="2"/>
    <n v="1513"/>
    <n v="0"/>
    <n v="1513"/>
    <n v="0.85399999999999998"/>
    <n v="4759"/>
    <n v="98"/>
    <n v="0.71899999999999997"/>
    <n v="0"/>
    <n v="1.5004999999999999E-4"/>
    <n v="0.99985000000000002"/>
    <s v="15.216843762095309"/>
    <s v="51.67317381727883"/>
    <s v="197.5056680990742"/>
    <s v="12.648329553833088"/>
    <n v="708992733"/>
    <x v="0"/>
    <n v="7.1049936000000004E-4"/>
    <x v="0"/>
  </r>
  <r>
    <n v="58"/>
    <n v="0"/>
    <n v="0"/>
    <n v="6"/>
    <n v="1"/>
    <n v="5"/>
    <n v="0"/>
    <n v="36"/>
    <n v="6"/>
    <n v="3"/>
    <n v="1"/>
    <n v="4377"/>
    <n v="1500"/>
    <n v="2877"/>
    <n v="0.78900000000000003"/>
    <n v="3900"/>
    <n v="62"/>
    <n v="0.93799999999999994"/>
    <n v="0.34300000000000003"/>
    <n v="1.0232E-4"/>
    <n v="0.99990000000000001"/>
    <s v="5.022676139731305"/>
    <s v="24.679844048921883"/>
    <s v="40.171748783142064"/>
    <s v="7.786287055013518"/>
    <n v="718846008"/>
    <x v="0"/>
    <n v="3.479205E-4"/>
    <x v="0"/>
  </r>
  <r>
    <n v="40"/>
    <n v="0"/>
    <n v="3"/>
    <n v="2"/>
    <n v="2"/>
    <n v="4"/>
    <n v="0"/>
    <n v="34"/>
    <n v="4"/>
    <n v="1"/>
    <n v="4"/>
    <n v="6728"/>
    <n v="1192"/>
    <n v="5536"/>
    <n v="0.68700000000000006"/>
    <n v="5244"/>
    <n v="75"/>
    <n v="0.47099999999999997"/>
    <n v="0.17699999999999999"/>
    <n v="1.6399000000000001E-4"/>
    <n v="0.99983999999999995"/>
    <s v="26.90896383678989"/>
    <s v="42.838733057007694"/>
    <s v="93.05102871213438"/>
    <s v="12.744935828830002"/>
    <n v="769962933"/>
    <x v="0"/>
    <n v="3.5747702000000001E-4"/>
    <x v="0"/>
  </r>
  <r>
    <n v="47"/>
    <n v="0"/>
    <n v="4"/>
    <n v="3"/>
    <n v="2"/>
    <n v="4"/>
    <n v="0"/>
    <n v="38"/>
    <n v="4"/>
    <n v="1"/>
    <n v="4"/>
    <n v="7469"/>
    <n v="1899"/>
    <n v="5570"/>
    <n v="0.999"/>
    <n v="3150"/>
    <n v="70"/>
    <n v="0.48899999999999999"/>
    <n v="0.254"/>
    <n v="1.6112E-4"/>
    <n v="0.99983999999999995"/>
    <s v="47.913805086237794"/>
    <s v="7.431231512457487"/>
    <s v="64.56622917068462"/>
    <s v="4.601727684273617"/>
    <n v="712513458"/>
    <x v="0"/>
    <n v="3.7584610000000003E-4"/>
    <x v="0"/>
  </r>
  <r>
    <n v="43"/>
    <n v="0"/>
    <n v="2"/>
    <n v="6"/>
    <n v="2"/>
    <n v="4"/>
    <n v="3"/>
    <n v="24"/>
    <n v="1"/>
    <n v="1"/>
    <n v="3"/>
    <n v="10272"/>
    <n v="1523"/>
    <n v="8749"/>
    <n v="0.86899999999999999"/>
    <n v="14321"/>
    <n v="113"/>
    <n v="0.79400000000000004"/>
    <n v="0.14799999999999999"/>
    <s v="9.2006e-05"/>
    <n v="0.99990999999999997"/>
    <s v="11.854944804869382"/>
    <s v="23.457741028416272"/>
    <s v="90.84046132513272"/>
    <s v="13.530876704440375"/>
    <n v="778825908"/>
    <x v="0"/>
    <n v="3.4656386999999997E-4"/>
    <x v="0"/>
  </r>
  <r>
    <n v="34"/>
    <n v="1"/>
    <n v="0"/>
    <n v="2"/>
    <n v="1"/>
    <n v="1"/>
    <n v="0"/>
    <n v="17"/>
    <n v="4"/>
    <n v="1"/>
    <n v="4"/>
    <n v="2638"/>
    <n v="2092"/>
    <n v="546"/>
    <n v="0.59099999999999997"/>
    <n v="1868"/>
    <n v="43"/>
    <n v="0.34399999999999997"/>
    <n v="0.79300000000000004"/>
    <n v="1.3562000000000001E-4"/>
    <n v="0.99985999999999997"/>
    <s v="46.42656073613269"/>
    <s v="25.45589096366421"/>
    <n v="71.994624013488107"/>
    <s v="15.191887026986572"/>
    <n v="713237958"/>
    <x v="0"/>
    <n v="1.1982243E-3"/>
    <x v="0"/>
  </r>
  <r>
    <n v="42"/>
    <n v="0"/>
    <n v="3"/>
    <n v="3"/>
    <n v="1"/>
    <n v="4"/>
    <n v="0"/>
    <n v="33"/>
    <n v="6"/>
    <n v="3"/>
    <n v="2"/>
    <n v="3815"/>
    <n v="1190"/>
    <n v="2625"/>
    <n v="0.85199999999999998"/>
    <n v="4430"/>
    <n v="94"/>
    <n v="0.74099999999999999"/>
    <n v="0.312"/>
    <n v="1.8144999999999999E-4"/>
    <n v="0.99982000000000004"/>
    <s v="8.820039710290736"/>
    <s v="8.317710393238784"/>
    <s v="16.481214968634422"/>
    <s v="3.3355229080688518"/>
    <n v="719265108"/>
    <x v="0"/>
    <n v="3.2101269999999999E-4"/>
    <x v="0"/>
  </r>
  <r>
    <n v="49"/>
    <n v="1"/>
    <n v="1"/>
    <n v="3"/>
    <n v="1"/>
    <n v="2"/>
    <n v="0"/>
    <n v="36"/>
    <n v="2"/>
    <n v="3"/>
    <n v="2"/>
    <n v="2465"/>
    <n v="1334"/>
    <n v="1131"/>
    <n v="0.95"/>
    <n v="4806"/>
    <n v="83"/>
    <n v="0.76600000000000001"/>
    <n v="0.54100000000000004"/>
    <n v="1.6412999999999999E-4"/>
    <n v="0.99983999999999995"/>
    <s v="26.522146673528702"/>
    <s v="28.067245235765945"/>
    <s v="30.912150957181883"/>
    <s v="1.5657924672774632"/>
    <n v="711560058"/>
    <x v="0"/>
    <n v="3.221314E-4"/>
    <x v="0"/>
  </r>
  <r>
    <n v="36"/>
    <n v="0"/>
    <n v="1"/>
    <n v="5"/>
    <n v="3"/>
    <n v="4"/>
    <n v="0"/>
    <n v="36"/>
    <n v="2"/>
    <n v="3"/>
    <n v="2"/>
    <n v="1470"/>
    <n v="458"/>
    <n v="1012"/>
    <n v="0.54300000000000004"/>
    <n v="2383"/>
    <n v="39"/>
    <n v="0.44400000000000001"/>
    <n v="0.312"/>
    <n v="0.99426999999999999"/>
    <n v="5.7299999999999999E-3"/>
    <s v="34.306376464408025"/>
    <s v="4.780805139905488"/>
    <s v="138.87512715992457"/>
    <s v="14.06883678654601"/>
    <n v="714630858"/>
    <x v="1"/>
    <n v="0.99855499999999997"/>
    <x v="1"/>
  </r>
  <r>
    <n v="29"/>
    <n v="1"/>
    <n v="1"/>
    <n v="3"/>
    <n v="1"/>
    <n v="1"/>
    <n v="0"/>
    <n v="36"/>
    <n v="3"/>
    <n v="1"/>
    <n v="3"/>
    <n v="1438.3"/>
    <n v="0"/>
    <n v="1438.3"/>
    <n v="0.74199999999999999"/>
    <n v="2144"/>
    <n v="41"/>
    <n v="0.57699999999999996"/>
    <n v="0"/>
    <s v="8.453e-05"/>
    <n v="0.99992000000000003"/>
    <n v="9.6274342075075605"/>
    <s v="30.959139490906416"/>
    <s v="125.91877954434486"/>
    <s v="14.958323748933122"/>
    <n v="709986633"/>
    <x v="0"/>
    <n v="5.192126E-3"/>
    <x v="0"/>
  </r>
  <r>
    <n v="56"/>
    <n v="0"/>
    <n v="1"/>
    <n v="2"/>
    <n v="1"/>
    <n v="4"/>
    <n v="0"/>
    <n v="50"/>
    <n v="4"/>
    <n v="3"/>
    <n v="2"/>
    <n v="1584"/>
    <n v="1311"/>
    <n v="273"/>
    <n v="0.86699999999999999"/>
    <n v="4203"/>
    <n v="73"/>
    <n v="0.78"/>
    <n v="0.82799999999999996"/>
    <n v="1.6882999999999999E-4"/>
    <n v="0.99983"/>
    <s v="18.112369939524267"/>
    <s v="53.58256775235572"/>
    <s v="117.28543529165624"/>
    <s v="7.361173420157232"/>
    <n v="801497508"/>
    <x v="0"/>
    <n v="3.2101269999999999E-4"/>
    <x v="0"/>
  </r>
  <r>
    <n v="37"/>
    <n v="0"/>
    <n v="2"/>
    <n v="3"/>
    <n v="1"/>
    <n v="4"/>
    <n v="0"/>
    <n v="31"/>
    <n v="5"/>
    <n v="3"/>
    <n v="3"/>
    <n v="2352"/>
    <n v="0"/>
    <n v="2352"/>
    <n v="1.4670000000000001"/>
    <n v="2344"/>
    <n v="48"/>
    <n v="0.92"/>
    <n v="0"/>
    <n v="2.9408E-4"/>
    <n v="0.99970999999999999"/>
    <s v="26.152335818996768"/>
    <n v="44.407085493566598"/>
    <s v="108.64219113003324"/>
    <s v="1.923018151815692"/>
    <n v="785080308"/>
    <x v="0"/>
    <n v="3.3345622999999998E-3"/>
    <x v="0"/>
  </r>
  <r>
    <n v="39"/>
    <n v="0"/>
    <n v="4"/>
    <n v="3"/>
    <n v="1"/>
    <n v="4"/>
    <n v="0"/>
    <n v="36"/>
    <n v="2"/>
    <n v="2"/>
    <n v="1"/>
    <n v="3600"/>
    <n v="2072"/>
    <n v="1528"/>
    <n v="0.94"/>
    <n v="14137"/>
    <n v="116"/>
    <n v="0.96599999999999997"/>
    <n v="0.57599999999999996"/>
    <s v="6.9982e-05"/>
    <n v="0.99992999999999999"/>
    <s v="27.947516490893133"/>
    <s v="25.45181263280678"/>
    <s v="20.649709246565017"/>
    <s v="27.91332605777249"/>
    <n v="712055433"/>
    <x v="0"/>
    <n v="3.4777042999999998E-4"/>
    <x v="0"/>
  </r>
  <r>
    <n v="57"/>
    <n v="0"/>
    <n v="3"/>
    <n v="0"/>
    <n v="2"/>
    <n v="1"/>
    <n v="0"/>
    <n v="44"/>
    <n v="3"/>
    <n v="1"/>
    <n v="2"/>
    <n v="2817"/>
    <n v="1864"/>
    <n v="953"/>
    <n v="0.7"/>
    <n v="4535"/>
    <n v="82"/>
    <n v="0.745"/>
    <n v="0.66200000000000003"/>
    <s v="5.5564e-05"/>
    <n v="0.99994000000000005"/>
    <s v="7.549295002184198"/>
    <s v="15.849581051590464"/>
    <s v="55.975107694871056"/>
    <s v="6.432042247038493"/>
    <n v="788989083"/>
    <x v="0"/>
    <n v="3.2101269999999999E-4"/>
    <x v="0"/>
  </r>
  <r>
    <n v="35"/>
    <n v="1"/>
    <n v="3"/>
    <n v="4"/>
    <n v="3"/>
    <n v="3"/>
    <n v="0"/>
    <n v="29"/>
    <n v="2"/>
    <n v="1"/>
    <n v="3"/>
    <n v="17030"/>
    <n v="1911"/>
    <n v="15119"/>
    <n v="0.52800000000000002"/>
    <n v="715"/>
    <n v="25"/>
    <n v="0.56200000000000006"/>
    <n v="0.112"/>
    <n v="0.99124000000000001"/>
    <n v="8.7600000000000004E-3"/>
    <s v="82.11626836167213"/>
    <s v="10.02950027597588"/>
    <s v="34.790494269447805"/>
    <s v="6.771668846831538"/>
    <n v="781794708"/>
    <x v="1"/>
    <n v="0.99546623000000001"/>
    <x v="1"/>
  </r>
  <r>
    <n v="41"/>
    <n v="0"/>
    <n v="4"/>
    <n v="5"/>
    <n v="2"/>
    <n v="4"/>
    <n v="0"/>
    <n v="31"/>
    <n v="5"/>
    <n v="1"/>
    <n v="2"/>
    <n v="2490"/>
    <n v="627"/>
    <n v="1863"/>
    <n v="0.34499999999999997"/>
    <n v="1391"/>
    <n v="45"/>
    <n v="0.36399999999999999"/>
    <n v="0.252"/>
    <s v="5.9391e-05"/>
    <n v="0.99994000000000005"/>
    <s v="26.443124465300844"/>
    <s v="39.78014129296614"/>
    <s v="51.673942959566006"/>
    <s v="24.061675323552866"/>
    <n v="789875883"/>
    <x v="0"/>
    <n v="2.6320145E-3"/>
    <x v="0"/>
  </r>
  <r>
    <n v="47"/>
    <n v="1"/>
    <n v="4"/>
    <n v="3"/>
    <n v="1"/>
    <n v="1"/>
    <n v="0"/>
    <n v="40"/>
    <n v="4"/>
    <n v="2"/>
    <n v="3"/>
    <n v="2498"/>
    <n v="2258"/>
    <n v="240"/>
    <n v="0.99199999999999999"/>
    <n v="1839"/>
    <n v="29"/>
    <n v="0.70599999999999996"/>
    <n v="0.90400000000000003"/>
    <n v="1.9516999999999999E-4"/>
    <n v="0.99980000000000002"/>
    <s v="6.3730549274421735"/>
    <n v="46.856757210685601"/>
    <s v="7.736280270940774"/>
    <s v="18.581506996850887"/>
    <n v="773236983"/>
    <x v="0"/>
    <n v="1.0337284E-3"/>
    <x v="0"/>
  </r>
  <r>
    <n v="57"/>
    <n v="0"/>
    <n v="3"/>
    <n v="2"/>
    <n v="2"/>
    <n v="4"/>
    <n v="0"/>
    <n v="52"/>
    <n v="5"/>
    <n v="5"/>
    <n v="0"/>
    <n v="3085"/>
    <n v="0"/>
    <n v="3085"/>
    <n v="0.71899999999999997"/>
    <n v="3946"/>
    <n v="73"/>
    <n v="0.82499999999999996"/>
    <n v="0"/>
    <s v="7.6904e-05"/>
    <n v="0.99992000000000003"/>
    <s v="3.689097836832064"/>
    <s v="9.404144904037654"/>
    <s v="30.75043583937372"/>
    <n v="0.96919167908118398"/>
    <n v="803606958"/>
    <x v="0"/>
    <n v="6.9517245999999998E-4"/>
    <x v="0"/>
  </r>
  <r>
    <n v="44"/>
    <n v="1"/>
    <n v="2"/>
    <n v="3"/>
    <n v="2"/>
    <n v="3"/>
    <n v="0"/>
    <n v="36"/>
    <n v="5"/>
    <n v="3"/>
    <n v="0"/>
    <n v="22143"/>
    <n v="730"/>
    <n v="21413"/>
    <n v="0.871"/>
    <n v="4263"/>
    <n v="62"/>
    <n v="0.63200000000000001"/>
    <n v="3.3000000000000002E-2"/>
    <s v="6.4505e-05"/>
    <n v="0.99994000000000005"/>
    <s v="32.26608806388985"/>
    <s v="11.145930010541752"/>
    <s v="39.182322902566725"/>
    <s v="23.37610222082761"/>
    <n v="718540308"/>
    <x v="0"/>
    <n v="6.7391710000000004E-4"/>
    <x v="0"/>
  </r>
  <r>
    <n v="45"/>
    <n v="1"/>
    <n v="5"/>
    <n v="0"/>
    <n v="2"/>
    <n v="1"/>
    <n v="0"/>
    <n v="36"/>
    <n v="4"/>
    <n v="3"/>
    <n v="3"/>
    <n v="4982"/>
    <n v="0"/>
    <n v="4982"/>
    <n v="0.88600000000000001"/>
    <n v="8586"/>
    <n v="58"/>
    <n v="1"/>
    <n v="0"/>
    <n v="0.99672000000000005"/>
    <n v="3.2815800000000001E-3"/>
    <s v="13.58653644570737"/>
    <s v="35.58384393073017"/>
    <s v="89.10413579381157"/>
    <n v="9.5516341212842093"/>
    <n v="710527533"/>
    <x v="1"/>
    <n v="0.99542147000000003"/>
    <x v="1"/>
  </r>
  <r>
    <n v="55"/>
    <n v="0"/>
    <n v="2"/>
    <n v="5"/>
    <n v="1"/>
    <n v="1"/>
    <n v="0"/>
    <n v="48"/>
    <n v="4"/>
    <n v="1"/>
    <n v="1"/>
    <n v="3011"/>
    <n v="2138"/>
    <n v="873"/>
    <n v="0.56499999999999995"/>
    <n v="4439"/>
    <n v="75"/>
    <n v="0.875"/>
    <n v="0.71"/>
    <s v="3.415e-05"/>
    <n v="0.99997000000000003"/>
    <n v="54.883680429593099"/>
    <s v="17.224982782272562"/>
    <s v="98.44985695923916"/>
    <s v="0.8477430901440135"/>
    <n v="773108958"/>
    <x v="0"/>
    <n v="3.2101269999999999E-4"/>
    <x v="0"/>
  </r>
  <r>
    <n v="40"/>
    <n v="0"/>
    <n v="5"/>
    <n v="2"/>
    <n v="3"/>
    <n v="4"/>
    <n v="0"/>
    <n v="36"/>
    <n v="2"/>
    <n v="2"/>
    <n v="3"/>
    <n v="4512"/>
    <n v="1172"/>
    <n v="3340"/>
    <n v="0.70599999999999996"/>
    <n v="14414"/>
    <n v="98"/>
    <n v="0.81499999999999995"/>
    <n v="0.26"/>
    <n v="1.9764000000000001E-4"/>
    <n v="0.99980000000000002"/>
    <s v="5.696193576335614"/>
    <s v="31.70033419716099"/>
    <s v="23.527215934683905"/>
    <s v="18.250654084575327"/>
    <n v="715832058"/>
    <x v="0"/>
    <n v="3.4656386999999997E-4"/>
    <x v="0"/>
  </r>
  <r>
    <n v="37"/>
    <n v="0"/>
    <n v="2"/>
    <n v="5"/>
    <n v="2"/>
    <n v="4"/>
    <n v="0"/>
    <n v="26"/>
    <n v="4"/>
    <n v="2"/>
    <n v="2"/>
    <n v="2586"/>
    <n v="835"/>
    <n v="1751"/>
    <n v="0.72099999999999997"/>
    <n v="4883"/>
    <n v="73"/>
    <n v="0.82499999999999996"/>
    <n v="0.32300000000000001"/>
    <n v="1.1703E-4"/>
    <n v="0.99987999999999999"/>
    <s v="13.754491638613192"/>
    <s v="18.901285631756288"/>
    <n v="24.717397703776001"/>
    <s v="19.05469965345848"/>
    <n v="717136533"/>
    <x v="0"/>
    <n v="4.8967317000000001E-4"/>
    <x v="0"/>
  </r>
  <r>
    <n v="48"/>
    <n v="0"/>
    <n v="2"/>
    <n v="3"/>
    <n v="2"/>
    <n v="4"/>
    <n v="0"/>
    <n v="36"/>
    <n v="3"/>
    <n v="3"/>
    <n v="3"/>
    <n v="5483"/>
    <n v="535"/>
    <n v="4948"/>
    <n v="0.68100000000000005"/>
    <n v="2051"/>
    <n v="49"/>
    <n v="0.63300000000000001"/>
    <n v="9.8000000000000004E-2"/>
    <n v="2.9408E-4"/>
    <n v="0.99970999999999999"/>
    <s v="16.694201038771194"/>
    <s v="91.48875293500484"/>
    <s v="47.93491045839019"/>
    <s v="6.226549836815972"/>
    <n v="714878508"/>
    <x v="0"/>
    <n v="3.1025126000000002E-3"/>
    <x v="0"/>
  </r>
  <r>
    <n v="37"/>
    <n v="0"/>
    <n v="3"/>
    <n v="3"/>
    <n v="1"/>
    <n v="1"/>
    <n v="0"/>
    <n v="31"/>
    <n v="5"/>
    <n v="3"/>
    <n v="3"/>
    <n v="1586"/>
    <n v="1038"/>
    <n v="548"/>
    <n v="0.97299999999999998"/>
    <n v="1724"/>
    <n v="24"/>
    <n v="0.71399999999999997"/>
    <n v="0.65400000000000003"/>
    <n v="3.0516000000000001E-4"/>
    <n v="0.99968999999999997"/>
    <s v="40.121941831523294"/>
    <s v="24.89339284271169"/>
    <s v="143.9181673458918"/>
    <s v="3.9800397237469554"/>
    <n v="798796233"/>
    <x v="0"/>
    <n v="1.0337284E-3"/>
    <x v="0"/>
  </r>
  <r>
    <n v="46"/>
    <n v="0"/>
    <n v="4"/>
    <n v="5"/>
    <n v="2"/>
    <n v="5"/>
    <n v="0"/>
    <n v="33"/>
    <n v="3"/>
    <n v="3"/>
    <n v="3"/>
    <n v="24949"/>
    <n v="1749"/>
    <n v="23200"/>
    <n v="0.626"/>
    <n v="4092"/>
    <n v="77"/>
    <n v="0.54"/>
    <n v="7.0000000000000007E-2"/>
    <n v="3.2620000000000001E-4"/>
    <n v="0.99966999999999995"/>
    <s v="1.9804546742585087"/>
    <n v="10.7334562788176"/>
    <s v="59.70887677979502"/>
    <s v="5.085308788834134"/>
    <n v="719651358"/>
    <x v="0"/>
    <n v="3.6634394000000002E-4"/>
    <x v="0"/>
  </r>
  <r>
    <n v="42"/>
    <n v="0"/>
    <n v="3"/>
    <n v="3"/>
    <n v="2"/>
    <n v="4"/>
    <n v="0"/>
    <n v="35"/>
    <n v="5"/>
    <n v="2"/>
    <n v="1"/>
    <n v="2563"/>
    <n v="1579"/>
    <n v="984"/>
    <n v="0.92400000000000004"/>
    <n v="4838"/>
    <n v="70"/>
    <n v="0.70699999999999996"/>
    <n v="0.61599999999999999"/>
    <s v="6.9242e-05"/>
    <n v="0.99992999999999999"/>
    <s v="12.257801663644027"/>
    <s v="27.73543661215365"/>
    <s v="8.422222184031723"/>
    <s v="14.123111555767672"/>
    <n v="745124658"/>
    <x v="0"/>
    <n v="3.221314E-4"/>
    <x v="0"/>
  </r>
  <r>
    <n v="34"/>
    <n v="1"/>
    <n v="5"/>
    <n v="4"/>
    <n v="2"/>
    <n v="3"/>
    <n v="3"/>
    <n v="28"/>
    <n v="3"/>
    <n v="3"/>
    <n v="2"/>
    <n v="34516"/>
    <n v="1731"/>
    <n v="32785"/>
    <n v="0.60499999999999998"/>
    <n v="2421"/>
    <n v="63"/>
    <n v="0.57499999999999996"/>
    <n v="0.05"/>
    <n v="1.9743000000000001E-4"/>
    <n v="0.99980000000000002"/>
    <s v="76.87281637710136"/>
    <n v="22.264328858598201"/>
    <s v="77.41623124167256"/>
    <n v="7.7782519835236305E-2"/>
    <n v="787231233"/>
    <x v="0"/>
    <n v="4.8794434000000003E-4"/>
    <x v="0"/>
  </r>
  <r>
    <n v="35"/>
    <n v="0"/>
    <n v="2"/>
    <n v="2"/>
    <n v="1"/>
    <n v="4"/>
    <n v="0"/>
    <n v="36"/>
    <n v="5"/>
    <n v="2"/>
    <n v="4"/>
    <n v="5546"/>
    <n v="1829"/>
    <n v="3717"/>
    <n v="0.67300000000000004"/>
    <n v="1770"/>
    <n v="46"/>
    <n v="1"/>
    <n v="0.33"/>
    <n v="3.2655999999999999E-4"/>
    <n v="0.99966999999999995"/>
    <s v="16.03754516862711"/>
    <s v="3.9120932012377936"/>
    <s v="16.243233504807687"/>
    <s v="3.217970233964805"/>
    <n v="720406233"/>
    <x v="0"/>
    <n v="9.8706899999999992E-4"/>
    <x v="0"/>
  </r>
  <r>
    <n v="53"/>
    <n v="0"/>
    <n v="2"/>
    <n v="2"/>
    <n v="1"/>
    <n v="1"/>
    <n v="0"/>
    <n v="38"/>
    <n v="3"/>
    <n v="2"/>
    <n v="1"/>
    <n v="1989"/>
    <n v="1003"/>
    <n v="986"/>
    <n v="0.67700000000000005"/>
    <n v="5070"/>
    <n v="70"/>
    <n v="0.75"/>
    <n v="0.504"/>
    <s v="6.864e-05"/>
    <n v="0.99992999999999999"/>
    <s v="52.86808732683896"/>
    <s v="15.027375356688037"/>
    <s v="66.49703108915054"/>
    <s v="12.644077454794097"/>
    <n v="788132208"/>
    <x v="0"/>
    <n v="3.2101269999999999E-4"/>
    <x v="0"/>
  </r>
  <r>
    <n v="40"/>
    <n v="0"/>
    <n v="4"/>
    <n v="6"/>
    <n v="2"/>
    <n v="4"/>
    <n v="0"/>
    <n v="25"/>
    <n v="4"/>
    <n v="1"/>
    <n v="1"/>
    <n v="2129"/>
    <n v="1507"/>
    <n v="622"/>
    <n v="0.63600000000000001"/>
    <n v="3655"/>
    <n v="70"/>
    <n v="0.66700000000000004"/>
    <n v="0.70799999999999996"/>
    <s v="3.8289e-05"/>
    <n v="0.99995999999999996"/>
    <s v="13.59861856117746"/>
    <s v="20.22568513834627"/>
    <s v="20.148113595956005"/>
    <s v="12.690624980731863"/>
    <n v="713588958"/>
    <x v="0"/>
    <n v="3.2101269999999999E-4"/>
    <x v="0"/>
  </r>
  <r>
    <n v="47"/>
    <n v="0"/>
    <n v="2"/>
    <n v="6"/>
    <n v="1"/>
    <n v="4"/>
    <n v="0"/>
    <n v="35"/>
    <n v="3"/>
    <n v="3"/>
    <n v="2"/>
    <n v="2793"/>
    <n v="1517"/>
    <n v="1276"/>
    <n v="0.71199999999999997"/>
    <n v="3485"/>
    <n v="72"/>
    <n v="0.89500000000000002"/>
    <n v="0.54300000000000004"/>
    <n v="1.9771E-4"/>
    <n v="0.99980000000000002"/>
    <s v="16.163234938224882"/>
    <s v="43.03400439455056"/>
    <s v="72.47414374684344"/>
    <s v="26.26540222979073"/>
    <n v="708244458"/>
    <x v="0"/>
    <n v="3.2101269999999999E-4"/>
    <x v="0"/>
  </r>
  <r>
    <n v="45"/>
    <n v="0"/>
    <n v="4"/>
    <n v="4"/>
    <n v="2"/>
    <n v="4"/>
    <n v="0"/>
    <n v="36"/>
    <n v="1"/>
    <n v="3"/>
    <n v="3"/>
    <n v="4477"/>
    <n v="2517"/>
    <n v="1960"/>
    <n v="1.022"/>
    <n v="4996"/>
    <n v="55"/>
    <n v="0.48599999999999999"/>
    <n v="0.56200000000000006"/>
    <n v="0.99733000000000005"/>
    <n v="2.6707200000000001E-3"/>
    <s v="21.55686215075932"/>
    <s v="13.188822145408494"/>
    <s v="102.50314560517386"/>
    <s v="17.337242257151736"/>
    <n v="715327683"/>
    <x v="1"/>
    <n v="0.99050530000000003"/>
    <x v="1"/>
  </r>
  <r>
    <n v="32"/>
    <n v="1"/>
    <n v="1"/>
    <n v="6"/>
    <n v="2"/>
    <n v="0"/>
    <n v="0"/>
    <n v="18"/>
    <n v="5"/>
    <n v="3"/>
    <n v="2"/>
    <n v="6276"/>
    <n v="2289"/>
    <n v="3987"/>
    <n v="0.63700000000000001"/>
    <n v="2637"/>
    <n v="68"/>
    <n v="0.38800000000000001"/>
    <n v="0.36499999999999999"/>
    <n v="1.8558E-4"/>
    <n v="0.99980999999999998"/>
    <s v="27.23131335795604"/>
    <s v="0.3691516795820515"/>
    <n v="62.258048912000497"/>
    <s v="4.4990682522468814"/>
    <n v="720313083"/>
    <x v="0"/>
    <n v="4.3155210000000001E-4"/>
    <x v="0"/>
  </r>
  <r>
    <n v="45"/>
    <n v="0"/>
    <n v="4"/>
    <n v="5"/>
    <n v="1"/>
    <n v="4"/>
    <n v="0"/>
    <n v="38"/>
    <n v="3"/>
    <n v="4"/>
    <n v="3"/>
    <n v="4908"/>
    <n v="0"/>
    <n v="4908"/>
    <n v="0.99299999999999999"/>
    <n v="827"/>
    <n v="21"/>
    <n v="0.75"/>
    <n v="0"/>
    <n v="0.99746999999999997"/>
    <n v="2.5293300000000002E-3"/>
    <s v="19.50783475687926"/>
    <s v="62.07018481439681"/>
    <s v="80.98089126003006"/>
    <s v="4.464627651024096"/>
    <n v="713865333"/>
    <x v="1"/>
    <n v="0.99847240000000004"/>
    <x v="1"/>
  </r>
  <r>
    <n v="44"/>
    <n v="1"/>
    <n v="3"/>
    <n v="3"/>
    <n v="1"/>
    <n v="2"/>
    <n v="0"/>
    <n v="36"/>
    <n v="2"/>
    <n v="2"/>
    <n v="1"/>
    <n v="3605"/>
    <n v="0"/>
    <n v="3605"/>
    <n v="0.59399999999999997"/>
    <n v="6800"/>
    <n v="78"/>
    <n v="0.81399999999999995"/>
    <n v="0"/>
    <s v="6.9242e-05"/>
    <n v="0.99992999999999999"/>
    <s v="20.34167432006744"/>
    <s v="5.188311899222043"/>
    <s v="99.30527755040772"/>
    <s v="14.585103427611074"/>
    <n v="714304458"/>
    <x v="0"/>
    <n v="1.2090505000000001E-3"/>
    <x v="0"/>
  </r>
  <r>
    <n v="31"/>
    <n v="1"/>
    <n v="2"/>
    <n v="6"/>
    <n v="3"/>
    <n v="3"/>
    <n v="0"/>
    <n v="18"/>
    <n v="2"/>
    <n v="1"/>
    <n v="3"/>
    <n v="4246"/>
    <n v="2517"/>
    <n v="1729"/>
    <n v="0.95099999999999996"/>
    <n v="8102"/>
    <n v="66"/>
    <n v="0.88600000000000001"/>
    <n v="0.59299999999999997"/>
    <n v="0.99028000000000005"/>
    <n v="9.7199999999999995E-3"/>
    <n v="74.669028117128804"/>
    <s v="53.72161925959156"/>
    <s v="42.05132163388409"/>
    <s v="10.59804550964541"/>
    <n v="709383933"/>
    <x v="1"/>
    <n v="0.98948550000000002"/>
    <x v="1"/>
  </r>
  <r>
    <n v="39"/>
    <n v="0"/>
    <n v="1"/>
    <n v="4"/>
    <n v="2"/>
    <n v="1"/>
    <n v="3"/>
    <n v="32"/>
    <n v="5"/>
    <n v="2"/>
    <n v="3"/>
    <n v="17814"/>
    <n v="0"/>
    <n v="17814"/>
    <n v="0.82"/>
    <n v="4712"/>
    <n v="76"/>
    <n v="0.68899999999999995"/>
    <n v="0"/>
    <n v="1.9103999999999999E-4"/>
    <n v="0.99980999999999998"/>
    <s v="40.15782103255837"/>
    <s v="13.737811420376058"/>
    <s v="79.48366496206914"/>
    <s v="12.519971987046532"/>
    <n v="789597408"/>
    <x v="0"/>
    <n v="6.9517245999999998E-4"/>
    <x v="0"/>
  </r>
  <r>
    <n v="32"/>
    <n v="0"/>
    <n v="2"/>
    <n v="5"/>
    <n v="2"/>
    <n v="5"/>
    <n v="0"/>
    <n v="25"/>
    <n v="3"/>
    <n v="2"/>
    <n v="1"/>
    <n v="3193"/>
    <n v="1533"/>
    <n v="1660"/>
    <n v="0.93600000000000005"/>
    <n v="4419"/>
    <n v="75"/>
    <n v="0.78600000000000003"/>
    <n v="0.48"/>
    <s v="7.0576e-05"/>
    <n v="0.99992999999999999"/>
    <s v="44.09389366150891"/>
    <n v="66.614470542293901"/>
    <s v="2.2871476433459708"/>
    <s v="7.009627111264072"/>
    <n v="713179083"/>
    <x v="0"/>
    <n v="3.221314E-4"/>
    <x v="0"/>
  </r>
  <r>
    <n v="53"/>
    <n v="0"/>
    <n v="2"/>
    <n v="3"/>
    <n v="2"/>
    <n v="4"/>
    <n v="0"/>
    <n v="46"/>
    <n v="6"/>
    <n v="1"/>
    <n v="2"/>
    <n v="3199"/>
    <n v="0"/>
    <n v="3199"/>
    <n v="1.0469999999999999"/>
    <n v="4805"/>
    <n v="59"/>
    <n v="0.63900000000000001"/>
    <n v="0"/>
    <n v="0.98167000000000004"/>
    <n v="1.8329999999999999E-2"/>
    <s v="50.03840458397764"/>
    <s v="8.293351674044159"/>
    <s v="4.326385962992959"/>
    <s v="8.168994461369335"/>
    <n v="720891633"/>
    <x v="1"/>
    <n v="0.99375665000000002"/>
    <x v="1"/>
  </r>
  <r>
    <n v="48"/>
    <n v="0"/>
    <n v="3"/>
    <n v="0"/>
    <n v="2"/>
    <n v="4"/>
    <n v="0"/>
    <n v="38"/>
    <n v="3"/>
    <n v="3"/>
    <n v="4"/>
    <n v="7326"/>
    <n v="1710"/>
    <n v="5616"/>
    <n v="1.171"/>
    <n v="1852"/>
    <n v="62"/>
    <n v="1"/>
    <n v="0.23300000000000001"/>
    <n v="5.2057000000000004E-4"/>
    <n v="0.99948000000000004"/>
    <n v="6.2423999925329703"/>
    <s v="1.011803088090284"/>
    <s v="54.86992643986629"/>
    <s v="10.285234954304592"/>
    <n v="787547208"/>
    <x v="0"/>
    <n v="4.0466432000000002E-4"/>
    <x v="0"/>
  </r>
  <r>
    <n v="45"/>
    <n v="0"/>
    <n v="2"/>
    <n v="3"/>
    <n v="1"/>
    <n v="4"/>
    <n v="0"/>
    <n v="36"/>
    <n v="4"/>
    <n v="1"/>
    <n v="3"/>
    <n v="1640"/>
    <n v="999"/>
    <n v="641"/>
    <n v="0.81100000000000005"/>
    <n v="4597"/>
    <n v="77"/>
    <n v="0.878"/>
    <n v="0.60899999999999999"/>
    <s v="9.0056e-05"/>
    <n v="0.99990999999999997"/>
    <s v="34.34729896661321"/>
    <s v="14.394773082396307"/>
    <s v="48.25724355887827"/>
    <s v="17.467817390504592"/>
    <n v="720204558"/>
    <x v="0"/>
    <n v="3.2101269999999999E-4"/>
    <x v="0"/>
  </r>
  <r>
    <n v="35"/>
    <n v="0"/>
    <n v="3"/>
    <n v="5"/>
    <n v="2"/>
    <n v="4"/>
    <n v="0"/>
    <n v="23"/>
    <n v="3"/>
    <n v="2"/>
    <n v="2"/>
    <n v="2858"/>
    <n v="1251"/>
    <n v="1607"/>
    <n v="0.57599999999999996"/>
    <n v="2844"/>
    <n v="73"/>
    <n v="0.622"/>
    <n v="0.438"/>
    <n v="1.2144E-4"/>
    <n v="0.99987999999999999"/>
    <s v="27.002305643049013"/>
    <s v="58.691731563184575"/>
    <s v="54.03344954245272"/>
    <s v="16.516625864177065"/>
    <n v="708596283"/>
    <x v="0"/>
    <n v="3.9160124000000001E-4"/>
    <x v="0"/>
  </r>
  <r>
    <n v="47"/>
    <n v="1"/>
    <n v="2"/>
    <n v="3"/>
    <n v="1"/>
    <n v="2"/>
    <n v="0"/>
    <n v="39"/>
    <n v="1"/>
    <n v="2"/>
    <n v="2"/>
    <n v="9389"/>
    <n v="727"/>
    <n v="8662"/>
    <n v="0.53300000000000003"/>
    <n v="3415"/>
    <n v="84"/>
    <n v="0.55600000000000005"/>
    <n v="7.6999999999999999E-2"/>
    <n v="1.1065000000000001E-4"/>
    <n v="0.99988999999999995"/>
    <n v="32.817577683311399"/>
    <n v="75.568696042108499"/>
    <s v="2.165684094688527"/>
    <s v="16.687012602513818"/>
    <n v="708959583"/>
    <x v="0"/>
    <n v="5.8973559999999996E-4"/>
    <x v="0"/>
  </r>
  <r>
    <n v="47"/>
    <n v="1"/>
    <n v="3"/>
    <n v="2"/>
    <n v="1"/>
    <n v="2"/>
    <n v="0"/>
    <n v="38"/>
    <n v="4"/>
    <n v="1"/>
    <n v="2"/>
    <n v="21304"/>
    <n v="1532"/>
    <n v="19772"/>
    <n v="1.018"/>
    <n v="1770"/>
    <n v="25"/>
    <n v="0.92300000000000004"/>
    <n v="7.1999999999999995E-2"/>
    <s v="5.7151e-05"/>
    <n v="0.99994000000000005"/>
    <s v="22.142776947528933"/>
    <s v="1.6739845679043202"/>
    <s v="30.799455908850916"/>
    <s v="17.450152108932997"/>
    <n v="709703433"/>
    <x v="0"/>
    <n v="1.0985557E-3"/>
    <x v="0"/>
  </r>
  <r>
    <n v="58"/>
    <n v="0"/>
    <n v="2"/>
    <n v="3"/>
    <n v="1"/>
    <n v="5"/>
    <n v="0"/>
    <n v="50"/>
    <n v="3"/>
    <n v="2"/>
    <n v="3"/>
    <n v="12362"/>
    <n v="0"/>
    <n v="12362"/>
    <n v="0.63500000000000001"/>
    <n v="4537"/>
    <n v="72"/>
    <n v="0.63600000000000001"/>
    <n v="0"/>
    <n v="1.861E-4"/>
    <n v="0.99980999999999998"/>
    <s v="3.7029961370797815"/>
    <s v="21.58353381533841"/>
    <s v="57.53270651381124"/>
    <s v="10.986774976388244"/>
    <n v="713419908"/>
    <x v="0"/>
    <n v="7.1276520000000004E-4"/>
    <x v="0"/>
  </r>
  <r>
    <n v="65"/>
    <n v="0"/>
    <n v="0"/>
    <n v="2"/>
    <n v="2"/>
    <n v="4"/>
    <n v="0"/>
    <n v="56"/>
    <n v="6"/>
    <n v="3"/>
    <n v="2"/>
    <n v="7478"/>
    <n v="0"/>
    <n v="7478"/>
    <n v="0.84699999999999998"/>
    <n v="2213"/>
    <n v="62"/>
    <n v="0.77100000000000002"/>
    <n v="0"/>
    <n v="1.5435000000000001E-4"/>
    <n v="0.99985000000000002"/>
    <s v="7.393877197412105"/>
    <s v="57.20102523041665"/>
    <s v="43.31406878140303"/>
    <s v="5.931077934126178"/>
    <n v="771234558"/>
    <x v="0"/>
    <n v="1.0404593E-3"/>
    <x v="0"/>
  </r>
  <r>
    <n v="45"/>
    <n v="0"/>
    <n v="4"/>
    <n v="5"/>
    <n v="0"/>
    <n v="5"/>
    <n v="0"/>
    <n v="36"/>
    <n v="4"/>
    <n v="3"/>
    <n v="3"/>
    <n v="15875"/>
    <n v="1719"/>
    <n v="14156"/>
    <n v="0.86"/>
    <n v="1592"/>
    <n v="37"/>
    <n v="1.4670000000000001"/>
    <n v="0.108"/>
    <n v="3.2620000000000001E-4"/>
    <n v="0.99966999999999995"/>
    <s v="3.288129576808924"/>
    <s v="34.08456964164364"/>
    <s v="9.157627453997096"/>
    <s v="14.10805427308753"/>
    <n v="716493408"/>
    <x v="0"/>
    <n v="9.8706899999999992E-4"/>
    <x v="0"/>
  </r>
  <r>
    <n v="42"/>
    <n v="0"/>
    <n v="4"/>
    <n v="2"/>
    <n v="2"/>
    <n v="1"/>
    <n v="0"/>
    <n v="30"/>
    <n v="6"/>
    <n v="3"/>
    <n v="3"/>
    <n v="13753"/>
    <n v="2517"/>
    <n v="11236"/>
    <n v="0.65200000000000002"/>
    <n v="7464"/>
    <n v="66"/>
    <n v="0.69199999999999995"/>
    <n v="0.183"/>
    <n v="0.99685999999999997"/>
    <n v="3.1411199999999998E-3"/>
    <s v="54.80210362893399"/>
    <s v="10.716852506589502"/>
    <s v="4.643495486033304"/>
    <s v="10.60290526061502"/>
    <n v="771561183"/>
    <x v="1"/>
    <n v="0.98944926"/>
    <x v="1"/>
  </r>
  <r>
    <n v="27"/>
    <n v="0"/>
    <n v="0"/>
    <n v="2"/>
    <n v="1"/>
    <n v="4"/>
    <n v="0"/>
    <n v="17"/>
    <n v="4"/>
    <n v="2"/>
    <n v="2"/>
    <n v="2042"/>
    <n v="1567"/>
    <n v="475"/>
    <n v="0.74399999999999999"/>
    <n v="5146"/>
    <n v="78"/>
    <n v="0.73299999999999998"/>
    <n v="0.76700000000000002"/>
    <s v="9.7673e-05"/>
    <n v="0.99990000000000001"/>
    <s v="12.006059076164409"/>
    <s v="3.4070189085210565"/>
    <n v="160.26689630153999"/>
    <s v="16.26283874449469"/>
    <n v="718545033"/>
    <x v="0"/>
    <n v="3.2101269999999999E-4"/>
    <x v="0"/>
  </r>
  <r>
    <n v="51"/>
    <n v="1"/>
    <n v="1"/>
    <n v="4"/>
    <n v="1"/>
    <n v="0"/>
    <n v="3"/>
    <n v="31"/>
    <n v="2"/>
    <n v="5"/>
    <n v="2"/>
    <n v="34516"/>
    <n v="1991"/>
    <n v="32525"/>
    <n v="0.71799999999999997"/>
    <n v="7520"/>
    <n v="79"/>
    <n v="0.68100000000000005"/>
    <n v="5.8000000000000003E-2"/>
    <n v="2.0049E-4"/>
    <n v="0.99980000000000002"/>
    <s v="40.870237828025296"/>
    <s v="13.249909452887712"/>
    <s v="71.07321067646255"/>
    <s v="0.5036664438663941"/>
    <n v="721227258"/>
    <x v="0"/>
    <n v="5.6200559999999996E-4"/>
    <x v="0"/>
  </r>
  <r>
    <n v="35"/>
    <n v="0"/>
    <n v="0"/>
    <n v="3"/>
    <n v="2"/>
    <n v="4"/>
    <n v="0"/>
    <n v="36"/>
    <n v="4"/>
    <n v="3"/>
    <n v="4"/>
    <n v="5931"/>
    <n v="0"/>
    <n v="5931"/>
    <n v="0.66800000000000004"/>
    <n v="2730"/>
    <n v="71"/>
    <n v="0.61399999999999999"/>
    <n v="0"/>
    <n v="4.3049000000000001E-4"/>
    <n v="0.99956999999999996"/>
    <s v="15.279338828857965"/>
    <s v="48.85873575990889"/>
    <s v="33.19731230451545"/>
    <s v="14.246197194348658"/>
    <n v="709710783"/>
    <x v="0"/>
    <n v="9.3241874000000004E-4"/>
    <x v="0"/>
  </r>
  <r>
    <n v="44"/>
    <n v="0"/>
    <n v="3"/>
    <n v="3"/>
    <n v="1"/>
    <n v="5"/>
    <n v="0"/>
    <n v="38"/>
    <n v="4"/>
    <n v="6"/>
    <n v="4"/>
    <n v="26516"/>
    <n v="1434"/>
    <n v="25082"/>
    <n v="0.47199999999999998"/>
    <n v="3609"/>
    <n v="76"/>
    <n v="0.55100000000000005"/>
    <n v="5.3999999999999999E-2"/>
    <n v="4.1093E-4"/>
    <n v="0.99958999999999998"/>
    <s v="4.108965759248308"/>
    <s v="63.26852986882847"/>
    <n v="8.9369295173285597"/>
    <s v="20.647895694085346"/>
    <n v="811554708"/>
    <x v="0"/>
    <n v="3.6634394000000002E-4"/>
    <x v="0"/>
  </r>
  <r>
    <n v="50"/>
    <n v="1"/>
    <n v="1"/>
    <n v="2"/>
    <n v="0"/>
    <n v="0"/>
    <n v="0"/>
    <n v="42"/>
    <n v="1"/>
    <n v="3"/>
    <n v="2"/>
    <n v="1656"/>
    <n v="0"/>
    <n v="1656"/>
    <n v="0.626"/>
    <n v="2073"/>
    <n v="44"/>
    <n v="0.83299999999999996"/>
    <n v="0"/>
    <n v="0.99411000000000005"/>
    <n v="5.8900000000000003E-3"/>
    <s v="35.99277364051327"/>
    <s v="20.76700426442366"/>
    <s v="81.81594216055001"/>
    <s v="2.5949737202394787"/>
    <n v="708949908"/>
    <x v="1"/>
    <n v="0.99845386000000003"/>
    <x v="1"/>
  </r>
  <r>
    <n v="62"/>
    <n v="1"/>
    <n v="0"/>
    <n v="3"/>
    <n v="2"/>
    <n v="5"/>
    <n v="0"/>
    <n v="36"/>
    <n v="3"/>
    <n v="3"/>
    <n v="3"/>
    <n v="21329"/>
    <n v="2119"/>
    <n v="19210"/>
    <n v="0.64400000000000002"/>
    <n v="4206"/>
    <n v="75"/>
    <n v="1.0269999999999999"/>
    <n v="9.9000000000000005E-2"/>
    <n v="2.5237000000000002E-4"/>
    <n v="0.99975000000000003"/>
    <s v="24.93798744632323"/>
    <s v="12.651662781849506"/>
    <s v="55.887269926479696"/>
    <s v="12.437816003764157"/>
    <n v="709739283"/>
    <x v="0"/>
    <n v="3.2101269999999999E-4"/>
    <x v="0"/>
  </r>
  <r>
    <n v="51"/>
    <n v="0"/>
    <n v="3"/>
    <n v="4"/>
    <n v="0"/>
    <n v="5"/>
    <n v="2"/>
    <n v="34"/>
    <n v="3"/>
    <n v="1"/>
    <n v="2"/>
    <n v="34516"/>
    <n v="1578"/>
    <n v="32938"/>
    <n v="0.72499999999999998"/>
    <n v="1929"/>
    <n v="40"/>
    <n v="0.48099999999999998"/>
    <n v="4.5999999999999999E-2"/>
    <n v="1.1683E-4"/>
    <n v="0.99987999999999999"/>
    <s v="37.22073503510727"/>
    <s v="9.096507663494814"/>
    <n v="23.422456390556"/>
    <s v="3.2929980401001107"/>
    <n v="779519058"/>
    <x v="0"/>
    <n v="1.5197349000000001E-3"/>
    <x v="0"/>
  </r>
  <r>
    <n v="45"/>
    <n v="1"/>
    <n v="5"/>
    <n v="2"/>
    <n v="1"/>
    <n v="1"/>
    <n v="3"/>
    <n v="39"/>
    <n v="3"/>
    <n v="1"/>
    <n v="5"/>
    <n v="15198"/>
    <n v="2098"/>
    <n v="13100"/>
    <n v="0.8"/>
    <n v="3183"/>
    <n v="64"/>
    <n v="0.73"/>
    <n v="0.13800000000000001"/>
    <n v="2.5509000000000003E-4"/>
    <n v="0.99973999999999996"/>
    <s v="15.846913668665165"/>
    <n v="29.443818156716802"/>
    <s v="168.08876279695227"/>
    <s v="32.42532066082347"/>
    <n v="792912708"/>
    <x v="0"/>
    <n v="3.3750320000000002E-4"/>
    <x v="0"/>
  </r>
  <r>
    <n v="42"/>
    <n v="0"/>
    <n v="5"/>
    <n v="2"/>
    <n v="1"/>
    <n v="1"/>
    <n v="0"/>
    <n v="36"/>
    <n v="2"/>
    <n v="1"/>
    <n v="1"/>
    <n v="7434"/>
    <n v="0"/>
    <n v="7434"/>
    <n v="0.63"/>
    <n v="4182"/>
    <n v="76"/>
    <n v="1.171"/>
    <n v="0"/>
    <s v="3.429e-05"/>
    <n v="0.99997000000000003"/>
    <s v="26.920684736164123"/>
    <s v="15.164012434737694"/>
    <s v="14.674648370273854"/>
    <s v="18.67280321235053"/>
    <n v="798045708"/>
    <x v="0"/>
    <n v="6.9517245999999998E-4"/>
    <x v="0"/>
  </r>
  <r>
    <n v="47"/>
    <n v="0"/>
    <n v="3"/>
    <n v="5"/>
    <n v="2"/>
    <n v="4"/>
    <n v="0"/>
    <n v="38"/>
    <n v="5"/>
    <n v="3"/>
    <n v="4"/>
    <n v="2808"/>
    <n v="2264"/>
    <n v="544"/>
    <n v="0.54400000000000004"/>
    <n v="3562"/>
    <n v="74"/>
    <n v="0.68200000000000005"/>
    <n v="0.80600000000000005"/>
    <n v="5.5051999999999998E-4"/>
    <n v="0.99944999999999995"/>
    <n v="23.213892199651401"/>
    <s v="7.324151474919942"/>
    <s v="25.31043022332875"/>
    <s v="16.704465080245825"/>
    <n v="712115958"/>
    <x v="0"/>
    <n v="3.2101269999999999E-4"/>
    <x v="0"/>
  </r>
  <r>
    <n v="35"/>
    <n v="1"/>
    <n v="3"/>
    <n v="3"/>
    <n v="2"/>
    <n v="3"/>
    <n v="0"/>
    <n v="28"/>
    <n v="4"/>
    <n v="2"/>
    <n v="2"/>
    <n v="11521"/>
    <n v="1147"/>
    <n v="10374"/>
    <n v="1.0229999999999999"/>
    <n v="2260"/>
    <n v="68"/>
    <n v="1.125"/>
    <n v="0.1"/>
    <n v="1.1482E-4"/>
    <n v="0.99988999999999995"/>
    <s v="17.90810229298635"/>
    <s v="111.0395679448354"/>
    <s v="49.603532117584734"/>
    <n v="6.5356694953257799E-2"/>
    <n v="720836808"/>
    <x v="0"/>
    <n v="3.8950975E-4"/>
    <x v="0"/>
  </r>
  <r>
    <n v="54"/>
    <n v="1"/>
    <n v="1"/>
    <n v="0"/>
    <n v="1"/>
    <n v="3"/>
    <n v="0"/>
    <n v="48"/>
    <n v="6"/>
    <n v="1"/>
    <n v="5"/>
    <n v="12169"/>
    <n v="1935"/>
    <n v="10234"/>
    <n v="0.435"/>
    <n v="1599"/>
    <n v="38"/>
    <n v="0.65200000000000002"/>
    <n v="0.159"/>
    <n v="2.4955000000000002E-4"/>
    <n v="0.99975000000000003"/>
    <s v="11.513140671928747"/>
    <s v="58.17056578841931"/>
    <s v="8.334590690902079"/>
    <s v="13.623573261105143"/>
    <n v="803148033"/>
    <x v="0"/>
    <n v="1.0337284E-3"/>
    <x v="0"/>
  </r>
  <r>
    <n v="45"/>
    <n v="1"/>
    <n v="3"/>
    <n v="3"/>
    <n v="1"/>
    <n v="1"/>
    <n v="3"/>
    <n v="33"/>
    <n v="3"/>
    <n v="2"/>
    <n v="1"/>
    <n v="16928"/>
    <n v="1519"/>
    <n v="15409"/>
    <n v="0.89400000000000002"/>
    <n v="3355"/>
    <n v="66"/>
    <n v="0.88600000000000001"/>
    <n v="0.09"/>
    <s v="6.2564e-05"/>
    <n v="0.99994000000000005"/>
    <s v="15.469237119404768"/>
    <s v="79.09570129210165"/>
    <s v="41.69956716724264"/>
    <s v="12.574791335996002"/>
    <n v="711110733"/>
    <x v="0"/>
    <n v="3.4719318999999998E-4"/>
    <x v="0"/>
  </r>
  <r>
    <n v="43"/>
    <n v="1"/>
    <n v="3"/>
    <n v="6"/>
    <n v="3"/>
    <n v="2"/>
    <n v="0"/>
    <n v="32"/>
    <n v="4"/>
    <n v="1"/>
    <n v="3"/>
    <n v="2476"/>
    <n v="1944"/>
    <n v="532"/>
    <n v="0.88100000000000001"/>
    <n v="4025"/>
    <n v="65"/>
    <n v="0.58499999999999996"/>
    <n v="0.78500000000000003"/>
    <n v="1.0566E-4"/>
    <n v="0.99988999999999995"/>
    <s v="17.590881207356777"/>
    <s v="53.93787221382891"/>
    <s v="137.2940396593573"/>
    <s v="12.91149149762915"/>
    <n v="772054458"/>
    <x v="0"/>
    <n v="3.3723077000000001E-4"/>
    <x v="0"/>
  </r>
  <r>
    <n v="47"/>
    <n v="1"/>
    <n v="4"/>
    <n v="6"/>
    <n v="2"/>
    <n v="3"/>
    <n v="3"/>
    <n v="37"/>
    <n v="5"/>
    <n v="2"/>
    <n v="4"/>
    <n v="34516"/>
    <n v="0"/>
    <n v="34516"/>
    <n v="1.06"/>
    <n v="2851"/>
    <n v="80"/>
    <n v="0.73899999999999999"/>
    <n v="0"/>
    <n v="3.4015E-4"/>
    <n v="0.99965999999999999"/>
    <s v="23.826712129004573"/>
    <s v="37.37816374255669"/>
    <s v="1.778886202731775"/>
    <s v="3.120042933010646"/>
    <n v="717332733"/>
    <x v="0"/>
    <n v="8.5099700000000004E-4"/>
    <x v="0"/>
  </r>
  <r>
    <n v="56"/>
    <n v="1"/>
    <n v="2"/>
    <n v="0"/>
    <n v="2"/>
    <n v="2"/>
    <n v="1"/>
    <n v="43"/>
    <n v="2"/>
    <n v="1"/>
    <n v="2"/>
    <n v="34516"/>
    <n v="2022"/>
    <n v="32494"/>
    <n v="0.76100000000000001"/>
    <n v="13633"/>
    <n v="116"/>
    <n v="0.78500000000000003"/>
    <n v="5.8999999999999997E-2"/>
    <s v="6.1692e-05"/>
    <n v="0.99994000000000005"/>
    <s v="12.677262002674292"/>
    <s v="29.222017918643274"/>
    <n v="92.614427215225206"/>
    <s v="15.95617377387066"/>
    <n v="711813258"/>
    <x v="0"/>
    <n v="3.8573547000000003E-4"/>
    <x v="0"/>
  </r>
  <r>
    <n v="52"/>
    <n v="0"/>
    <n v="2"/>
    <n v="3"/>
    <n v="0"/>
    <n v="4"/>
    <n v="0"/>
    <n v="40"/>
    <n v="1"/>
    <n v="2"/>
    <n v="3"/>
    <n v="5240"/>
    <n v="2517"/>
    <n v="2723"/>
    <n v="0.78"/>
    <n v="14161"/>
    <n v="105"/>
    <n v="0.875"/>
    <n v="0.48"/>
    <n v="1.861E-4"/>
    <n v="0.99980999999999998"/>
    <s v="32.57141891783456"/>
    <s v="19.23232687413448"/>
    <s v="14.657486784620904"/>
    <s v="28.74497960701364"/>
    <n v="718343058"/>
    <x v="0"/>
    <n v="3.7453471999999999E-4"/>
    <x v="0"/>
  </r>
  <r>
    <n v="47"/>
    <n v="1"/>
    <n v="2"/>
    <n v="0"/>
    <n v="2"/>
    <n v="2"/>
    <n v="0"/>
    <n v="41"/>
    <n v="2"/>
    <n v="3"/>
    <n v="3"/>
    <n v="20811"/>
    <n v="1302"/>
    <n v="19509"/>
    <n v="0.79300000000000004"/>
    <n v="7192"/>
    <n v="82"/>
    <n v="0.70799999999999996"/>
    <n v="6.3E-2"/>
    <n v="2.9410999999999999E-4"/>
    <n v="0.99970999999999999"/>
    <s v="6.451466835000557"/>
    <n v="55.403187502753298"/>
    <s v="35.92362431129613"/>
    <s v="27.96091624753844"/>
    <n v="787226508"/>
    <x v="0"/>
    <n v="4.1022256E-4"/>
    <x v="0"/>
  </r>
  <r>
    <n v="32"/>
    <n v="0"/>
    <n v="0"/>
    <n v="0"/>
    <n v="1"/>
    <n v="5"/>
    <n v="0"/>
    <n v="36"/>
    <n v="5"/>
    <n v="3"/>
    <n v="3"/>
    <n v="6715"/>
    <n v="1314"/>
    <n v="5401"/>
    <n v="0.98699999999999999"/>
    <n v="1731"/>
    <n v="41"/>
    <n v="0.51900000000000002"/>
    <n v="0.19600000000000001"/>
    <n v="2.5239000000000001E-4"/>
    <n v="0.99975000000000003"/>
    <n v="18.291090564815601"/>
    <s v="55.70046129571727"/>
    <s v="7.007597247797186"/>
    <s v="5.947387852149328"/>
    <n v="714787383"/>
    <x v="0"/>
    <n v="1.1544054E-3"/>
    <x v="0"/>
  </r>
  <r>
    <n v="36"/>
    <n v="0"/>
    <n v="1"/>
    <n v="3"/>
    <n v="1"/>
    <n v="5"/>
    <n v="0"/>
    <n v="36"/>
    <n v="6"/>
    <n v="3"/>
    <n v="4"/>
    <n v="8500"/>
    <n v="2517"/>
    <n v="5983"/>
    <n v="0.44500000000000001"/>
    <n v="1618"/>
    <n v="37"/>
    <n v="1.3120000000000001"/>
    <n v="0.29599999999999999"/>
    <n v="4.7085999999999997E-4"/>
    <n v="0.99953000000000003"/>
    <s v="31.99626249848941"/>
    <s v="29.26571401854981"/>
    <s v="16.95973132144091"/>
    <s v="3.814472491543624"/>
    <n v="716210283"/>
    <x v="0"/>
    <n v="1.0254878999999999E-3"/>
    <x v="0"/>
  </r>
  <r>
    <n v="54"/>
    <n v="0"/>
    <n v="2"/>
    <n v="3"/>
    <n v="3"/>
    <n v="4"/>
    <n v="0"/>
    <n v="44"/>
    <n v="1"/>
    <n v="1"/>
    <n v="1"/>
    <n v="2691"/>
    <n v="811"/>
    <n v="1880"/>
    <n v="0.76700000000000002"/>
    <n v="4413"/>
    <n v="80"/>
    <n v="0.63300000000000001"/>
    <n v="0.30099999999999999"/>
    <s v="3.2288e-05"/>
    <n v="0.99997000000000003"/>
    <s v="23.13955807069253"/>
    <s v="36.85529055743935"/>
    <s v="25.314792771845006"/>
    <s v="6.945169222750088"/>
    <n v="772364358"/>
    <x v="0"/>
    <n v="5.2322453000000003E-4"/>
    <x v="0"/>
  </r>
  <r>
    <n v="55"/>
    <n v="0"/>
    <n v="1"/>
    <n v="2"/>
    <n v="1"/>
    <n v="5"/>
    <n v="0"/>
    <n v="43"/>
    <n v="5"/>
    <n v="4"/>
    <n v="2"/>
    <n v="3161"/>
    <n v="1389"/>
    <n v="1772"/>
    <n v="0.307"/>
    <n v="1547"/>
    <n v="30"/>
    <n v="0.42899999999999999"/>
    <n v="0.439"/>
    <n v="2.0404E-4"/>
    <n v="0.99980000000000002"/>
    <s v="5.1599095429309445"/>
    <s v="16.598702219696946"/>
    <s v="46.15676006961657"/>
    <s v="11.79404141656817"/>
    <n v="711023508"/>
    <x v="0"/>
    <n v="1.1982243E-3"/>
    <x v="0"/>
  </r>
  <r>
    <n v="34"/>
    <n v="0"/>
    <n v="3"/>
    <n v="3"/>
    <n v="2"/>
    <n v="4"/>
    <n v="0"/>
    <n v="21"/>
    <n v="2"/>
    <n v="2"/>
    <n v="2"/>
    <n v="1576"/>
    <n v="0"/>
    <n v="1576"/>
    <n v="0.78900000000000003"/>
    <n v="2703"/>
    <n v="56"/>
    <n v="1"/>
    <n v="0"/>
    <n v="0.99136999999999997"/>
    <n v="8.6300000000000005E-3"/>
    <s v="3.963856623341535"/>
    <s v="72.40833758009387"/>
    <s v="67.19186132614217"/>
    <s v="14.45201270290465"/>
    <n v="717208833"/>
    <x v="1"/>
    <n v="0.99556690000000003"/>
    <x v="1"/>
  </r>
  <r>
    <n v="43"/>
    <n v="1"/>
    <n v="3"/>
    <n v="5"/>
    <n v="1"/>
    <n v="3"/>
    <n v="0"/>
    <n v="36"/>
    <n v="1"/>
    <n v="3"/>
    <n v="2"/>
    <n v="4654"/>
    <n v="1349"/>
    <n v="3305"/>
    <n v="0.81"/>
    <n v="4277"/>
    <n v="71"/>
    <n v="0.69"/>
    <n v="0.28999999999999998"/>
    <n v="1.9191E-4"/>
    <n v="0.99980999999999998"/>
    <s v="33.71069005976628"/>
    <s v="26.386204033894124"/>
    <s v="58.98880408903634"/>
    <s v="22.652371435436223"/>
    <n v="717722958"/>
    <x v="0"/>
    <n v="3.2101269999999999E-4"/>
    <x v="0"/>
  </r>
  <r>
    <n v="53"/>
    <n v="1"/>
    <n v="0"/>
    <n v="3"/>
    <n v="1"/>
    <n v="2"/>
    <n v="0"/>
    <n v="46"/>
    <n v="4"/>
    <n v="4"/>
    <n v="2"/>
    <n v="1590"/>
    <n v="0"/>
    <n v="1590"/>
    <n v="0.55600000000000005"/>
    <n v="4229"/>
    <n v="73"/>
    <n v="1.0860000000000001"/>
    <n v="0"/>
    <n v="1.8134E-4"/>
    <n v="0.99982000000000004"/>
    <s v="2.668956660730969"/>
    <n v="33.086621966204603"/>
    <s v="85.16860173299753"/>
    <s v="11.11500160012358"/>
    <n v="716157408"/>
    <x v="0"/>
    <n v="6.9517245999999998E-4"/>
    <x v="0"/>
  </r>
  <r>
    <n v="51"/>
    <n v="1"/>
    <n v="1"/>
    <n v="6"/>
    <n v="2"/>
    <n v="0"/>
    <n v="0"/>
    <n v="42"/>
    <n v="6"/>
    <n v="2"/>
    <n v="3"/>
    <n v="9036"/>
    <n v="2327"/>
    <n v="6709"/>
    <n v="0.64900000000000002"/>
    <n v="1131"/>
    <n v="18"/>
    <n v="0.63600000000000001"/>
    <n v="0.25800000000000001"/>
    <n v="1.9751E-4"/>
    <n v="0.99980000000000002"/>
    <s v="45.58352363398321"/>
    <s v="55.329456649027776"/>
    <s v="106.57699638262208"/>
    <s v="1.1969857220582438"/>
    <n v="789968058"/>
    <x v="0"/>
    <n v="1.0598798E-3"/>
    <x v="0"/>
  </r>
  <r>
    <n v="53"/>
    <n v="0"/>
    <n v="2"/>
    <n v="3"/>
    <n v="1"/>
    <n v="4"/>
    <n v="0"/>
    <n v="41"/>
    <n v="5"/>
    <n v="3"/>
    <n v="0"/>
    <n v="2799"/>
    <n v="1303"/>
    <n v="1496"/>
    <n v="0.76300000000000001"/>
    <n v="3971"/>
    <n v="76"/>
    <n v="0.55100000000000005"/>
    <n v="0.46600000000000003"/>
    <s v="6.4505e-05"/>
    <n v="0.99994000000000005"/>
    <s v="34.00023362759561"/>
    <s v="5.667031726457873"/>
    <n v="43.913624199969099"/>
    <s v="7.415262761016335"/>
    <n v="718487958"/>
    <x v="0"/>
    <n v="3.2914013999999999E-4"/>
    <x v="0"/>
  </r>
  <r>
    <n v="26"/>
    <n v="1"/>
    <n v="0"/>
    <n v="3"/>
    <n v="2"/>
    <n v="5"/>
    <n v="0"/>
    <n v="36"/>
    <n v="5"/>
    <n v="2"/>
    <n v="3"/>
    <n v="3184"/>
    <n v="1421"/>
    <n v="1763"/>
    <n v="0.71199999999999997"/>
    <n v="2253"/>
    <n v="59"/>
    <n v="0.439"/>
    <n v="0.44600000000000001"/>
    <n v="1.5970000000000001E-4"/>
    <n v="0.99983999999999995"/>
    <s v="10.50634487399165"/>
    <s v="46.06064203874709"/>
    <s v="175.28793120943345"/>
    <s v="27.97278232980959"/>
    <n v="715482483"/>
    <x v="0"/>
    <n v="5.0377066000000003E-4"/>
    <x v="0"/>
  </r>
  <r>
    <n v="46"/>
    <n v="0"/>
    <n v="4"/>
    <n v="4"/>
    <n v="0"/>
    <n v="4"/>
    <n v="0"/>
    <n v="41"/>
    <n v="4"/>
    <n v="1"/>
    <n v="1"/>
    <n v="1752"/>
    <n v="611"/>
    <n v="1141"/>
    <n v="0.46500000000000002"/>
    <n v="4864"/>
    <n v="76"/>
    <n v="0.46200000000000002"/>
    <n v="0.34899999999999998"/>
    <s v="4.0988e-05"/>
    <n v="0.99995999999999996"/>
    <s v="4.818603582775951"/>
    <s v="38.26798318974654"/>
    <s v="81.94807087552819"/>
    <s v="3.280751013055649"/>
    <n v="812501358"/>
    <x v="0"/>
    <n v="6.2673990000000005E-4"/>
    <x v="0"/>
  </r>
  <r>
    <n v="46"/>
    <n v="1"/>
    <n v="3"/>
    <n v="2"/>
    <n v="0"/>
    <n v="3"/>
    <n v="0"/>
    <n v="40"/>
    <n v="6"/>
    <n v="3"/>
    <n v="3"/>
    <n v="3673"/>
    <n v="2292"/>
    <n v="1381"/>
    <n v="0.63700000000000001"/>
    <n v="1257"/>
    <n v="34"/>
    <n v="0.54500000000000004"/>
    <n v="0.624"/>
    <n v="3.1389999999999999E-4"/>
    <n v="0.99968999999999997"/>
    <s v="30.379968769122065"/>
    <s v="23.03922824250794"/>
    <s v="76.91689975123141"/>
    <s v="0.9035603102850402"/>
    <n v="773448558"/>
    <x v="0"/>
    <n v="1.0598798E-3"/>
    <x v="0"/>
  </r>
  <r>
    <n v="31"/>
    <n v="1"/>
    <n v="1"/>
    <n v="2"/>
    <n v="1"/>
    <n v="1"/>
    <n v="0"/>
    <n v="20"/>
    <n v="6"/>
    <n v="2"/>
    <n v="5"/>
    <n v="2469"/>
    <n v="1695"/>
    <n v="774"/>
    <n v="0.84199999999999997"/>
    <n v="1615"/>
    <n v="36"/>
    <n v="0.33300000000000002"/>
    <n v="0.68700000000000006"/>
    <n v="5.3032999999999997E-4"/>
    <n v="0.99946999999999997"/>
    <s v="29.72720313682357"/>
    <s v="18.32220255653789"/>
    <s v="25.64161428431133"/>
    <s v="8.953038449910363"/>
    <n v="710782458"/>
    <x v="0"/>
    <n v="1.1982243E-3"/>
    <x v="0"/>
  </r>
  <r>
    <n v="43"/>
    <n v="1"/>
    <n v="4"/>
    <n v="5"/>
    <n v="1"/>
    <n v="0"/>
    <n v="3"/>
    <n v="36"/>
    <n v="1"/>
    <n v="2"/>
    <n v="1"/>
    <n v="34516"/>
    <n v="1816"/>
    <n v="32700"/>
    <n v="0.995"/>
    <n v="15226"/>
    <n v="113"/>
    <n v="0.71199999999999997"/>
    <n v="5.2999999999999999E-2"/>
    <s v="6.6879e-05"/>
    <n v="0.99992999999999999"/>
    <n v="0.50682243192055498"/>
    <s v="22.074389127733728"/>
    <n v="8.0679430145521707"/>
    <s v="2.208912096614716"/>
    <n v="715573758"/>
    <x v="0"/>
    <n v="4.0555582000000002E-4"/>
    <x v="0"/>
  </r>
  <r>
    <n v="51"/>
    <n v="0"/>
    <n v="2"/>
    <n v="6"/>
    <n v="1"/>
    <n v="4"/>
    <n v="0"/>
    <n v="33"/>
    <n v="3"/>
    <n v="1"/>
    <n v="4"/>
    <n v="4941"/>
    <n v="786"/>
    <n v="4155"/>
    <n v="0.83299999999999996"/>
    <n v="3822"/>
    <n v="50"/>
    <n v="1.083"/>
    <n v="0.159"/>
    <n v="1.7370999999999999E-4"/>
    <n v="0.99983"/>
    <s v="14.046577047171304"/>
    <s v="82.12806507892861"/>
    <s v="13.841175193425409"/>
    <s v="5.191515551976453"/>
    <n v="720333783"/>
    <x v="0"/>
    <n v="1.4567585E-3"/>
    <x v="0"/>
  </r>
  <r>
    <n v="44"/>
    <n v="1"/>
    <n v="2"/>
    <n v="2"/>
    <n v="2"/>
    <n v="3"/>
    <n v="0"/>
    <n v="31"/>
    <n v="5"/>
    <n v="2"/>
    <n v="4"/>
    <n v="34516"/>
    <n v="1311"/>
    <n v="33205"/>
    <n v="0.6"/>
    <n v="4485"/>
    <n v="85"/>
    <n v="0.77100000000000002"/>
    <n v="3.7999999999999999E-2"/>
    <n v="3.2655999999999999E-4"/>
    <n v="0.99966999999999995"/>
    <s v="45.71020345169209"/>
    <s v="9.519057395672856"/>
    <n v="76.364685945041899"/>
    <s v="7.847087747964195"/>
    <n v="720696558"/>
    <x v="0"/>
    <n v="3.5729867999999997E-4"/>
    <x v="0"/>
  </r>
  <r>
    <n v="57"/>
    <n v="1"/>
    <n v="2"/>
    <n v="2"/>
    <n v="2"/>
    <n v="0"/>
    <n v="0"/>
    <n v="44"/>
    <n v="5"/>
    <n v="3"/>
    <n v="4"/>
    <n v="34516"/>
    <n v="219"/>
    <n v="34297"/>
    <n v="0.48199999999999998"/>
    <n v="1882"/>
    <n v="48"/>
    <n v="0.71399999999999997"/>
    <n v="6.0000000000000001E-3"/>
    <n v="0.99807000000000001"/>
    <n v="1.93323E-3"/>
    <s v="13.772998108326556"/>
    <s v="38.57995212596742"/>
    <s v="79.33629756137033"/>
    <s v="17.282800034661697"/>
    <n v="718812708"/>
    <x v="1"/>
    <n v="0.99792959999999997"/>
    <x v="1"/>
  </r>
  <r>
    <n v="46"/>
    <n v="1"/>
    <n v="3"/>
    <n v="3"/>
    <n v="2"/>
    <n v="1"/>
    <n v="0"/>
    <n v="42"/>
    <n v="3"/>
    <n v="2"/>
    <n v="1"/>
    <n v="8285"/>
    <n v="1359"/>
    <n v="6926"/>
    <n v="0.63400000000000001"/>
    <n v="7205"/>
    <n v="84"/>
    <n v="0.82599999999999996"/>
    <n v="0.16400000000000001"/>
    <s v="6.9242e-05"/>
    <n v="0.99992999999999999"/>
    <s v="1.398208379517931"/>
    <s v="10.071505595978929"/>
    <s v="3.5662783684289296"/>
    <s v="30.12850290539164"/>
    <n v="719473458"/>
    <x v="0"/>
    <n v="3.6856539999999998E-4"/>
    <x v="0"/>
  </r>
  <r>
    <n v="30"/>
    <n v="1"/>
    <n v="1"/>
    <n v="6"/>
    <n v="1"/>
    <n v="4"/>
    <n v="0"/>
    <n v="13"/>
    <n v="3"/>
    <n v="6"/>
    <n v="5"/>
    <n v="2607"/>
    <n v="1966"/>
    <n v="641"/>
    <n v="0.65"/>
    <n v="1719"/>
    <n v="45"/>
    <n v="0.60699999999999998"/>
    <n v="0.754"/>
    <n v="7.2709999999999995E-4"/>
    <n v="0.99926999999999999"/>
    <s v="58.60957449177394"/>
    <s v="33.83443945654862"/>
    <n v="53.970256441073701"/>
    <s v="17.46359960482775"/>
    <n v="713110908"/>
    <x v="0"/>
    <n v="1.3827144000000001E-3"/>
    <x v="0"/>
  </r>
  <r>
    <n v="52"/>
    <n v="1"/>
    <n v="2"/>
    <n v="3"/>
    <n v="2"/>
    <n v="0"/>
    <n v="0"/>
    <n v="44"/>
    <n v="4"/>
    <n v="2"/>
    <n v="2"/>
    <n v="6617"/>
    <n v="2517"/>
    <n v="4100"/>
    <n v="0.45900000000000002"/>
    <n v="3595"/>
    <n v="68"/>
    <n v="0.65900000000000003"/>
    <n v="0.38"/>
    <n v="1.1065000000000001E-4"/>
    <n v="0.99988999999999995"/>
    <s v="14.244712189052477"/>
    <n v="48.170677482235703"/>
    <s v="29.138597438064643"/>
    <n v="18.225605748844501"/>
    <n v="787999533"/>
    <x v="0"/>
    <n v="3.4692350000000002E-4"/>
    <x v="0"/>
  </r>
  <r>
    <n v="43"/>
    <n v="0"/>
    <n v="2"/>
    <n v="5"/>
    <n v="2"/>
    <n v="4"/>
    <n v="0"/>
    <n v="36"/>
    <n v="5"/>
    <n v="2"/>
    <n v="4"/>
    <n v="1736"/>
    <n v="1513"/>
    <n v="223"/>
    <n v="0.82899999999999996"/>
    <n v="3462"/>
    <n v="67"/>
    <n v="0.55800000000000005"/>
    <n v="0.872"/>
    <n v="3.3576999999999999E-4"/>
    <n v="0.99965999999999999"/>
    <s v="53.21060821773803"/>
    <s v="56.57457566856637"/>
    <s v="17.169444940266573"/>
    <s v="17.91805188545351"/>
    <n v="715679733"/>
    <x v="0"/>
    <n v="3.2914013999999999E-4"/>
    <x v="0"/>
  </r>
  <r>
    <n v="59"/>
    <n v="0"/>
    <n v="1"/>
    <n v="0"/>
    <n v="1"/>
    <n v="1"/>
    <n v="0"/>
    <n v="49"/>
    <n v="2"/>
    <n v="2"/>
    <n v="1"/>
    <n v="3481"/>
    <n v="603"/>
    <n v="2878"/>
    <n v="0.69199999999999995"/>
    <n v="4556"/>
    <n v="81"/>
    <n v="0.47299999999999998"/>
    <n v="0.17299999999999999"/>
    <s v="6.2639e-05"/>
    <n v="0.99994000000000005"/>
    <s v="8.859943382123465"/>
    <n v="66.914851154029606"/>
    <s v="21.47354412831926"/>
    <n v="8.69663152324474"/>
    <n v="712831908"/>
    <x v="0"/>
    <n v="6.2673990000000005E-4"/>
    <x v="0"/>
  </r>
  <r>
    <n v="31"/>
    <n v="1"/>
    <n v="1"/>
    <n v="4"/>
    <n v="2"/>
    <n v="1"/>
    <n v="0"/>
    <n v="24"/>
    <n v="4"/>
    <n v="2"/>
    <n v="4"/>
    <n v="4169"/>
    <n v="534"/>
    <n v="3635"/>
    <n v="0.83599999999999997"/>
    <n v="8565"/>
    <n v="70"/>
    <n v="0.79500000000000004"/>
    <n v="0.128"/>
    <n v="0.99724000000000002"/>
    <n v="2.764E-3"/>
    <s v="32.25266374770379"/>
    <s v="0.2851886762201777"/>
    <n v="28.655981802864801"/>
    <s v="2.5013117154361773"/>
    <n v="714684108"/>
    <x v="1"/>
    <n v="0.99300189999999999"/>
    <x v="1"/>
  </r>
  <r>
    <n v="47"/>
    <n v="1"/>
    <n v="3"/>
    <n v="5"/>
    <n v="1"/>
    <n v="3"/>
    <n v="0"/>
    <n v="36"/>
    <n v="6"/>
    <n v="2"/>
    <n v="2"/>
    <n v="29770"/>
    <n v="1565"/>
    <n v="28205"/>
    <n v="0.67400000000000004"/>
    <n v="1774"/>
    <n v="42"/>
    <n v="2"/>
    <n v="5.2999999999999999E-2"/>
    <n v="1.2144E-4"/>
    <n v="0.99987999999999999"/>
    <s v="23.92703446319099"/>
    <s v="2.4942510522829524"/>
    <s v="7.195427690557368"/>
    <s v="14.323061216223197"/>
    <n v="720115683"/>
    <x v="0"/>
    <n v="1.0985557E-3"/>
    <x v="0"/>
  </r>
  <r>
    <n v="44"/>
    <n v="0"/>
    <n v="4"/>
    <n v="2"/>
    <n v="2"/>
    <n v="1"/>
    <n v="0"/>
    <n v="38"/>
    <n v="3"/>
    <n v="3"/>
    <n v="3"/>
    <n v="3897"/>
    <n v="2296"/>
    <n v="1601"/>
    <n v="0.746"/>
    <n v="4627"/>
    <n v="77"/>
    <n v="0.79100000000000004"/>
    <n v="0.58899999999999997"/>
    <n v="3.1725999999999998E-4"/>
    <n v="0.99968000000000001"/>
    <s v="8.748009570009167"/>
    <n v="41.657361689323302"/>
    <s v="9.624102867265998"/>
    <s v="14.61277620021944"/>
    <n v="790221633"/>
    <x v="0"/>
    <n v="3.2101269999999999E-4"/>
    <x v="0"/>
  </r>
  <r>
    <n v="56"/>
    <n v="0"/>
    <n v="3"/>
    <n v="4"/>
    <n v="2"/>
    <n v="1"/>
    <n v="0"/>
    <n v="36"/>
    <n v="2"/>
    <n v="1"/>
    <n v="1"/>
    <n v="3005"/>
    <n v="1660"/>
    <n v="1345"/>
    <n v="0.88"/>
    <n v="4586"/>
    <n v="72"/>
    <n v="0.75600000000000001"/>
    <n v="0.55200000000000005"/>
    <s v="4.0554e-05"/>
    <n v="0.99995999999999996"/>
    <s v="32.04679445413155"/>
    <s v="12.07704212085117"/>
    <s v="2.942788780604936"/>
    <s v="13.748303503881266"/>
    <n v="711333933"/>
    <x v="0"/>
    <n v="3.2101269999999999E-4"/>
    <x v="0"/>
  </r>
  <r>
    <n v="48"/>
    <n v="0"/>
    <n v="3"/>
    <n v="3"/>
    <n v="2"/>
    <n v="1"/>
    <n v="0"/>
    <n v="30"/>
    <n v="5"/>
    <n v="2"/>
    <n v="1"/>
    <n v="2657"/>
    <n v="2115"/>
    <n v="542"/>
    <n v="0.68799999999999994"/>
    <n v="3580"/>
    <n v="77"/>
    <n v="0.71099999999999997"/>
    <n v="0.79600000000000004"/>
    <s v="6.9242e-05"/>
    <n v="0.99992999999999999"/>
    <s v="56.94646672983626"/>
    <s v="8.458864021542036"/>
    <s v="27.451041088359272"/>
    <s v="6.310415732656788"/>
    <n v="714802458"/>
    <x v="0"/>
    <n v="3.2101269999999999E-4"/>
    <x v="0"/>
  </r>
  <r>
    <n v="60"/>
    <n v="0"/>
    <n v="1"/>
    <n v="2"/>
    <n v="2"/>
    <n v="4"/>
    <n v="0"/>
    <n v="45"/>
    <n v="2"/>
    <n v="3"/>
    <n v="1"/>
    <n v="9752"/>
    <n v="1423"/>
    <n v="8329"/>
    <n v="0.872"/>
    <n v="14220"/>
    <n v="108"/>
    <n v="0.96399999999999997"/>
    <n v="0.14599999999999999"/>
    <n v="1.0182E-4"/>
    <n v="0.99990000000000001"/>
    <s v="25.47876809635192"/>
    <s v="24.80160342745969"/>
    <s v="12.949969155805077"/>
    <s v="12.908932880935346"/>
    <n v="713655108"/>
    <x v="0"/>
    <n v="3.4656386999999997E-4"/>
    <x v="0"/>
  </r>
  <r>
    <n v="42"/>
    <n v="0"/>
    <n v="2"/>
    <n v="0"/>
    <n v="0"/>
    <n v="4"/>
    <n v="0"/>
    <n v="33"/>
    <n v="3"/>
    <n v="3"/>
    <n v="1"/>
    <n v="2283"/>
    <n v="1690"/>
    <n v="593"/>
    <n v="0.874"/>
    <n v="4377"/>
    <n v="64"/>
    <n v="0.48799999999999999"/>
    <n v="0.74"/>
    <n v="1.0546E-4"/>
    <n v="0.99988999999999995"/>
    <s v="34.32434991735833"/>
    <s v="4.813711755556334"/>
    <s v="99.88556386499536"/>
    <s v="7.640213563976181"/>
    <n v="789472833"/>
    <x v="0"/>
    <n v="3.7583912E-4"/>
    <x v="0"/>
  </r>
  <r>
    <n v="53"/>
    <n v="0"/>
    <n v="1"/>
    <n v="0"/>
    <n v="1"/>
    <n v="4"/>
    <n v="0"/>
    <n v="36"/>
    <n v="1"/>
    <n v="3"/>
    <n v="3"/>
    <n v="1665"/>
    <n v="964"/>
    <n v="701"/>
    <n v="1.0489999999999999"/>
    <n v="4881"/>
    <n v="75"/>
    <n v="0.92300000000000004"/>
    <n v="0.57899999999999996"/>
    <n v="2.7607E-4"/>
    <n v="0.99972000000000005"/>
    <s v="15.030221632549935"/>
    <n v="37.628053563569402"/>
    <s v="134.96098751217946"/>
    <n v="9.7741912820179806"/>
    <n v="716365233"/>
    <x v="0"/>
    <n v="3.9660546000000002E-4"/>
    <x v="0"/>
  </r>
  <r>
    <n v="49"/>
    <n v="1"/>
    <n v="3"/>
    <n v="1"/>
    <n v="2"/>
    <n v="1"/>
    <n v="0"/>
    <n v="37"/>
    <n v="5"/>
    <n v="2"/>
    <n v="3"/>
    <n v="4354"/>
    <n v="0"/>
    <n v="4354"/>
    <n v="0.73799999999999999"/>
    <n v="2750"/>
    <n v="59"/>
    <n v="0.68600000000000005"/>
    <n v="0"/>
    <n v="0.99653000000000003"/>
    <n v="3.4659199999999999E-3"/>
    <s v="36.45519730069137"/>
    <s v="28.511205150441945"/>
    <s v="64.02384726505024"/>
    <s v="13.335167411314732"/>
    <n v="771638733"/>
    <x v="1"/>
    <n v="0.99446243000000001"/>
    <x v="1"/>
  </r>
  <r>
    <n v="65"/>
    <n v="1"/>
    <n v="1"/>
    <n v="0"/>
    <n v="2"/>
    <n v="4"/>
    <n v="0"/>
    <n v="54"/>
    <n v="5"/>
    <n v="2"/>
    <n v="2"/>
    <n v="5363"/>
    <n v="1309"/>
    <n v="4054"/>
    <n v="0.57399999999999995"/>
    <n v="3855"/>
    <n v="63"/>
    <n v="0.70299999999999996"/>
    <n v="0.24399999999999999"/>
    <n v="1.0387000000000001E-4"/>
    <n v="0.99990000000000001"/>
    <s v="54.87556168386168"/>
    <n v="4.0152858479590696"/>
    <s v="72.76201308159398"/>
    <s v="4.517017913737245"/>
    <n v="771942333"/>
    <x v="0"/>
    <n v="3.479205E-4"/>
    <x v="0"/>
  </r>
  <r>
    <n v="39"/>
    <n v="0"/>
    <n v="3"/>
    <n v="3"/>
    <n v="0"/>
    <n v="1"/>
    <n v="0"/>
    <n v="28"/>
    <n v="4"/>
    <n v="1"/>
    <n v="3"/>
    <n v="3400"/>
    <n v="2307"/>
    <n v="1093"/>
    <n v="0.90100000000000002"/>
    <n v="4742"/>
    <n v="90"/>
    <n v="0.69799999999999995"/>
    <n v="0.67900000000000005"/>
    <s v="9.3448e-05"/>
    <n v="0.99990999999999997"/>
    <s v="32.38259628711999"/>
    <s v="12.725495602004829"/>
    <s v="88.94612054283927"/>
    <s v="12.18285414194731"/>
    <n v="772409733"/>
    <x v="0"/>
    <n v="3.221314E-4"/>
    <x v="0"/>
  </r>
  <r>
    <n v="38"/>
    <n v="0"/>
    <n v="2"/>
    <n v="2"/>
    <n v="2"/>
    <n v="4"/>
    <n v="0"/>
    <n v="25"/>
    <n v="5"/>
    <n v="1"/>
    <n v="2"/>
    <n v="9874"/>
    <n v="1059"/>
    <n v="8815"/>
    <n v="0.66400000000000003"/>
    <n v="4369"/>
    <n v="70"/>
    <n v="0.70699999999999996"/>
    <n v="0.107"/>
    <s v="5.5077e-05"/>
    <n v="0.99994000000000005"/>
    <s v="37.12759009241349"/>
    <s v="16.18180295591856"/>
    <n v="75.245212668551005"/>
    <s v="5.261964773244268"/>
    <n v="709972908"/>
    <x v="0"/>
    <n v="3.2101269999999999E-4"/>
    <x v="0"/>
  </r>
  <r>
    <n v="47"/>
    <n v="0"/>
    <n v="2"/>
    <n v="3"/>
    <n v="1"/>
    <n v="4"/>
    <n v="0"/>
    <n v="34"/>
    <n v="4"/>
    <n v="2"/>
    <n v="4"/>
    <n v="2730"/>
    <n v="1970"/>
    <n v="760"/>
    <n v="0.84799999999999998"/>
    <n v="3841"/>
    <n v="69"/>
    <n v="0.86499999999999999"/>
    <n v="0.72199999999999998"/>
    <n v="3.1745999999999999E-4"/>
    <n v="0.99968000000000001"/>
    <n v="21.444634389921699"/>
    <s v="3.1495101418186326"/>
    <s v="15.062539907965787"/>
    <s v="3.7657959363447935"/>
    <n v="788996058"/>
    <x v="0"/>
    <n v="3.2101269999999999E-4"/>
    <x v="0"/>
  </r>
  <r>
    <n v="46"/>
    <n v="0"/>
    <n v="3"/>
    <n v="2"/>
    <n v="3"/>
    <n v="5"/>
    <n v="0"/>
    <n v="30"/>
    <n v="3"/>
    <n v="2"/>
    <n v="1"/>
    <n v="8869"/>
    <n v="0"/>
    <n v="8869"/>
    <n v="0.41299999999999998"/>
    <n v="1935"/>
    <n v="40"/>
    <n v="0.42899999999999999"/>
    <n v="0"/>
    <n v="0.98616000000000004"/>
    <n v="1.384E-2"/>
    <s v="35.019701632201475"/>
    <n v="54.099304821901299"/>
    <s v="21.925922377176583"/>
    <s v="22.21383728306176"/>
    <n v="714031083"/>
    <x v="1"/>
    <n v="0.99870276000000002"/>
    <x v="1"/>
  </r>
  <r>
    <n v="53"/>
    <n v="1"/>
    <n v="3"/>
    <n v="2"/>
    <n v="2"/>
    <n v="3"/>
    <n v="0"/>
    <n v="46"/>
    <n v="5"/>
    <n v="2"/>
    <n v="3"/>
    <n v="9065"/>
    <n v="1548"/>
    <n v="7517"/>
    <n v="0.872"/>
    <n v="4030"/>
    <n v="73"/>
    <n v="0.78"/>
    <n v="0.17100000000000001"/>
    <n v="1.9864000000000001E-4"/>
    <n v="0.99980000000000002"/>
    <s v="15.727485186310467"/>
    <s v="11.913803662401264"/>
    <s v="17.400303582480007"/>
    <s v="6.189140171516395"/>
    <n v="709227033"/>
    <x v="0"/>
    <n v="3.2101269999999999E-4"/>
    <x v="0"/>
  </r>
  <r>
    <n v="41"/>
    <n v="1"/>
    <n v="4"/>
    <n v="3"/>
    <n v="1"/>
    <n v="0"/>
    <n v="0"/>
    <n v="35"/>
    <n v="5"/>
    <n v="4"/>
    <n v="2"/>
    <n v="18232"/>
    <n v="1140"/>
    <n v="17092"/>
    <n v="0.65700000000000003"/>
    <n v="4775"/>
    <n v="84"/>
    <n v="1.1000000000000001"/>
    <n v="6.3E-2"/>
    <n v="2.2162000000000001E-4"/>
    <n v="0.99978"/>
    <s v="5.271774822572193"/>
    <s v="52.90649129790162"/>
    <s v="41.78630126920204"/>
    <n v="5.6196882424656804"/>
    <n v="792695808"/>
    <x v="0"/>
    <n v="3.5729867999999997E-4"/>
    <x v="0"/>
  </r>
  <r>
    <n v="51"/>
    <n v="0"/>
    <n v="3"/>
    <n v="2"/>
    <n v="1"/>
    <n v="5"/>
    <n v="0"/>
    <n v="37"/>
    <n v="6"/>
    <n v="1"/>
    <n v="1"/>
    <n v="4502"/>
    <n v="1785"/>
    <n v="2717"/>
    <n v="1.014"/>
    <n v="4469"/>
    <n v="87"/>
    <n v="0.81200000000000006"/>
    <n v="0.39600000000000002"/>
    <s v="3.4465e-05"/>
    <n v="0.99997000000000003"/>
    <s v="39.26002501838295"/>
    <s v="13.45048481156626"/>
    <s v="51.64839913147317"/>
    <s v="16.771864071633928"/>
    <n v="721361433"/>
    <x v="0"/>
    <n v="3.3750932000000002E-4"/>
    <x v="0"/>
  </r>
  <r>
    <n v="34"/>
    <n v="1"/>
    <n v="2"/>
    <n v="5"/>
    <n v="1"/>
    <n v="2"/>
    <n v="0"/>
    <n v="36"/>
    <n v="6"/>
    <n v="1"/>
    <n v="2"/>
    <n v="8581"/>
    <n v="2326"/>
    <n v="6255"/>
    <n v="1.226"/>
    <n v="2513"/>
    <n v="63"/>
    <n v="0.61499999999999999"/>
    <n v="0.27100000000000002"/>
    <s v="5.663e-05"/>
    <n v="0.99994000000000005"/>
    <s v="18.94471702304244"/>
    <s v="29.842153552214988"/>
    <s v="145.3898173550172"/>
    <s v="9.845431726081928"/>
    <n v="710801133"/>
    <x v="0"/>
    <n v="4.2245854000000002E-4"/>
    <x v="0"/>
  </r>
  <r>
    <n v="53"/>
    <n v="1"/>
    <n v="3"/>
    <n v="3"/>
    <n v="1"/>
    <n v="2"/>
    <n v="0"/>
    <n v="41"/>
    <n v="3"/>
    <n v="1"/>
    <n v="0"/>
    <n v="2480"/>
    <n v="1351"/>
    <n v="1129"/>
    <n v="0.52200000000000002"/>
    <n v="1359"/>
    <n v="36"/>
    <n v="0.56499999999999995"/>
    <n v="0.54500000000000004"/>
    <s v="2.0494e-05"/>
    <n v="0.99997999999999998"/>
    <s v="2.484472448007707"/>
    <s v="10.948232520641133"/>
    <s v="11.331934060595392"/>
    <s v="16.117215469155383"/>
    <n v="709219533"/>
    <x v="0"/>
    <n v="1.0903810999999999E-3"/>
    <x v="0"/>
  </r>
  <r>
    <n v="52"/>
    <n v="0"/>
    <n v="2"/>
    <n v="2"/>
    <n v="1"/>
    <n v="1"/>
    <n v="0"/>
    <n v="36"/>
    <n v="6"/>
    <n v="4"/>
    <n v="2"/>
    <n v="2804"/>
    <n v="1782"/>
    <n v="1022"/>
    <n v="0.69799999999999995"/>
    <n v="4357"/>
    <n v="69"/>
    <n v="0.60499999999999998"/>
    <n v="0.63600000000000001"/>
    <n v="2.1738000000000001E-4"/>
    <n v="0.99978"/>
    <s v="5.703682551786383"/>
    <n v="19.049931113665899"/>
    <s v="8.307637825404017"/>
    <s v="9.157339229956785"/>
    <n v="714842208"/>
    <x v="0"/>
    <n v="3.2914013999999999E-4"/>
    <x v="0"/>
  </r>
  <r>
    <n v="49"/>
    <n v="0"/>
    <n v="2"/>
    <n v="5"/>
    <n v="2"/>
    <n v="4"/>
    <n v="0"/>
    <n v="42"/>
    <n v="6"/>
    <n v="3"/>
    <n v="2"/>
    <n v="1991"/>
    <n v="0"/>
    <n v="1991"/>
    <n v="0.95399999999999996"/>
    <n v="4527"/>
    <n v="66"/>
    <n v="0.61"/>
    <n v="0"/>
    <n v="1.8494E-4"/>
    <n v="0.99982000000000004"/>
    <s v="35.92923264338406"/>
    <s v="70.46357195857789"/>
    <s v="72.84735154522846"/>
    <s v="0.9698929741961914"/>
    <n v="719359458"/>
    <x v="0"/>
    <n v="7.8830344000000005E-4"/>
    <x v="0"/>
  </r>
  <r>
    <n v="38"/>
    <n v="0"/>
    <n v="2"/>
    <n v="2"/>
    <n v="1"/>
    <n v="4"/>
    <n v="0"/>
    <n v="36"/>
    <n v="6"/>
    <n v="3"/>
    <n v="4"/>
    <n v="2717"/>
    <n v="1591"/>
    <n v="1126"/>
    <n v="1.5960000000000001"/>
    <n v="2064"/>
    <n v="33"/>
    <n v="1.0620000000000001"/>
    <n v="0.58599999999999997"/>
    <n v="5.1599999999999997E-4"/>
    <n v="0.99948000000000004"/>
    <s v="30.26228256529734"/>
    <s v="19.520758608097477"/>
    <s v="61.945600556489325"/>
    <s v="19.48287653430869"/>
    <n v="711957708"/>
    <x v="0"/>
    <n v="1.0481173E-3"/>
    <x v="0"/>
  </r>
  <r>
    <n v="43"/>
    <n v="1"/>
    <n v="3"/>
    <n v="0"/>
    <n v="2"/>
    <n v="1"/>
    <n v="0"/>
    <n v="23"/>
    <n v="6"/>
    <n v="2"/>
    <n v="2"/>
    <n v="4559"/>
    <n v="1664"/>
    <n v="2895"/>
    <n v="0.871"/>
    <n v="1652"/>
    <n v="37"/>
    <n v="0.60899999999999999"/>
    <n v="0.36499999999999999"/>
    <n v="1.1483E-4"/>
    <n v="0.99988999999999995"/>
    <s v="3.3567288942347884"/>
    <s v="33.63265072939488"/>
    <s v="31.54004833463576"/>
    <s v="13.408914438881842"/>
    <n v="787438983"/>
    <x v="0"/>
    <n v="1.0598798E-3"/>
    <x v="0"/>
  </r>
  <r>
    <n v="41"/>
    <n v="1"/>
    <n v="2"/>
    <n v="4"/>
    <n v="1"/>
    <n v="1"/>
    <n v="0"/>
    <n v="36"/>
    <n v="2"/>
    <n v="1"/>
    <n v="3"/>
    <n v="10688"/>
    <n v="653"/>
    <n v="10035"/>
    <n v="0.68200000000000005"/>
    <n v="13866"/>
    <n v="98"/>
    <n v="0.50800000000000001"/>
    <n v="6.0999999999999999E-2"/>
    <n v="1.0900000000000001E-4"/>
    <n v="0.99988999999999995"/>
    <s v="17.494329482399415"/>
    <s v="10.580369209984408"/>
    <s v="46.687024833938665"/>
    <s v="5.992834676436126"/>
    <n v="712833633"/>
    <x v="0"/>
    <n v="6.9678459999999998E-4"/>
    <x v="0"/>
  </r>
  <r>
    <n v="45"/>
    <n v="1"/>
    <n v="1"/>
    <n v="5"/>
    <n v="2"/>
    <n v="2"/>
    <n v="0"/>
    <n v="35"/>
    <n v="5"/>
    <n v="3"/>
    <n v="2"/>
    <n v="21696"/>
    <n v="1036"/>
    <n v="20660"/>
    <n v="0.96499999999999997"/>
    <n v="3354"/>
    <n v="76"/>
    <n v="0.85399999999999998"/>
    <n v="4.8000000000000001E-2"/>
    <n v="1.7359999999999999E-4"/>
    <n v="0.99983"/>
    <n v="2.2698491116933002"/>
    <s v="34.590549283021645"/>
    <s v="70.43893775105526"/>
    <s v="10.542618981412796"/>
    <n v="719482008"/>
    <x v="0"/>
    <n v="3.756586E-4"/>
    <x v="0"/>
  </r>
  <r>
    <n v="35"/>
    <n v="0"/>
    <n v="2"/>
    <n v="6"/>
    <n v="0"/>
    <n v="5"/>
    <n v="0"/>
    <n v="31"/>
    <n v="2"/>
    <n v="2"/>
    <n v="2"/>
    <n v="19033"/>
    <n v="1555"/>
    <n v="17478"/>
    <n v="1.0009999999999999"/>
    <n v="16033"/>
    <n v="116"/>
    <n v="0.81200000000000006"/>
    <n v="8.2000000000000003E-2"/>
    <n v="1.2511E-4"/>
    <n v="0.99987000000000004"/>
    <n v="19.374166169184999"/>
    <s v="45.13269641866928"/>
    <s v="28.839966620101368"/>
    <s v="10.187677241178156"/>
    <n v="826065258"/>
    <x v="0"/>
    <n v="3.8462853999999999E-4"/>
    <x v="0"/>
  </r>
  <r>
    <n v="39"/>
    <n v="1"/>
    <n v="4"/>
    <n v="3"/>
    <n v="1"/>
    <n v="3"/>
    <n v="0"/>
    <n v="25"/>
    <n v="6"/>
    <n v="2"/>
    <n v="3"/>
    <n v="8208"/>
    <n v="0"/>
    <n v="8208"/>
    <n v="1.5680000000000001"/>
    <n v="3135"/>
    <n v="39"/>
    <n v="1.167"/>
    <n v="0"/>
    <n v="1.9516999999999999E-4"/>
    <n v="0.99980000000000002"/>
    <s v="15.222967534068488"/>
    <s v="20.61582801050598"/>
    <s v="65.44327873553702"/>
    <s v="1.300495094591588"/>
    <n v="789690483"/>
    <x v="0"/>
    <n v="2.6266787000000002E-3"/>
    <x v="0"/>
  </r>
  <r>
    <n v="56"/>
    <n v="1"/>
    <n v="1"/>
    <n v="0"/>
    <n v="1"/>
    <n v="2"/>
    <n v="0"/>
    <n v="44"/>
    <n v="5"/>
    <n v="3"/>
    <n v="3"/>
    <n v="1704"/>
    <n v="0"/>
    <n v="1704"/>
    <n v="0.70099999999999996"/>
    <n v="660"/>
    <n v="17"/>
    <n v="0.308"/>
    <n v="0"/>
    <n v="0.99639"/>
    <n v="3.6082499999999999E-3"/>
    <s v="3.3044978292375604"/>
    <s v="59.00399229627561"/>
    <s v="68.62181956970126"/>
    <s v="13.016338427070735"/>
    <n v="718121658"/>
    <x v="1"/>
    <n v="0.99867176999999996"/>
    <x v="1"/>
  </r>
  <r>
    <n v="33"/>
    <n v="1"/>
    <n v="1"/>
    <n v="0"/>
    <n v="2"/>
    <n v="3"/>
    <n v="0"/>
    <n v="26"/>
    <n v="4"/>
    <n v="3"/>
    <n v="4"/>
    <n v="19136"/>
    <n v="1608"/>
    <n v="17528"/>
    <n v="0.72799999999999998"/>
    <n v="2501"/>
    <n v="55"/>
    <n v="0.52800000000000002"/>
    <n v="8.4000000000000005E-2"/>
    <n v="4.7091E-4"/>
    <n v="0.99953000000000003"/>
    <s v="1.380076939019966"/>
    <s v="7.337476841473185"/>
    <s v="56.66368547217275"/>
    <s v="10.91411006184929"/>
    <n v="737982408"/>
    <x v="0"/>
    <n v="6.2682806000000004E-4"/>
    <x v="0"/>
  </r>
  <r>
    <n v="47"/>
    <n v="0"/>
    <n v="3"/>
    <n v="2"/>
    <n v="1"/>
    <n v="4"/>
    <n v="0"/>
    <n v="35"/>
    <n v="4"/>
    <n v="3"/>
    <n v="2"/>
    <n v="1666"/>
    <n v="0"/>
    <n v="1666"/>
    <n v="0.92"/>
    <n v="2816"/>
    <n v="38"/>
    <n v="0.52"/>
    <n v="0"/>
    <n v="0.99467000000000005"/>
    <n v="5.3299999999999997E-3"/>
    <s v="5.554965070489272"/>
    <s v="3.918197067957343"/>
    <s v="102.19723964942948"/>
    <s v="6.075118045347199"/>
    <n v="710690733"/>
    <x v="1"/>
    <n v="0.99869054999999995"/>
    <x v="1"/>
  </r>
  <r>
    <n v="57"/>
    <n v="0"/>
    <n v="3"/>
    <n v="2"/>
    <n v="0"/>
    <n v="1"/>
    <n v="0"/>
    <n v="47"/>
    <n v="1"/>
    <n v="3"/>
    <n v="2"/>
    <n v="4262"/>
    <n v="2517"/>
    <n v="1745"/>
    <n v="0.68200000000000005"/>
    <n v="3943"/>
    <n v="75"/>
    <n v="0.74399999999999999"/>
    <n v="0.59099999999999997"/>
    <n v="1.8665000000000001E-4"/>
    <n v="0.99980999999999998"/>
    <s v="1.570775028824682"/>
    <s v="11.007156337792514"/>
    <s v="67.14236077645876"/>
    <s v="18.21183176910954"/>
    <n v="718329183"/>
    <x v="0"/>
    <n v="3.4692350000000002E-4"/>
    <x v="0"/>
  </r>
  <r>
    <n v="31"/>
    <n v="1"/>
    <n v="0"/>
    <n v="2"/>
    <n v="1"/>
    <n v="1"/>
    <n v="0"/>
    <n v="21"/>
    <n v="3"/>
    <n v="3"/>
    <n v="0"/>
    <n v="2158"/>
    <n v="1729"/>
    <n v="429"/>
    <n v="1.1000000000000001"/>
    <n v="1718"/>
    <n v="42"/>
    <n v="0.44800000000000001"/>
    <n v="0.80100000000000005"/>
    <s v="5.694e-05"/>
    <n v="0.99994000000000005"/>
    <s v="21.74162559857185"/>
    <s v="39.855208442378256"/>
    <s v="4.970888552018481"/>
    <s v="6.199164669279444"/>
    <n v="714851058"/>
    <x v="0"/>
    <n v="1.232702E-3"/>
    <x v="0"/>
  </r>
  <r>
    <n v="54"/>
    <n v="1"/>
    <n v="4"/>
    <n v="6"/>
    <n v="1"/>
    <n v="2"/>
    <n v="0"/>
    <n v="36"/>
    <n v="3"/>
    <n v="4"/>
    <n v="2"/>
    <n v="7477"/>
    <n v="1752"/>
    <n v="5725"/>
    <n v="0.29399999999999998"/>
    <n v="1543"/>
    <n v="34"/>
    <n v="0.17199999999999999"/>
    <n v="0.23400000000000001"/>
    <n v="2.5057999999999998E-4"/>
    <n v="0.99975000000000003"/>
    <s v="2.2150396454463137"/>
    <s v="33.00809340506989"/>
    <s v="32.21116731311578"/>
    <s v="12.899019051263387"/>
    <n v="719836083"/>
    <x v="0"/>
    <n v="1.232702E-3"/>
    <x v="0"/>
  </r>
  <r>
    <n v="46"/>
    <n v="0"/>
    <n v="3"/>
    <n v="3"/>
    <n v="1"/>
    <n v="5"/>
    <n v="0"/>
    <n v="36"/>
    <n v="5"/>
    <n v="2"/>
    <n v="2"/>
    <n v="4668"/>
    <n v="0"/>
    <n v="4668"/>
    <n v="0.89"/>
    <n v="1612"/>
    <n v="47"/>
    <n v="1.474"/>
    <n v="0"/>
    <n v="1.1482E-4"/>
    <n v="0.99988999999999995"/>
    <s v="2.531923374909854"/>
    <s v="54.75872090099625"/>
    <s v="76.97120859509869"/>
    <n v="8.4378540094100796"/>
    <n v="713480583"/>
    <x v="0"/>
    <n v="3.1488503E-3"/>
    <x v="0"/>
  </r>
  <r>
    <n v="46"/>
    <n v="0"/>
    <n v="1"/>
    <n v="2"/>
    <n v="1"/>
    <n v="1"/>
    <n v="0"/>
    <n v="26"/>
    <n v="6"/>
    <n v="3"/>
    <n v="0"/>
    <n v="2933"/>
    <n v="1569"/>
    <n v="1364"/>
    <n v="0.64800000000000002"/>
    <n v="4956"/>
    <n v="92"/>
    <n v="0.67300000000000004"/>
    <n v="0.53500000000000003"/>
    <s v="6.2282e-05"/>
    <n v="0.99994000000000005"/>
    <s v="3.1921071217009485"/>
    <s v="53.63042711107074"/>
    <n v="43.312164283467901"/>
    <s v="20.638536670447817"/>
    <n v="709051533"/>
    <x v="0"/>
    <n v="3.2101269999999999E-4"/>
    <x v="0"/>
  </r>
  <r>
    <n v="41"/>
    <n v="0"/>
    <n v="3"/>
    <n v="0"/>
    <n v="1"/>
    <n v="4"/>
    <n v="0"/>
    <n v="31"/>
    <n v="2"/>
    <n v="2"/>
    <n v="2"/>
    <n v="4086"/>
    <n v="1974"/>
    <n v="2112"/>
    <n v="0.77500000000000002"/>
    <n v="7932"/>
    <n v="87"/>
    <n v="0.64200000000000002"/>
    <n v="0.48299999999999998"/>
    <n v="1.1483E-4"/>
    <n v="0.99988999999999995"/>
    <s v="41.22521167560679"/>
    <s v="15.910838907577554"/>
    <s v="110.87185146180448"/>
    <s v="17.69249221492005"/>
    <n v="812794983"/>
    <x v="0"/>
    <n v="3.7789578000000003E-4"/>
    <x v="0"/>
  </r>
  <r>
    <n v="41"/>
    <n v="1"/>
    <n v="2"/>
    <n v="0"/>
    <n v="2"/>
    <n v="3"/>
    <n v="0"/>
    <n v="35"/>
    <n v="6"/>
    <n v="3"/>
    <n v="3"/>
    <n v="2647"/>
    <n v="620"/>
    <n v="2027"/>
    <n v="0.66400000000000003"/>
    <n v="2262"/>
    <n v="47"/>
    <n v="0.42399999999999999"/>
    <n v="0.23400000000000001"/>
    <n v="2.9410999999999999E-4"/>
    <n v="0.99970999999999999"/>
    <s v="13.319768973720922"/>
    <s v="22.69245894454601"/>
    <s v="6.119133979333665"/>
    <s v="4.354855636150302"/>
    <n v="790225758"/>
    <x v="0"/>
    <n v="3.2933910000000001E-3"/>
    <x v="0"/>
  </r>
  <r>
    <n v="49"/>
    <n v="1"/>
    <n v="4"/>
    <n v="2"/>
    <n v="1"/>
    <n v="3"/>
    <n v="0"/>
    <n v="29"/>
    <n v="2"/>
    <n v="2"/>
    <n v="3"/>
    <n v="9959"/>
    <n v="2216"/>
    <n v="7743"/>
    <n v="0.747"/>
    <n v="15139"/>
    <n v="90"/>
    <n v="0.83699999999999997"/>
    <n v="0.223"/>
    <n v="2.0076999999999999E-4"/>
    <n v="0.99980000000000002"/>
    <s v="60.11189911124254"/>
    <s v="5.488269029752438"/>
    <s v="1.9866219628938773"/>
    <s v="18.170183771676577"/>
    <n v="709108533"/>
    <x v="0"/>
    <n v="3.4656386999999997E-4"/>
    <x v="0"/>
  </r>
  <r>
    <n v="42"/>
    <n v="0"/>
    <n v="2"/>
    <n v="3"/>
    <n v="1"/>
    <n v="4"/>
    <n v="0"/>
    <n v="30"/>
    <n v="6"/>
    <n v="1"/>
    <n v="1"/>
    <n v="3124"/>
    <n v="0"/>
    <n v="3124"/>
    <n v="0.879"/>
    <n v="4986"/>
    <n v="79"/>
    <n v="0.79500000000000004"/>
    <n v="0"/>
    <s v="3.2288e-05"/>
    <n v="0.99997000000000003"/>
    <s v="14.913229168937002"/>
    <s v="27.54371722450448"/>
    <n v="11.729227457267401"/>
    <s v="12.190711252254404"/>
    <n v="712171158"/>
    <x v="0"/>
    <n v="7.1049936000000004E-4"/>
    <x v="0"/>
  </r>
  <r>
    <n v="52"/>
    <n v="0"/>
    <n v="1"/>
    <n v="5"/>
    <n v="2"/>
    <n v="5"/>
    <n v="0"/>
    <n v="47"/>
    <n v="6"/>
    <n v="1"/>
    <n v="3"/>
    <n v="4058"/>
    <n v="1349"/>
    <n v="2709"/>
    <n v="0.72299999999999998"/>
    <n v="4388"/>
    <n v="72"/>
    <n v="0.6"/>
    <n v="0.33200000000000002"/>
    <s v="8.9404e-05"/>
    <n v="0.99990999999999997"/>
    <s v="13.935712261777535"/>
    <s v="9.223684814860176"/>
    <s v="82.17847864619938"/>
    <s v="3.1357811738786623"/>
    <n v="810493458"/>
    <x v="0"/>
    <n v="3.2914013999999999E-4"/>
    <x v="0"/>
  </r>
  <r>
    <n v="35"/>
    <n v="0"/>
    <n v="3"/>
    <n v="2"/>
    <n v="2"/>
    <n v="4"/>
    <n v="0"/>
    <n v="31"/>
    <n v="1"/>
    <n v="3"/>
    <n v="4"/>
    <n v="1678"/>
    <n v="0"/>
    <n v="1678"/>
    <n v="0.67600000000000005"/>
    <n v="2475"/>
    <n v="61"/>
    <n v="0.69399999999999995"/>
    <n v="0"/>
    <n v="0.99814000000000003"/>
    <n v="1.8631699999999999E-3"/>
    <s v="10.67700055816796"/>
    <s v="55.424516299193854"/>
    <s v="71.61600651046804"/>
    <s v="1.0300714285585075"/>
    <n v="824560758"/>
    <x v="1"/>
    <n v="0.99195440000000001"/>
    <x v="1"/>
  </r>
  <r>
    <n v="43"/>
    <n v="0"/>
    <n v="2"/>
    <n v="0"/>
    <n v="1"/>
    <n v="4"/>
    <n v="0"/>
    <n v="36"/>
    <n v="6"/>
    <n v="2"/>
    <n v="4"/>
    <n v="6979"/>
    <n v="898"/>
    <n v="6081"/>
    <n v="0.56499999999999995"/>
    <n v="1665"/>
    <n v="44"/>
    <n v="0.375"/>
    <n v="0.129"/>
    <n v="3.1749000000000002E-4"/>
    <n v="0.99968000000000001"/>
    <n v="47.9544245906688"/>
    <s v="32.432737848776824"/>
    <n v="99.672396708146707"/>
    <s v="3.646669263784729"/>
    <n v="714709983"/>
    <x v="0"/>
    <n v="1.6249438000000001E-3"/>
    <x v="0"/>
  </r>
  <r>
    <n v="44"/>
    <n v="1"/>
    <n v="3"/>
    <n v="2"/>
    <n v="2"/>
    <n v="1"/>
    <n v="0"/>
    <n v="40"/>
    <n v="1"/>
    <n v="3"/>
    <n v="1"/>
    <n v="9199"/>
    <n v="1230"/>
    <n v="7969"/>
    <n v="0.59099999999999997"/>
    <n v="15367"/>
    <n v="123"/>
    <n v="0.68500000000000005"/>
    <n v="0.13400000000000001"/>
    <n v="1.1256000000000001E-4"/>
    <n v="0.99988999999999995"/>
    <s v="15.98196734277422"/>
    <s v="36.780707960637656"/>
    <s v="27.56605736451865"/>
    <s v="0.9308033595679356"/>
    <n v="823837158"/>
    <x v="0"/>
    <n v="3.4656386999999997E-4"/>
    <x v="0"/>
  </r>
  <r>
    <n v="62"/>
    <n v="1"/>
    <n v="1"/>
    <n v="5"/>
    <n v="2"/>
    <n v="2"/>
    <n v="0"/>
    <n v="49"/>
    <n v="4"/>
    <n v="1"/>
    <n v="2"/>
    <n v="12814"/>
    <n v="1010"/>
    <n v="11804"/>
    <n v="0.86899999999999999"/>
    <n v="3566"/>
    <n v="76"/>
    <n v="0.55100000000000005"/>
    <n v="7.9000000000000001E-2"/>
    <s v="5.3155e-05"/>
    <n v="0.99995000000000001"/>
    <s v="31.00611984206641"/>
    <s v="36.69407436226932"/>
    <s v="107.30541566652563"/>
    <s v="2.6105084566899524"/>
    <n v="769576608"/>
    <x v="0"/>
    <n v="3.4743935000000002E-4"/>
    <x v="0"/>
  </r>
  <r>
    <n v="37"/>
    <n v="1"/>
    <n v="4"/>
    <n v="2"/>
    <n v="1"/>
    <n v="3"/>
    <n v="0"/>
    <n v="26"/>
    <n v="6"/>
    <n v="2"/>
    <n v="3"/>
    <n v="2846"/>
    <n v="1818"/>
    <n v="1028"/>
    <n v="0.71099999999999997"/>
    <n v="1473"/>
    <n v="37"/>
    <n v="1.1759999999999999"/>
    <n v="0.63900000000000001"/>
    <n v="2.0076999999999999E-4"/>
    <n v="0.99980000000000002"/>
    <s v="3.6052366566079344"/>
    <s v="19.065901638573884"/>
    <s v="37.88819883765584"/>
    <s v="1.9412890882077156"/>
    <n v="752952108"/>
    <x v="0"/>
    <n v="9.8706899999999992E-4"/>
    <x v="0"/>
  </r>
  <r>
    <n v="48"/>
    <n v="0"/>
    <n v="3"/>
    <n v="0"/>
    <n v="3"/>
    <n v="5"/>
    <n v="0"/>
    <n v="40"/>
    <n v="2"/>
    <n v="6"/>
    <n v="1"/>
    <n v="2337"/>
    <n v="0"/>
    <n v="2337"/>
    <n v="0.58599999999999997"/>
    <n v="5203"/>
    <n v="90"/>
    <n v="0.76500000000000001"/>
    <n v="0"/>
    <s v="8.6389e-05"/>
    <n v="0.99990999999999997"/>
    <s v="9.942183580198428"/>
    <s v="70.38445079249445"/>
    <s v="11.034267151328244"/>
    <s v="1.1471528644050517"/>
    <n v="789507408"/>
    <x v="0"/>
    <n v="6.9517245999999998E-4"/>
    <x v="0"/>
  </r>
  <r>
    <n v="37"/>
    <n v="1"/>
    <n v="1"/>
    <n v="2"/>
    <n v="2"/>
    <n v="5"/>
    <n v="0"/>
    <n v="32"/>
    <n v="4"/>
    <n v="1"/>
    <n v="3"/>
    <n v="4397"/>
    <n v="2007"/>
    <n v="2390"/>
    <n v="0.89200000000000002"/>
    <n v="2473"/>
    <n v="47"/>
    <n v="1.1359999999999999"/>
    <n v="0.45600000000000002"/>
    <s v="8.6952e-05"/>
    <n v="0.99990999999999997"/>
    <s v="27.45172647647835"/>
    <s v="12.236234520486148"/>
    <s v="11.40222966253073"/>
    <s v="12.266691063223725"/>
    <n v="807523008"/>
    <x v="0"/>
    <n v="1.2356120000000001E-3"/>
    <x v="0"/>
  </r>
  <r>
    <n v="65"/>
    <n v="1"/>
    <n v="0"/>
    <n v="3"/>
    <n v="3"/>
    <n v="4"/>
    <n v="0"/>
    <n v="36"/>
    <n v="3"/>
    <n v="3"/>
    <n v="2"/>
    <n v="2107"/>
    <n v="1008"/>
    <n v="1099"/>
    <n v="0.95299999999999996"/>
    <n v="3913"/>
    <n v="67"/>
    <n v="0.52300000000000002"/>
    <n v="0.47799999999999998"/>
    <n v="1.5004999999999999E-4"/>
    <n v="0.99985000000000002"/>
    <s v="24.58428880012695"/>
    <s v="18.733112002456178"/>
    <s v="0.5749477718286459"/>
    <s v="15.32430528953238"/>
    <n v="720430083"/>
    <x v="0"/>
    <n v="3.3028650000000001E-4"/>
    <x v="0"/>
  </r>
  <r>
    <n v="44"/>
    <n v="1"/>
    <n v="4"/>
    <n v="6"/>
    <n v="1"/>
    <n v="0"/>
    <n v="0"/>
    <n v="31"/>
    <n v="4"/>
    <n v="3"/>
    <n v="4"/>
    <n v="34516"/>
    <n v="1197"/>
    <n v="33319"/>
    <n v="0.66900000000000004"/>
    <n v="1594"/>
    <n v="43"/>
    <n v="1.1499999999999999"/>
    <n v="3.5000000000000003E-2"/>
    <n v="5.9480000000000004E-4"/>
    <n v="0.99941000000000002"/>
    <s v="25.201421848693357"/>
    <s v="10.143930528507228"/>
    <s v="30.18806724015101"/>
    <s v="6.552998069312212"/>
    <n v="788677533"/>
    <x v="0"/>
    <n v="1.1310326999999999E-3"/>
    <x v="0"/>
  </r>
  <r>
    <n v="51"/>
    <n v="0"/>
    <n v="2"/>
    <n v="6"/>
    <n v="1"/>
    <n v="1"/>
    <n v="0"/>
    <n v="36"/>
    <n v="2"/>
    <n v="3"/>
    <n v="2"/>
    <n v="1438.3"/>
    <n v="1141"/>
    <n v="297.3"/>
    <n v="0.69"/>
    <n v="4485"/>
    <n v="85"/>
    <n v="0.88900000000000001"/>
    <n v="0.79300000000000004"/>
    <n v="1.9771E-4"/>
    <n v="0.99980000000000002"/>
    <s v="46.99671062132976"/>
    <s v="19.818828116252057"/>
    <s v="34.382058291122874"/>
    <s v="1.9585989559891772"/>
    <n v="711381183"/>
    <x v="0"/>
    <n v="3.2101269999999999E-4"/>
    <x v="0"/>
  </r>
  <r>
    <n v="61"/>
    <n v="0"/>
    <n v="1"/>
    <n v="2"/>
    <n v="2"/>
    <n v="4"/>
    <n v="0"/>
    <n v="52"/>
    <n v="3"/>
    <n v="3"/>
    <n v="1"/>
    <n v="1438.3"/>
    <n v="0"/>
    <n v="1438.3"/>
    <n v="0.92500000000000004"/>
    <n v="3560"/>
    <n v="67"/>
    <n v="0.86099999999999999"/>
    <n v="0"/>
    <n v="1.0182E-4"/>
    <n v="0.99990000000000001"/>
    <s v="33.19469237028706"/>
    <s v="31.744764037741103"/>
    <s v="8.841174023445145"/>
    <s v="5.319931297327631"/>
    <n v="789945933"/>
    <x v="0"/>
    <n v="7.6884776000000002E-4"/>
    <x v="0"/>
  </r>
  <r>
    <n v="48"/>
    <n v="1"/>
    <n v="3"/>
    <n v="2"/>
    <n v="2"/>
    <n v="1"/>
    <n v="0"/>
    <n v="36"/>
    <n v="5"/>
    <n v="2"/>
    <n v="3"/>
    <n v="6880"/>
    <n v="1390"/>
    <n v="5490"/>
    <n v="1.2050000000000001"/>
    <n v="1784"/>
    <n v="35"/>
    <n v="0.94399999999999995"/>
    <n v="0.20200000000000001"/>
    <n v="1.9864000000000001E-4"/>
    <n v="0.99980000000000002"/>
    <s v="15.16327128685982"/>
    <s v="33.54587977433845"/>
    <s v="116.01935872112014"/>
    <s v="7.233261127744667"/>
    <n v="721469433"/>
    <x v="0"/>
    <n v="9.8706899999999992E-4"/>
    <x v="0"/>
  </r>
  <r>
    <n v="53"/>
    <n v="0"/>
    <n v="1"/>
    <n v="2"/>
    <n v="2"/>
    <n v="4"/>
    <n v="0"/>
    <n v="45"/>
    <n v="3"/>
    <n v="1"/>
    <n v="2"/>
    <n v="3471"/>
    <n v="1785"/>
    <n v="1686"/>
    <n v="1.0509999999999999"/>
    <n v="1052"/>
    <n v="24"/>
    <n v="0.71399999999999997"/>
    <n v="0.51400000000000001"/>
    <s v="5.1697e-05"/>
    <n v="0.99995000000000001"/>
    <n v="3.83516073187144"/>
    <s v="60.970560572938815"/>
    <s v="15.307674043345642"/>
    <s v="8.410452078138096"/>
    <n v="708967608"/>
    <x v="0"/>
    <n v="1.1493553E-3"/>
    <x v="0"/>
  </r>
  <r>
    <n v="42"/>
    <n v="0"/>
    <n v="3"/>
    <n v="6"/>
    <n v="1"/>
    <n v="1"/>
    <n v="0"/>
    <n v="36"/>
    <n v="4"/>
    <n v="2"/>
    <n v="3"/>
    <n v="1438.3"/>
    <n v="0"/>
    <n v="1438.3"/>
    <n v="0.57999999999999996"/>
    <n v="2191"/>
    <n v="51"/>
    <n v="0.45700000000000002"/>
    <n v="0"/>
    <n v="0.99543999999999999"/>
    <n v="4.5580500000000001E-3"/>
    <s v="11.061278657519203"/>
    <s v="37.44968833012829"/>
    <s v="11.410083923301888"/>
    <s v="25.77067428888527"/>
    <n v="713186058"/>
    <x v="1"/>
    <n v="0.99846387000000003"/>
    <x v="1"/>
  </r>
  <r>
    <n v="59"/>
    <n v="1"/>
    <n v="0"/>
    <n v="3"/>
    <n v="1"/>
    <n v="2"/>
    <n v="0"/>
    <n v="48"/>
    <n v="3"/>
    <n v="1"/>
    <n v="3"/>
    <n v="3868"/>
    <n v="1384"/>
    <n v="2484"/>
    <n v="0.63100000000000001"/>
    <n v="4716"/>
    <n v="79"/>
    <n v="0.54900000000000004"/>
    <n v="0.35799999999999998"/>
    <s v="7.7279e-05"/>
    <n v="0.99992000000000003"/>
    <n v="9.5476375027827505"/>
    <s v="13.457494967425747"/>
    <n v="67.766822961648998"/>
    <s v="7.224969583407124"/>
    <n v="772069683"/>
    <x v="0"/>
    <n v="3.2914013999999999E-4"/>
    <x v="0"/>
  </r>
  <r>
    <n v="47"/>
    <n v="0"/>
    <n v="3"/>
    <n v="6"/>
    <n v="2"/>
    <n v="4"/>
    <n v="0"/>
    <n v="38"/>
    <n v="4"/>
    <n v="2"/>
    <n v="3"/>
    <n v="1438.3"/>
    <n v="0"/>
    <n v="1438.3"/>
    <n v="1.0009999999999999"/>
    <n v="3511"/>
    <n v="64"/>
    <n v="0.88200000000000001"/>
    <n v="0"/>
    <n v="2.1834E-4"/>
    <n v="0.99978"/>
    <s v="43.47960345868033"/>
    <s v="3.738245344018816"/>
    <s v="103.09867277665715"/>
    <s v="7.857482836076523"/>
    <n v="708357183"/>
    <x v="0"/>
    <n v="7.8894076000000002E-4"/>
    <x v="0"/>
  </r>
  <r>
    <n v="49"/>
    <n v="1"/>
    <n v="2"/>
    <n v="5"/>
    <n v="1"/>
    <n v="3"/>
    <n v="0"/>
    <n v="31"/>
    <n v="1"/>
    <n v="5"/>
    <n v="3"/>
    <n v="20734"/>
    <n v="2517"/>
    <n v="18217"/>
    <n v="0.88800000000000001"/>
    <n v="8888"/>
    <n v="103"/>
    <n v="0.71699999999999997"/>
    <n v="0.121"/>
    <n v="3.4739999999999999E-4"/>
    <n v="0.99965000000000004"/>
    <s v="55.64511040985701"/>
    <s v="7.243527261792914"/>
    <s v="23.680282753055614"/>
    <s v="13.75951375928639"/>
    <n v="710814633"/>
    <x v="0"/>
    <n v="4.187773E-4"/>
    <x v="0"/>
  </r>
  <r>
    <n v="42"/>
    <n v="0"/>
    <n v="4"/>
    <n v="5"/>
    <n v="1"/>
    <n v="5"/>
    <n v="0"/>
    <n v="23"/>
    <n v="4"/>
    <n v="1"/>
    <n v="2"/>
    <n v="8348"/>
    <n v="0"/>
    <n v="8348"/>
    <n v="0.69499999999999995"/>
    <n v="15905"/>
    <n v="111"/>
    <n v="0.70799999999999996"/>
    <n v="0"/>
    <s v="5.9391e-05"/>
    <n v="0.99994000000000005"/>
    <s v="16.827784226428573"/>
    <s v="27.574577517669784"/>
    <s v="24.672338670137712"/>
    <n v="4.9864009451512104"/>
    <n v="718170033"/>
    <x v="0"/>
    <n v="7.5047980000000002E-4"/>
    <x v="0"/>
  </r>
  <r>
    <n v="55"/>
    <n v="1"/>
    <n v="2"/>
    <n v="0"/>
    <n v="1"/>
    <n v="2"/>
    <n v="0"/>
    <n v="48"/>
    <n v="4"/>
    <n v="3"/>
    <n v="2"/>
    <n v="8863"/>
    <n v="1301"/>
    <n v="7562"/>
    <n v="1.2070000000000001"/>
    <n v="1512"/>
    <n v="27"/>
    <n v="1.4550000000000001"/>
    <n v="0.14699999999999999"/>
    <n v="1.7488000000000001E-4"/>
    <n v="0.99983"/>
    <s v="0.2086163131375152"/>
    <s v="69.07378986266274"/>
    <s v="181.07043717258568"/>
    <s v="17.02796592313072"/>
    <n v="790096533"/>
    <x v="0"/>
    <n v="9.8706899999999992E-4"/>
    <x v="0"/>
  </r>
  <r>
    <n v="55"/>
    <n v="1"/>
    <n v="2"/>
    <n v="2"/>
    <n v="2"/>
    <n v="3"/>
    <n v="0"/>
    <n v="46"/>
    <n v="5"/>
    <n v="5"/>
    <n v="2"/>
    <n v="4994"/>
    <n v="0"/>
    <n v="4994"/>
    <n v="0.71699999999999997"/>
    <n v="4802"/>
    <n v="81"/>
    <n v="0.76100000000000001"/>
    <n v="0"/>
    <n v="2.009E-4"/>
    <n v="0.99980000000000002"/>
    <s v="13.495045757045284"/>
    <n v="5.78611218207317"/>
    <s v="40.43988053303463"/>
    <n v="8.9965224392383497E-2"/>
    <n v="713305233"/>
    <x v="0"/>
    <n v="6.9517245999999998E-4"/>
    <x v="0"/>
  </r>
  <r>
    <n v="52"/>
    <n v="0"/>
    <n v="4"/>
    <n v="3"/>
    <n v="2"/>
    <n v="5"/>
    <n v="0"/>
    <n v="47"/>
    <n v="6"/>
    <n v="2"/>
    <n v="3"/>
    <n v="7469"/>
    <n v="2338"/>
    <n v="5131"/>
    <n v="0.441"/>
    <n v="1212"/>
    <n v="33"/>
    <n v="0.32"/>
    <n v="0.313"/>
    <n v="1.9516999999999999E-4"/>
    <n v="0.99980000000000002"/>
    <s v="13.511213759463296"/>
    <s v="8.903862452857151"/>
    <s v="42.49165629085402"/>
    <s v="11.785468230052468"/>
    <n v="806392908"/>
    <x v="0"/>
    <n v="1.2315542E-3"/>
    <x v="0"/>
  </r>
  <r>
    <n v="41"/>
    <n v="1"/>
    <n v="3"/>
    <n v="6"/>
    <n v="3"/>
    <n v="2"/>
    <n v="0"/>
    <n v="36"/>
    <n v="4"/>
    <n v="3"/>
    <n v="1"/>
    <n v="5813"/>
    <n v="1614"/>
    <n v="4199"/>
    <n v="0.69599999999999995"/>
    <n v="4365"/>
    <n v="75"/>
    <n v="0.875"/>
    <n v="0.27800000000000002"/>
    <n v="1.2373000000000001E-4"/>
    <n v="0.99987999999999999"/>
    <s v="65.14248057737102"/>
    <s v="41.64631357168585"/>
    <s v="73.81356473668649"/>
    <s v="2.875292114868047"/>
    <n v="715932708"/>
    <x v="0"/>
    <n v="3.2101269999999999E-4"/>
    <x v="0"/>
  </r>
  <r>
    <n v="64"/>
    <n v="0"/>
    <n v="1"/>
    <n v="2"/>
    <n v="2"/>
    <n v="1"/>
    <n v="0"/>
    <n v="56"/>
    <n v="5"/>
    <n v="2"/>
    <n v="4"/>
    <n v="5152"/>
    <n v="948"/>
    <n v="4204"/>
    <n v="0.95299999999999996"/>
    <n v="4074"/>
    <n v="72"/>
    <n v="1.0569999999999999"/>
    <n v="0.184"/>
    <n v="3.0653000000000001E-4"/>
    <n v="0.99968999999999997"/>
    <s v="13.141755350129811"/>
    <s v="38.39100785674836"/>
    <s v="128.15125195261555"/>
    <s v="6.188019985351208"/>
    <n v="820633833"/>
    <x v="0"/>
    <n v="4.1553773999999997E-4"/>
    <x v="0"/>
  </r>
  <r>
    <n v="57"/>
    <n v="0"/>
    <n v="2"/>
    <n v="5"/>
    <n v="1"/>
    <n v="4"/>
    <n v="0"/>
    <n v="46"/>
    <n v="2"/>
    <n v="3"/>
    <n v="2"/>
    <n v="2129"/>
    <n v="1139"/>
    <n v="990"/>
    <n v="1.0249999999999999"/>
    <n v="4509"/>
    <n v="73"/>
    <n v="0.82499999999999996"/>
    <n v="0.53500000000000003"/>
    <n v="1.8494E-4"/>
    <n v="0.99982000000000004"/>
    <s v="2.981413219917944"/>
    <s v="7.970924519643718"/>
    <s v="7.610171342670203"/>
    <s v="6.928518486709844"/>
    <n v="715358283"/>
    <x v="0"/>
    <n v="3.221314E-4"/>
    <x v="0"/>
  </r>
  <r>
    <n v="50"/>
    <n v="0"/>
    <n v="1"/>
    <n v="5"/>
    <n v="1"/>
    <n v="4"/>
    <n v="0"/>
    <n v="43"/>
    <n v="6"/>
    <n v="3"/>
    <n v="4"/>
    <n v="1438.3"/>
    <n v="0"/>
    <n v="1438.3"/>
    <n v="1.0680000000000001"/>
    <n v="1439"/>
    <n v="41"/>
    <n v="1.05"/>
    <n v="0"/>
    <n v="4.9799999999999996E-4"/>
    <n v="0.99950000000000006"/>
    <s v="29.918166457322585"/>
    <s v="9.712845732675945"/>
    <s v="21.557101630076374"/>
    <n v="14.261114075686301"/>
    <n v="711643458"/>
    <x v="0"/>
    <n v="3.1488503E-3"/>
    <x v="0"/>
  </r>
  <r>
    <n v="44"/>
    <n v="0"/>
    <n v="2"/>
    <n v="0"/>
    <n v="3"/>
    <n v="5"/>
    <n v="0"/>
    <n v="37"/>
    <n v="4"/>
    <n v="3"/>
    <n v="3"/>
    <n v="5589"/>
    <n v="1336"/>
    <n v="4253"/>
    <n v="0.94399999999999995"/>
    <n v="4262"/>
    <n v="75"/>
    <n v="1.0269999999999999"/>
    <n v="0.23899999999999999"/>
    <n v="2.9410999999999999E-4"/>
    <n v="0.99970999999999999"/>
    <s v="18.180443265365103"/>
    <s v="16.56961378425291"/>
    <s v="19.95335565885215"/>
    <s v="21.826146762845664"/>
    <n v="749571633"/>
    <x v="0"/>
    <n v="3.3750932000000002E-4"/>
    <x v="0"/>
  </r>
  <r>
    <n v="52"/>
    <n v="0"/>
    <n v="1"/>
    <n v="3"/>
    <n v="2"/>
    <n v="4"/>
    <n v="0"/>
    <n v="43"/>
    <n v="6"/>
    <n v="2"/>
    <n v="2"/>
    <n v="2705"/>
    <n v="1581"/>
    <n v="1124"/>
    <n v="0.85099999999999998"/>
    <n v="5532"/>
    <n v="81"/>
    <n v="0.84099999999999997"/>
    <n v="0.58399999999999996"/>
    <n v="1.0386E-4"/>
    <n v="0.99990000000000001"/>
    <s v="27.297351204497517"/>
    <s v="35.13447701435465"/>
    <s v="151.28540404721116"/>
    <s v="4.233884776875479"/>
    <n v="715805133"/>
    <x v="0"/>
    <n v="5.0494296000000004E-4"/>
    <x v="0"/>
  </r>
  <r>
    <n v="59"/>
    <n v="1"/>
    <n v="0"/>
    <n v="5"/>
    <n v="2"/>
    <n v="1"/>
    <n v="0"/>
    <n v="36"/>
    <n v="3"/>
    <n v="2"/>
    <n v="2"/>
    <n v="11000"/>
    <n v="1013"/>
    <n v="9987"/>
    <n v="0.69699999999999995"/>
    <n v="7302"/>
    <n v="86"/>
    <n v="0.65400000000000003"/>
    <n v="9.1999999999999998E-2"/>
    <n v="1.0043E-4"/>
    <n v="0.99990000000000001"/>
    <s v="1.4862607862222326"/>
    <n v="6.9852593539103598"/>
    <n v="9.8887857149754302E-2"/>
    <s v="9.245204521408494"/>
    <n v="714042108"/>
    <x v="0"/>
    <n v="3.7913927000000002E-4"/>
    <x v="0"/>
  </r>
  <r>
    <n v="57"/>
    <n v="1"/>
    <n v="2"/>
    <n v="2"/>
    <n v="3"/>
    <n v="2"/>
    <n v="0"/>
    <n v="45"/>
    <n v="4"/>
    <n v="1"/>
    <n v="2"/>
    <n v="2480"/>
    <n v="1584"/>
    <n v="896"/>
    <n v="0.874"/>
    <n v="3438"/>
    <n v="66"/>
    <n v="0.78400000000000003"/>
    <n v="0.63900000000000001"/>
    <s v="5.5077e-05"/>
    <n v="0.99994000000000005"/>
    <s v="24.18306146937192"/>
    <s v="30.39463082276227"/>
    <s v="30.94787525707806"/>
    <n v="3.6895612492042699E-2"/>
    <n v="708707808"/>
    <x v="0"/>
    <n v="3.2101269999999999E-4"/>
    <x v="0"/>
  </r>
  <r>
    <n v="59"/>
    <n v="0"/>
    <n v="1"/>
    <n v="6"/>
    <n v="2"/>
    <n v="4"/>
    <n v="0"/>
    <n v="53"/>
    <n v="5"/>
    <n v="6"/>
    <n v="2"/>
    <n v="7501"/>
    <n v="2517"/>
    <n v="4984"/>
    <n v="0.66300000000000003"/>
    <n v="2280"/>
    <n v="49"/>
    <n v="0.53100000000000003"/>
    <n v="0.33600000000000002"/>
    <n v="0.99321999999999999"/>
    <n v="6.7799999999999996E-3"/>
    <s v="64.03539997174823"/>
    <n v="20.951074793438"/>
    <s v="125.23650506601042"/>
    <s v="9.516566600314004"/>
    <n v="712611108"/>
    <x v="1"/>
    <n v="0.99483573000000003"/>
    <x v="1"/>
  </r>
  <r>
    <n v="50"/>
    <n v="0"/>
    <n v="4"/>
    <n v="5"/>
    <n v="2"/>
    <n v="4"/>
    <n v="0"/>
    <n v="36"/>
    <n v="2"/>
    <n v="2"/>
    <n v="3"/>
    <n v="2477"/>
    <n v="0"/>
    <n v="2477"/>
    <n v="0.44500000000000001"/>
    <n v="2037"/>
    <n v="43"/>
    <n v="0.38700000000000001"/>
    <n v="0"/>
    <n v="0.99517999999999995"/>
    <n v="4.8199899999999997E-3"/>
    <n v="2.7067375729164298"/>
    <s v="104.64255254066344"/>
    <s v="85.00158622537676"/>
    <s v="20.341291238570115"/>
    <n v="712747758"/>
    <x v="1"/>
    <n v="0.99876772999999996"/>
    <x v="1"/>
  </r>
  <r>
    <n v="56"/>
    <n v="1"/>
    <n v="3"/>
    <n v="3"/>
    <n v="1"/>
    <n v="2"/>
    <n v="0"/>
    <n v="37"/>
    <n v="3"/>
    <n v="3"/>
    <n v="3"/>
    <n v="14551"/>
    <n v="2517"/>
    <n v="12034"/>
    <n v="0.92"/>
    <n v="1373"/>
    <n v="35"/>
    <n v="0.59099999999999997"/>
    <n v="0.17299999999999999"/>
    <n v="3.0516000000000001E-4"/>
    <n v="0.99968999999999997"/>
    <s v="65.33749928600116"/>
    <s v="38.56207297992163"/>
    <s v="21.498703135350667"/>
    <s v="18.36325767634236"/>
    <n v="708580908"/>
    <x v="0"/>
    <n v="1.1328155000000001E-3"/>
    <x v="0"/>
  </r>
  <r>
    <n v="44"/>
    <n v="0"/>
    <n v="2"/>
    <n v="5"/>
    <n v="1"/>
    <n v="4"/>
    <n v="0"/>
    <n v="34"/>
    <n v="3"/>
    <n v="3"/>
    <n v="1"/>
    <n v="2296"/>
    <n v="0"/>
    <n v="2296"/>
    <n v="0.749"/>
    <n v="5108"/>
    <n v="87"/>
    <n v="0.74"/>
    <n v="0"/>
    <n v="1.1153E-4"/>
    <n v="0.99988999999999995"/>
    <n v="9.3008903971393906"/>
    <s v="78.77030651692219"/>
    <s v="61.14621169760305"/>
    <s v="1.0687282241154306"/>
    <n v="720582558"/>
    <x v="0"/>
    <n v="6.9517245999999998E-4"/>
    <x v="0"/>
  </r>
  <r>
    <n v="49"/>
    <n v="1"/>
    <n v="2"/>
    <n v="6"/>
    <n v="2"/>
    <n v="3"/>
    <n v="0"/>
    <n v="43"/>
    <n v="3"/>
    <n v="3"/>
    <n v="5"/>
    <n v="4939"/>
    <n v="1190"/>
    <n v="3749"/>
    <n v="0.55700000000000005"/>
    <n v="3764"/>
    <n v="64"/>
    <n v="0.52400000000000002"/>
    <n v="0.24099999999999999"/>
    <n v="9.8108000000000006E-4"/>
    <n v="0.99902000000000002"/>
    <s v="13.621209567302683"/>
    <n v="5.5021394473487399"/>
    <s v="33.36654032086649"/>
    <n v="4.98305146500861"/>
    <n v="786566733"/>
    <x v="0"/>
    <n v="2.6887154E-2"/>
    <x v="0"/>
  </r>
  <r>
    <n v="37"/>
    <n v="1"/>
    <n v="3"/>
    <n v="2"/>
    <n v="1"/>
    <n v="2"/>
    <n v="0"/>
    <n v="23"/>
    <n v="4"/>
    <n v="3"/>
    <n v="2"/>
    <n v="3034"/>
    <n v="2167"/>
    <n v="867"/>
    <n v="0.71099999999999997"/>
    <n v="2058"/>
    <n v="49"/>
    <n v="0.48499999999999999"/>
    <n v="0.71399999999999997"/>
    <n v="1.8665000000000001E-4"/>
    <n v="0.99980999999999998"/>
    <s v="38.87207626252529"/>
    <s v="15.945734675297947"/>
    <s v="162.79067265942382"/>
    <s v="6.152456846005846"/>
    <n v="720158208"/>
    <x v="0"/>
    <n v="1.237803E-3"/>
    <x v="0"/>
  </r>
  <r>
    <n v="46"/>
    <n v="1"/>
    <n v="2"/>
    <n v="0"/>
    <n v="2"/>
    <n v="3"/>
    <n v="0"/>
    <n v="41"/>
    <n v="4"/>
    <n v="2"/>
    <n v="0"/>
    <n v="21526"/>
    <n v="2332"/>
    <n v="19194"/>
    <n v="0.755"/>
    <n v="1313"/>
    <n v="37"/>
    <n v="0.60899999999999999"/>
    <n v="0.108"/>
    <s v="4.082e-05"/>
    <n v="0.99995999999999996"/>
    <n v="6.4053831644593897"/>
    <s v="37.515551884381466"/>
    <s v="1.3116412912764683"/>
    <s v="2.3036651831107333"/>
    <n v="809296308"/>
    <x v="0"/>
    <n v="1.0598798E-3"/>
    <x v="0"/>
  </r>
  <r>
    <n v="34"/>
    <n v="0"/>
    <n v="2"/>
    <n v="2"/>
    <n v="1"/>
    <n v="4"/>
    <n v="0"/>
    <n v="29"/>
    <n v="5"/>
    <n v="2"/>
    <n v="2"/>
    <n v="5845"/>
    <n v="0"/>
    <n v="5845"/>
    <n v="0.504"/>
    <n v="2308"/>
    <n v="35"/>
    <n v="0.59099999999999997"/>
    <n v="0"/>
    <n v="0.99129"/>
    <n v="8.7100000000000007E-3"/>
    <s v="50.01935505700327"/>
    <s v="83.28699695982544"/>
    <s v="47.68914643000421"/>
    <s v="17.817657329651347"/>
    <n v="713492583"/>
    <x v="1"/>
    <n v="0.99873226999999998"/>
    <x v="1"/>
  </r>
  <r>
    <n v="56"/>
    <n v="0"/>
    <n v="2"/>
    <n v="3"/>
    <n v="1"/>
    <n v="1"/>
    <n v="0"/>
    <n v="41"/>
    <n v="5"/>
    <n v="3"/>
    <n v="2"/>
    <n v="2771"/>
    <n v="1446"/>
    <n v="1325"/>
    <n v="0.68600000000000005"/>
    <n v="1706"/>
    <n v="27"/>
    <n v="0.22700000000000001"/>
    <n v="0.52200000000000002"/>
    <n v="1.7485999999999999E-4"/>
    <n v="0.99983"/>
    <s v="20.22017360752657"/>
    <s v="30.301504043225343"/>
    <s v="7.703968738349242"/>
    <s v="5.505383115895603"/>
    <n v="787430733"/>
    <x v="0"/>
    <n v="1.1982243E-3"/>
    <x v="0"/>
  </r>
  <r>
    <n v="42"/>
    <n v="0"/>
    <n v="3"/>
    <n v="2"/>
    <n v="2"/>
    <n v="4"/>
    <n v="0"/>
    <n v="32"/>
    <n v="2"/>
    <n v="2"/>
    <n v="3"/>
    <n v="3391"/>
    <n v="1359"/>
    <n v="2032"/>
    <n v="0.66200000000000003"/>
    <n v="13212"/>
    <n v="107"/>
    <n v="0.64600000000000002"/>
    <n v="0.40100000000000002"/>
    <n v="1.9864000000000001E-4"/>
    <n v="0.99980000000000002"/>
    <s v="48.59754958172012"/>
    <s v="0.3586019987304021"/>
    <s v="56.47358221760951"/>
    <s v="8.009178423585885"/>
    <n v="715754133"/>
    <x v="0"/>
    <n v="3.5533762999999998E-4"/>
    <x v="0"/>
  </r>
  <r>
    <n v="32"/>
    <n v="0"/>
    <n v="2"/>
    <n v="4"/>
    <n v="1"/>
    <n v="1"/>
    <n v="0"/>
    <n v="24"/>
    <n v="5"/>
    <n v="3"/>
    <n v="1"/>
    <n v="1553"/>
    <n v="1177"/>
    <n v="376"/>
    <n v="0.63800000000000001"/>
    <n v="4549"/>
    <n v="68"/>
    <n v="0.65900000000000003"/>
    <n v="0.75800000000000001"/>
    <n v="1.2763999999999999E-4"/>
    <n v="0.99987000000000004"/>
    <s v="83.56596493251284"/>
    <s v="61.751258944284885"/>
    <s v="135.38053301413558"/>
    <s v="13.272249491809156"/>
    <n v="710926383"/>
    <x v="0"/>
    <n v="3.2101269999999999E-4"/>
    <x v="0"/>
  </r>
  <r>
    <n v="46"/>
    <n v="0"/>
    <n v="2"/>
    <n v="2"/>
    <n v="1"/>
    <n v="5"/>
    <n v="0"/>
    <n v="40"/>
    <n v="4"/>
    <n v="5"/>
    <n v="3"/>
    <n v="3131"/>
    <n v="0"/>
    <n v="3131"/>
    <n v="0.81100000000000005"/>
    <n v="4507"/>
    <n v="93"/>
    <n v="0.63200000000000001"/>
    <n v="0"/>
    <n v="3.3786999999999999E-4"/>
    <n v="0.99965999999999999"/>
    <s v="1.8302198505246583"/>
    <s v="15.528709698799084"/>
    <s v="62.48332574352405"/>
    <n v="12.456253787297999"/>
    <n v="790204983"/>
    <x v="0"/>
    <n v="7.1276520000000004E-4"/>
    <x v="0"/>
  </r>
  <r>
    <n v="56"/>
    <n v="0"/>
    <n v="2"/>
    <n v="5"/>
    <n v="2"/>
    <n v="4"/>
    <n v="0"/>
    <n v="42"/>
    <n v="4"/>
    <n v="2"/>
    <n v="2"/>
    <n v="3495"/>
    <n v="1427"/>
    <n v="2068"/>
    <n v="0.56299999999999994"/>
    <n v="4466"/>
    <n v="85"/>
    <n v="0.88900000000000001"/>
    <n v="0.40799999999999997"/>
    <n v="1.1703E-4"/>
    <n v="0.99987999999999999"/>
    <s v="37.98317487768894"/>
    <s v="38.70520299038293"/>
    <s v="90.43101326283865"/>
    <s v="0.6576929018219928"/>
    <n v="780265458"/>
    <x v="0"/>
    <n v="3.2101269999999999E-4"/>
    <x v="0"/>
  </r>
  <r>
    <n v="58"/>
    <n v="0"/>
    <n v="3"/>
    <n v="4"/>
    <n v="2"/>
    <n v="4"/>
    <n v="0"/>
    <n v="54"/>
    <n v="4"/>
    <n v="2"/>
    <n v="3"/>
    <n v="8886"/>
    <n v="0"/>
    <n v="8886"/>
    <n v="0.69399999999999995"/>
    <n v="4148"/>
    <n v="79"/>
    <n v="0.75600000000000001"/>
    <n v="0"/>
    <n v="2.3373E-4"/>
    <n v="0.99977000000000005"/>
    <s v="11.247443003316508"/>
    <s v="70.42268675587479"/>
    <s v="92.61844743921186"/>
    <s v="15.746247402911456"/>
    <n v="824192658"/>
    <x v="0"/>
    <n v="6.9517245999999998E-4"/>
    <x v="0"/>
  </r>
  <r>
    <n v="56"/>
    <n v="1"/>
    <n v="4"/>
    <n v="0"/>
    <n v="2"/>
    <n v="3"/>
    <n v="0"/>
    <n v="41"/>
    <n v="6"/>
    <n v="1"/>
    <n v="4"/>
    <n v="17753"/>
    <n v="1899"/>
    <n v="15854"/>
    <n v="0.85099999999999998"/>
    <n v="3986"/>
    <n v="64"/>
    <n v="0.73"/>
    <n v="0.107"/>
    <n v="1.6113999999999999E-4"/>
    <n v="0.99983999999999995"/>
    <s v="17.224949763733747"/>
    <s v="43.93701525683336"/>
    <n v="45.990846664135297"/>
    <s v="16.275951765361693"/>
    <n v="789244308"/>
    <x v="0"/>
    <n v="3.3750320000000002E-4"/>
    <x v="0"/>
  </r>
  <r>
    <n v="37"/>
    <n v="1"/>
    <n v="2"/>
    <n v="1"/>
    <n v="1"/>
    <n v="1"/>
    <n v="0"/>
    <n v="29"/>
    <n v="3"/>
    <n v="3"/>
    <n v="2"/>
    <n v="1808"/>
    <n v="1009"/>
    <n v="799"/>
    <n v="0.79600000000000004"/>
    <n v="1744"/>
    <n v="35"/>
    <n v="0.94399999999999995"/>
    <n v="0.55800000000000005"/>
    <n v="2.6027999999999999E-4"/>
    <n v="0.99973999999999996"/>
    <s v="5.115161117566819"/>
    <s v="148.7707472516073"/>
    <s v="40.59096609750089"/>
    <n v="8.1561013719182895"/>
    <n v="716362008"/>
    <x v="0"/>
    <n v="1.0249399E-3"/>
    <x v="0"/>
  </r>
  <r>
    <n v="57"/>
    <n v="1"/>
    <n v="4"/>
    <n v="6"/>
    <n v="2"/>
    <n v="3"/>
    <n v="0"/>
    <n v="36"/>
    <n v="5"/>
    <n v="3"/>
    <n v="4"/>
    <n v="7558"/>
    <n v="1364"/>
    <n v="6194"/>
    <n v="0.71899999999999997"/>
    <n v="3676"/>
    <n v="67"/>
    <n v="0.55800000000000005"/>
    <n v="0.18"/>
    <n v="5.9480000000000004E-4"/>
    <n v="0.99941000000000002"/>
    <s v="34.64394522313983"/>
    <s v="54.32833622132992"/>
    <s v="108.0806312837198"/>
    <s v="1.1221711990306702"/>
    <n v="719517258"/>
    <x v="0"/>
    <n v="3.3887813E-4"/>
    <x v="0"/>
  </r>
  <r>
    <n v="65"/>
    <n v="1"/>
    <n v="2"/>
    <n v="6"/>
    <n v="2"/>
    <n v="4"/>
    <n v="0"/>
    <n v="36"/>
    <n v="4"/>
    <n v="2"/>
    <n v="3"/>
    <n v="2954"/>
    <n v="2517"/>
    <n v="437"/>
    <n v="0.61899999999999999"/>
    <n v="1909"/>
    <n v="28"/>
    <n v="0.47399999999999998"/>
    <n v="0.85199999999999998"/>
    <n v="0.99526999999999999"/>
    <n v="4.7289599999999999E-3"/>
    <s v="67.62869821762105"/>
    <s v="0.5524275703193382"/>
    <s v="58.98938528737887"/>
    <s v="4.367137519139431"/>
    <n v="719325783"/>
    <x v="1"/>
    <n v="0.99530859999999999"/>
    <x v="1"/>
  </r>
  <r>
    <n v="43"/>
    <n v="1"/>
    <n v="3"/>
    <n v="5"/>
    <n v="2"/>
    <n v="3"/>
    <n v="0"/>
    <n v="30"/>
    <n v="3"/>
    <n v="2"/>
    <n v="4"/>
    <n v="11336"/>
    <n v="0"/>
    <n v="11336"/>
    <n v="0.69099999999999995"/>
    <n v="1809"/>
    <n v="39"/>
    <n v="0.34499999999999997"/>
    <n v="0"/>
    <n v="0.99714000000000003"/>
    <n v="2.86097E-3"/>
    <s v="7.170873365001912"/>
    <s v="0.6152841255948659"/>
    <n v="37.367975255531697"/>
    <s v="3.854908754885889"/>
    <n v="708633783"/>
    <x v="1"/>
    <n v="0.99820969999999998"/>
    <x v="1"/>
  </r>
  <r>
    <n v="47"/>
    <n v="1"/>
    <n v="5"/>
    <n v="3"/>
    <n v="1"/>
    <n v="3"/>
    <n v="0"/>
    <n v="37"/>
    <n v="2"/>
    <n v="2"/>
    <n v="2"/>
    <n v="9410"/>
    <n v="0"/>
    <n v="9410"/>
    <n v="0.58599999999999997"/>
    <n v="2178"/>
    <n v="41"/>
    <n v="0.86399999999999999"/>
    <n v="0"/>
    <n v="0.99131999999999998"/>
    <n v="8.6800000000000002E-3"/>
    <s v="54.47838710639247"/>
    <s v="3.148416300005232"/>
    <s v="49.71430743640489"/>
    <n v="10.009219972806999"/>
    <n v="714659133"/>
    <x v="1"/>
    <n v="0.99845386000000003"/>
    <x v="1"/>
  </r>
  <r>
    <n v="53"/>
    <n v="0"/>
    <n v="2"/>
    <n v="1"/>
    <n v="2"/>
    <n v="5"/>
    <n v="0"/>
    <n v="49"/>
    <n v="3"/>
    <n v="2"/>
    <n v="2"/>
    <n v="4500"/>
    <n v="0"/>
    <n v="4500"/>
    <n v="0.76100000000000001"/>
    <n v="4579"/>
    <n v="78"/>
    <n v="0.81399999999999995"/>
    <n v="0"/>
    <n v="1.6470999999999999E-4"/>
    <n v="0.99983999999999995"/>
    <s v="106.80192203141335"/>
    <s v="3.761971897939428"/>
    <s v="34.253498940162686"/>
    <s v="1.0669815548889017"/>
    <n v="823624158"/>
    <x v="0"/>
    <n v="6.9517245999999998E-4"/>
    <x v="0"/>
  </r>
  <r>
    <n v="49"/>
    <n v="0"/>
    <n v="1"/>
    <n v="2"/>
    <n v="0"/>
    <n v="4"/>
    <n v="0"/>
    <n v="44"/>
    <n v="5"/>
    <n v="2"/>
    <n v="2"/>
    <n v="8687"/>
    <n v="1763"/>
    <n v="6924"/>
    <n v="0.79600000000000004"/>
    <n v="16824"/>
    <n v="123"/>
    <n v="0.70799999999999996"/>
    <n v="0.20300000000000001"/>
    <n v="1.0684E-4"/>
    <n v="0.99988999999999995"/>
    <s v="4.530081905419167"/>
    <s v="57.677035104652255"/>
    <s v="85.48935260155719"/>
    <s v="1.440764528601794"/>
    <n v="716894658"/>
    <x v="0"/>
    <n v="3.4656386999999997E-4"/>
    <x v="0"/>
  </r>
  <r>
    <n v="56"/>
    <n v="0"/>
    <n v="3"/>
    <n v="2"/>
    <n v="1"/>
    <n v="4"/>
    <n v="0"/>
    <n v="41"/>
    <n v="5"/>
    <n v="4"/>
    <n v="1"/>
    <n v="1438.3"/>
    <n v="0"/>
    <n v="1438.3"/>
    <n v="0.79600000000000004"/>
    <n v="3778"/>
    <n v="72"/>
    <n v="1.1180000000000001"/>
    <n v="0"/>
    <n v="1.3603000000000001E-4"/>
    <n v="0.99985999999999997"/>
    <s v="10.99526627958013"/>
    <s v="37.11788681963488"/>
    <s v="79.06557875553573"/>
    <s v="0.1123087470965599"/>
    <n v="788870283"/>
    <x v="0"/>
    <n v="6.9517245999999998E-4"/>
    <x v="0"/>
  </r>
  <r>
    <n v="52"/>
    <n v="0"/>
    <n v="3"/>
    <n v="5"/>
    <n v="2"/>
    <n v="4"/>
    <n v="0"/>
    <n v="41"/>
    <n v="2"/>
    <n v="1"/>
    <n v="2"/>
    <n v="1801"/>
    <n v="0"/>
    <n v="1801"/>
    <n v="0.51600000000000001"/>
    <n v="5047"/>
    <n v="79"/>
    <n v="0.75600000000000001"/>
    <n v="0"/>
    <s v="5.8763e-05"/>
    <n v="0.99994000000000005"/>
    <s v="23.188532629432583"/>
    <s v="16.079519664521808"/>
    <s v="8.755494534819878"/>
    <n v="9.8349545500272395"/>
    <n v="772346358"/>
    <x v="0"/>
    <n v="6.9517245999999998E-4"/>
    <x v="0"/>
  </r>
  <r>
    <n v="45"/>
    <n v="0"/>
    <n v="3"/>
    <n v="6"/>
    <n v="2"/>
    <n v="4"/>
    <n v="0"/>
    <n v="34"/>
    <n v="6"/>
    <n v="4"/>
    <n v="2"/>
    <n v="4975"/>
    <n v="1221"/>
    <n v="3754"/>
    <n v="0.60199999999999998"/>
    <n v="4776"/>
    <n v="68"/>
    <n v="0.88900000000000001"/>
    <n v="0.245"/>
    <n v="2.4792999999999999E-4"/>
    <n v="0.99975000000000003"/>
    <s v="62.60102515892158"/>
    <s v="28.383297047991093"/>
    <s v="137.67509632168424"/>
    <s v="19.702736068877677"/>
    <n v="717211608"/>
    <x v="0"/>
    <n v="3.2101269999999999E-4"/>
    <x v="0"/>
  </r>
  <r>
    <n v="57"/>
    <n v="1"/>
    <n v="3"/>
    <n v="2"/>
    <n v="1"/>
    <n v="3"/>
    <n v="0"/>
    <n v="46"/>
    <n v="6"/>
    <n v="2"/>
    <n v="3"/>
    <n v="5516"/>
    <n v="2517"/>
    <n v="2999"/>
    <n v="0.47299999999999998"/>
    <n v="1532"/>
    <n v="24"/>
    <n v="0.5"/>
    <n v="0.45600000000000002"/>
    <n v="1.9864000000000001E-4"/>
    <n v="0.99980000000000002"/>
    <s v="36.489017600636586"/>
    <s v="114.9330249713216"/>
    <s v="20.097716348487364"/>
    <s v="32.37554200741652"/>
    <n v="717287883"/>
    <x v="0"/>
    <n v="1.2315542E-3"/>
    <x v="0"/>
  </r>
  <r>
    <n v="61"/>
    <n v="1"/>
    <n v="0"/>
    <n v="2"/>
    <n v="1"/>
    <n v="5"/>
    <n v="0"/>
    <n v="36"/>
    <n v="2"/>
    <n v="3"/>
    <n v="3"/>
    <n v="6959"/>
    <n v="945"/>
    <n v="6014"/>
    <n v="0.81599999999999995"/>
    <n v="4553"/>
    <n v="84"/>
    <n v="0.71399999999999997"/>
    <n v="0.13600000000000001"/>
    <n v="2.5960000000000002E-4"/>
    <n v="0.99973999999999996"/>
    <s v="19.17896818681783"/>
    <s v="2.622845823589377"/>
    <s v="16.152533120529135"/>
    <s v="7.384523442588335"/>
    <n v="716067333"/>
    <x v="0"/>
    <n v="3.9522952000000002E-4"/>
    <x v="0"/>
  </r>
  <r>
    <n v="52"/>
    <n v="0"/>
    <n v="2"/>
    <n v="2"/>
    <n v="1"/>
    <n v="1"/>
    <n v="0"/>
    <n v="36"/>
    <n v="5"/>
    <n v="3"/>
    <n v="1"/>
    <n v="2396"/>
    <n v="1663"/>
    <n v="733"/>
    <n v="0.64500000000000002"/>
    <n v="4569"/>
    <n v="70"/>
    <n v="0.66700000000000004"/>
    <n v="0.69399999999999995"/>
    <n v="1.0848E-4"/>
    <n v="0.99988999999999995"/>
    <s v="5.004438865409326"/>
    <s v="41.95125401425452"/>
    <s v="14.93587167072452"/>
    <s v="7.098672000825287"/>
    <n v="712138008"/>
    <x v="0"/>
    <n v="3.2101269999999999E-4"/>
    <x v="0"/>
  </r>
  <r>
    <n v="50"/>
    <n v="0"/>
    <n v="2"/>
    <n v="5"/>
    <n v="1"/>
    <n v="4"/>
    <n v="0"/>
    <n v="45"/>
    <n v="4"/>
    <n v="1"/>
    <n v="0"/>
    <n v="5452"/>
    <n v="540"/>
    <n v="4912"/>
    <n v="0.53900000000000003"/>
    <n v="4220"/>
    <n v="66"/>
    <n v="0.73699999999999999"/>
    <n v="9.9000000000000005E-2"/>
    <s v="2.0889e-05"/>
    <n v="0.99997999999999998"/>
    <s v="26.148582501680515"/>
    <s v="60.03433123842973"/>
    <s v="68.44321170634899"/>
    <s v="6.791177666054738"/>
    <n v="808981608"/>
    <x v="0"/>
    <n v="6.7355180000000005E-4"/>
    <x v="0"/>
  </r>
  <r>
    <n v="50"/>
    <n v="0"/>
    <n v="1"/>
    <n v="5"/>
    <n v="1"/>
    <n v="4"/>
    <n v="0"/>
    <n v="36"/>
    <n v="5"/>
    <n v="2"/>
    <n v="1"/>
    <n v="2178"/>
    <n v="1731"/>
    <n v="447"/>
    <n v="0.68300000000000005"/>
    <n v="4275"/>
    <n v="71"/>
    <n v="0.69"/>
    <n v="0.79500000000000004"/>
    <s v="6.6245e-05"/>
    <n v="0.99992999999999999"/>
    <s v="44.88559534572238"/>
    <s v="25.110833226563543"/>
    <s v="34.237806337223205"/>
    <s v="2.532960704743022"/>
    <n v="709208808"/>
    <x v="0"/>
    <n v="3.2101269999999999E-4"/>
    <x v="0"/>
  </r>
  <r>
    <n v="50"/>
    <n v="1"/>
    <n v="2"/>
    <n v="3"/>
    <n v="2"/>
    <n v="2"/>
    <n v="0"/>
    <n v="40"/>
    <n v="6"/>
    <n v="2"/>
    <n v="2"/>
    <n v="5180"/>
    <n v="1211"/>
    <n v="3969"/>
    <n v="0.80900000000000005"/>
    <n v="3447"/>
    <n v="74"/>
    <n v="0.85"/>
    <n v="0.23400000000000001"/>
    <n v="1.1065000000000001E-4"/>
    <n v="0.99988999999999995"/>
    <s v="14.778843163884488"/>
    <s v="74.44130594990904"/>
    <s v="155.85115833567284"/>
    <s v="5.201648563305087"/>
    <n v="709326183"/>
    <x v="0"/>
    <n v="3.2101269999999999E-4"/>
    <x v="0"/>
  </r>
  <r>
    <n v="40"/>
    <n v="0"/>
    <n v="3"/>
    <n v="2"/>
    <n v="1"/>
    <n v="4"/>
    <n v="0"/>
    <n v="27"/>
    <n v="5"/>
    <n v="3"/>
    <n v="3"/>
    <n v="1438.3"/>
    <n v="988"/>
    <n v="450.3"/>
    <n v="0.55600000000000005"/>
    <n v="3561"/>
    <n v="72"/>
    <n v="0.5"/>
    <n v="0.68700000000000006"/>
    <n v="3.1389999999999999E-4"/>
    <n v="0.99968999999999997"/>
    <s v="29.73863734998345"/>
    <s v="34.22094805286766"/>
    <s v="56.54538053211024"/>
    <s v="4.088495619537655"/>
    <n v="708489258"/>
    <x v="0"/>
    <n v="4.0476423000000001E-4"/>
    <x v="0"/>
  </r>
  <r>
    <n v="26"/>
    <n v="0"/>
    <n v="0"/>
    <n v="2"/>
    <n v="2"/>
    <n v="4"/>
    <n v="0"/>
    <n v="22"/>
    <n v="3"/>
    <n v="1"/>
    <n v="3"/>
    <n v="1486"/>
    <n v="0"/>
    <n v="1486"/>
    <n v="0.73399999999999999"/>
    <n v="4535"/>
    <n v="82"/>
    <n v="0.90700000000000003"/>
    <n v="0"/>
    <s v="7.9494e-05"/>
    <n v="0.99992000000000003"/>
    <s v="38.84498458094824"/>
    <s v="12.451183049029042"/>
    <s v="82.25426237326772"/>
    <s v="1.8764693153419347"/>
    <n v="822051858"/>
    <x v="0"/>
    <n v="6.9517245999999998E-4"/>
    <x v="0"/>
  </r>
  <r>
    <n v="40"/>
    <n v="0"/>
    <n v="1"/>
    <n v="2"/>
    <n v="1"/>
    <n v="4"/>
    <n v="0"/>
    <n v="32"/>
    <n v="4"/>
    <n v="1"/>
    <n v="5"/>
    <n v="8749"/>
    <n v="1654"/>
    <n v="7095"/>
    <n v="0.69499999999999995"/>
    <n v="5054"/>
    <n v="73"/>
    <n v="0.55300000000000005"/>
    <n v="0.189"/>
    <n v="2.5668000000000002E-4"/>
    <n v="0.99973999999999996"/>
    <s v="39.46948482647517"/>
    <s v="17.56100348522187"/>
    <s v="141.84649854601182"/>
    <s v="7.627969099954323"/>
    <n v="710288883"/>
    <x v="0"/>
    <n v="3.2914013999999999E-4"/>
    <x v="0"/>
  </r>
  <r>
    <n v="34"/>
    <n v="0"/>
    <n v="2"/>
    <n v="3"/>
    <n v="2"/>
    <n v="4"/>
    <n v="0"/>
    <n v="21"/>
    <n v="6"/>
    <n v="1"/>
    <n v="3"/>
    <n v="5015"/>
    <n v="1671"/>
    <n v="3344"/>
    <n v="0.68899999999999995"/>
    <n v="3161"/>
    <n v="77"/>
    <n v="0.878"/>
    <n v="0.33300000000000002"/>
    <s v="9.0056e-05"/>
    <n v="0.99990999999999997"/>
    <s v="17.269804131606033"/>
    <s v="8.520430806692598"/>
    <n v="39.028284767578"/>
    <s v="5.781417220965269"/>
    <n v="710839308"/>
    <x v="0"/>
    <n v="3.2101269999999999E-4"/>
    <x v="0"/>
  </r>
  <r>
    <n v="46"/>
    <n v="0"/>
    <n v="4"/>
    <n v="6"/>
    <n v="2"/>
    <n v="1"/>
    <n v="3"/>
    <n v="35"/>
    <n v="6"/>
    <n v="3"/>
    <n v="2"/>
    <n v="16985"/>
    <n v="968"/>
    <n v="16017"/>
    <n v="0.45500000000000002"/>
    <n v="2961"/>
    <n v="56"/>
    <n v="0.64700000000000002"/>
    <n v="5.7000000000000002E-2"/>
    <n v="1.8736E-4"/>
    <n v="0.99980999999999998"/>
    <s v="24.02817097329179"/>
    <s v="24.80158030953258"/>
    <s v="9.894518252169007"/>
    <s v="6.255176697266935"/>
    <n v="710703708"/>
    <x v="0"/>
    <n v="7.518596E-4"/>
    <x v="0"/>
  </r>
  <r>
    <n v="58"/>
    <n v="0"/>
    <n v="2"/>
    <n v="5"/>
    <n v="0"/>
    <n v="4"/>
    <n v="3"/>
    <n v="46"/>
    <n v="6"/>
    <n v="1"/>
    <n v="4"/>
    <n v="11684"/>
    <n v="653"/>
    <n v="11031"/>
    <n v="0.622"/>
    <n v="4900"/>
    <n v="61"/>
    <n v="0.74299999999999999"/>
    <n v="5.6000000000000001E-2"/>
    <n v="1.4682000000000001E-4"/>
    <n v="0.99985000000000002"/>
    <s v="6.780427094756807"/>
    <s v="0.1812631878166813"/>
    <s v="8.795590153883541"/>
    <s v="10.339020529975116"/>
    <n v="720559908"/>
    <x v="0"/>
    <n v="6.5728270000000005E-4"/>
    <x v="0"/>
  </r>
  <r>
    <n v="48"/>
    <n v="0"/>
    <n v="4"/>
    <n v="0"/>
    <n v="3"/>
    <n v="5"/>
    <n v="0"/>
    <n v="36"/>
    <n v="3"/>
    <n v="2"/>
    <n v="1"/>
    <n v="3310"/>
    <n v="0"/>
    <n v="3310"/>
    <n v="0.748"/>
    <n v="14542"/>
    <n v="89"/>
    <n v="0.85399999999999998"/>
    <n v="0"/>
    <s v="6.9988e-05"/>
    <n v="0.99992999999999999"/>
    <s v="3.637133215486643"/>
    <s v="26.634367089499992"/>
    <s v="49.46220336382563"/>
    <s v="21.381256417458363"/>
    <n v="708964683"/>
    <x v="0"/>
    <n v="7.5047980000000002E-4"/>
    <x v="0"/>
  </r>
  <r>
    <n v="41"/>
    <n v="1"/>
    <n v="3"/>
    <n v="2"/>
    <n v="2"/>
    <n v="3"/>
    <n v="0"/>
    <n v="29"/>
    <n v="2"/>
    <n v="2"/>
    <n v="1"/>
    <n v="9357"/>
    <n v="1942"/>
    <n v="7415"/>
    <n v="0.8"/>
    <n v="7971"/>
    <n v="84"/>
    <n v="0.78700000000000003"/>
    <n v="0.20799999999999999"/>
    <s v="7.1226e-05"/>
    <n v="0.99992999999999999"/>
    <s v="16.66629702729519"/>
    <s v="22.75164021568813"/>
    <s v="71.14047844292458"/>
    <s v="2.8700506676371518"/>
    <n v="717257658"/>
    <x v="0"/>
    <n v="3.6856539999999998E-4"/>
    <x v="0"/>
  </r>
  <r>
    <n v="62"/>
    <n v="0"/>
    <n v="2"/>
    <n v="1"/>
    <n v="2"/>
    <n v="1"/>
    <n v="0"/>
    <n v="56"/>
    <n v="5"/>
    <n v="3"/>
    <n v="2"/>
    <n v="6797"/>
    <n v="1428"/>
    <n v="5369"/>
    <n v="0.747"/>
    <n v="3962"/>
    <n v="70"/>
    <n v="0.79500000000000004"/>
    <n v="0.21"/>
    <n v="2.6027999999999999E-4"/>
    <n v="0.99973999999999996"/>
    <s v="26.304659646802445"/>
    <s v="3.502569216439288"/>
    <s v="137.69207700992524"/>
    <s v="10.903855985839146"/>
    <n v="719357058"/>
    <x v="0"/>
    <n v="3.2101269999999999E-4"/>
    <x v="0"/>
  </r>
  <r>
    <n v="47"/>
    <n v="1"/>
    <n v="2"/>
    <n v="2"/>
    <n v="3"/>
    <n v="2"/>
    <n v="0"/>
    <n v="34"/>
    <n v="3"/>
    <n v="2"/>
    <n v="4"/>
    <n v="4249"/>
    <n v="1562"/>
    <n v="2687"/>
    <n v="0.77300000000000002"/>
    <n v="1881"/>
    <n v="49"/>
    <n v="0.81499999999999995"/>
    <n v="0.36799999999999999"/>
    <n v="3.2655999999999999E-4"/>
    <n v="0.99966999999999995"/>
    <n v="8.9065375817759893"/>
    <s v="27.29685084213605"/>
    <s v="33.56558600342811"/>
    <s v="2.276656324560103"/>
    <n v="719976558"/>
    <x v="0"/>
    <n v="9.0978643999999997E-4"/>
    <x v="0"/>
  </r>
  <r>
    <n v="46"/>
    <n v="1"/>
    <n v="4"/>
    <n v="2"/>
    <n v="2"/>
    <n v="1"/>
    <n v="0"/>
    <n v="41"/>
    <n v="5"/>
    <n v="3"/>
    <n v="2"/>
    <n v="6741"/>
    <n v="1745"/>
    <n v="4996"/>
    <n v="0.55900000000000005"/>
    <n v="1682"/>
    <n v="46"/>
    <n v="0.438"/>
    <n v="0.25900000000000001"/>
    <n v="1.8864000000000001E-4"/>
    <n v="0.99980999999999998"/>
    <s v="6.790301852768085"/>
    <n v="2.4770535134093299"/>
    <s v="5.687865311321546"/>
    <s v="15.827899464159785"/>
    <n v="818045958"/>
    <x v="0"/>
    <n v="1.1982243E-3"/>
    <x v="0"/>
  </r>
  <r>
    <n v="49"/>
    <n v="0"/>
    <n v="4"/>
    <n v="5"/>
    <n v="1"/>
    <n v="5"/>
    <n v="0"/>
    <n v="38"/>
    <n v="4"/>
    <n v="2"/>
    <n v="1"/>
    <n v="2542"/>
    <n v="850"/>
    <n v="1692"/>
    <n v="0.72299999999999998"/>
    <n v="4972"/>
    <n v="79"/>
    <n v="0.71699999999999997"/>
    <n v="0.33400000000000002"/>
    <s v="7.4017e-05"/>
    <n v="0.99992999999999999"/>
    <s v="46.80576956499405"/>
    <s v="24.16043452326976"/>
    <s v="15.234439141145568"/>
    <s v="4.603904238714996"/>
    <n v="719153433"/>
    <x v="0"/>
    <n v="4.8967317000000001E-4"/>
    <x v="0"/>
  </r>
  <r>
    <n v="63"/>
    <n v="1"/>
    <n v="1"/>
    <n v="2"/>
    <n v="2"/>
    <n v="2"/>
    <n v="0"/>
    <n v="56"/>
    <n v="3"/>
    <n v="3"/>
    <n v="2"/>
    <n v="9569"/>
    <n v="0"/>
    <n v="9569"/>
    <n v="0.94"/>
    <n v="2287"/>
    <n v="49"/>
    <n v="0.58099999999999996"/>
    <n v="0"/>
    <n v="0.99411000000000005"/>
    <n v="5.8900000000000003E-3"/>
    <s v="14.78332724178071"/>
    <s v="9.566175732268588"/>
    <s v="83.26164961343336"/>
    <s v="12.52897807539676"/>
    <n v="822955008"/>
    <x v="1"/>
    <n v="0.99850684000000001"/>
    <x v="1"/>
  </r>
  <r>
    <n v="47"/>
    <n v="1"/>
    <n v="3"/>
    <n v="4"/>
    <n v="2"/>
    <n v="2"/>
    <n v="0"/>
    <n v="36"/>
    <n v="5"/>
    <n v="3"/>
    <n v="3"/>
    <n v="5062"/>
    <n v="1996"/>
    <n v="3066"/>
    <n v="0.59099999999999997"/>
    <n v="1314"/>
    <n v="40"/>
    <n v="0.42899999999999999"/>
    <n v="0.39400000000000002"/>
    <n v="3.6935000000000001E-4"/>
    <n v="0.99963000000000002"/>
    <s v="31.64416908084373"/>
    <s v="23.12163274281693"/>
    <s v="12.108291453616005"/>
    <s v="6.852282328639999"/>
    <n v="713610033"/>
    <x v="0"/>
    <n v="1.1982243E-3"/>
    <x v="0"/>
  </r>
  <r>
    <n v="37"/>
    <n v="1"/>
    <n v="2"/>
    <n v="2"/>
    <n v="2"/>
    <n v="2"/>
    <n v="0"/>
    <n v="36"/>
    <n v="4"/>
    <n v="2"/>
    <n v="2"/>
    <n v="7638"/>
    <n v="947"/>
    <n v="6691"/>
    <n v="0.68200000000000005"/>
    <n v="2336"/>
    <n v="58"/>
    <n v="0.61099999999999999"/>
    <n v="0.124"/>
    <n v="1.1382E-4"/>
    <n v="0.99988999999999995"/>
    <s v="24.676010865733637"/>
    <s v="6.905858379177145"/>
    <s v="10.410075593338677"/>
    <s v="6.874952939700633"/>
    <n v="714816258"/>
    <x v="0"/>
    <n v="6.0790989999999999E-4"/>
    <x v="0"/>
  </r>
  <r>
    <n v="42"/>
    <n v="1"/>
    <n v="3"/>
    <n v="2"/>
    <n v="1"/>
    <n v="1"/>
    <n v="1"/>
    <n v="36"/>
    <n v="3"/>
    <n v="2"/>
    <n v="5"/>
    <n v="23981"/>
    <n v="1399"/>
    <n v="22582"/>
    <n v="0.71199999999999997"/>
    <n v="14840"/>
    <n v="125"/>
    <n v="0.76100000000000001"/>
    <n v="5.8000000000000003E-2"/>
    <n v="6.7537999999999995E-4"/>
    <n v="0.99931999999999999"/>
    <s v="26.09480882361332"/>
    <s v="58.67314287409542"/>
    <s v="57.01141989480009"/>
    <s v="7.709004402035272"/>
    <n v="715268508"/>
    <x v="0"/>
    <n v="4.8924394999999999E-4"/>
    <x v="0"/>
  </r>
  <r>
    <n v="51"/>
    <n v="0"/>
    <n v="2"/>
    <n v="2"/>
    <n v="2"/>
    <n v="4"/>
    <n v="0"/>
    <n v="39"/>
    <n v="3"/>
    <n v="4"/>
    <n v="2"/>
    <n v="2581"/>
    <n v="1722"/>
    <n v="859"/>
    <n v="0.76500000000000001"/>
    <n v="4431"/>
    <n v="79"/>
    <n v="0.71699999999999997"/>
    <n v="0.66700000000000004"/>
    <n v="2.1738000000000001E-4"/>
    <n v="0.99978"/>
    <s v="24.204515240898523"/>
    <s v="11.811020491907616"/>
    <s v="33.99217062624706"/>
    <s v="2.6122229632704137"/>
    <n v="710439483"/>
    <x v="0"/>
    <n v="3.2101269999999999E-4"/>
    <x v="0"/>
  </r>
  <r>
    <n v="51"/>
    <n v="0"/>
    <n v="3"/>
    <n v="0"/>
    <n v="1"/>
    <n v="4"/>
    <n v="0"/>
    <n v="36"/>
    <n v="6"/>
    <n v="2"/>
    <n v="2"/>
    <n v="1936"/>
    <n v="0"/>
    <n v="1936"/>
    <n v="0.70499999999999996"/>
    <n v="4072"/>
    <n v="72"/>
    <n v="0.75600000000000001"/>
    <n v="0"/>
    <n v="1.1483E-4"/>
    <n v="0.99988999999999995"/>
    <s v="20.89891402539205"/>
    <s v="28.536219066857917"/>
    <s v="34.94771602554665"/>
    <s v="24.869841544704265"/>
    <n v="711877458"/>
    <x v="0"/>
    <n v="6.9517245999999998E-4"/>
    <x v="0"/>
  </r>
  <r>
    <n v="40"/>
    <n v="1"/>
    <n v="4"/>
    <n v="3"/>
    <n v="2"/>
    <n v="1"/>
    <n v="0"/>
    <n v="32"/>
    <n v="6"/>
    <n v="4"/>
    <n v="2"/>
    <n v="2441"/>
    <n v="1656"/>
    <n v="785"/>
    <n v="0.76200000000000001"/>
    <n v="3903"/>
    <n v="62"/>
    <n v="0.82399999999999995"/>
    <n v="0.67800000000000005"/>
    <n v="2.2162000000000001E-4"/>
    <n v="0.99978"/>
    <s v="30.962253927178285"/>
    <s v="34.52632701443443"/>
    <s v="32.417088322390555"/>
    <s v="14.414041311456376"/>
    <n v="712663533"/>
    <x v="0"/>
    <n v="3.479205E-4"/>
    <x v="0"/>
  </r>
  <r>
    <n v="43"/>
    <n v="0"/>
    <n v="4"/>
    <n v="2"/>
    <n v="1"/>
    <n v="4"/>
    <n v="0"/>
    <n v="32"/>
    <n v="6"/>
    <n v="3"/>
    <n v="1"/>
    <n v="2624"/>
    <n v="1117"/>
    <n v="1507"/>
    <n v="0.82599999999999996"/>
    <n v="3929"/>
    <n v="67"/>
    <n v="0.59499999999999997"/>
    <n v="0.42599999999999999"/>
    <n v="1.1377E-4"/>
    <n v="0.99988999999999995"/>
    <n v="20.920590402099599"/>
    <s v="10.260635944690618"/>
    <s v="116.75342077767073"/>
    <s v="19.083830982916677"/>
    <n v="757224108"/>
    <x v="0"/>
    <n v="3.2914013999999999E-4"/>
    <x v="0"/>
  </r>
  <r>
    <n v="49"/>
    <n v="0"/>
    <n v="1"/>
    <n v="2"/>
    <n v="1"/>
    <n v="5"/>
    <n v="0"/>
    <n v="39"/>
    <n v="1"/>
    <n v="1"/>
    <n v="3"/>
    <n v="5455"/>
    <n v="2091"/>
    <n v="3364"/>
    <n v="0.748"/>
    <n v="4349"/>
    <n v="58"/>
    <n v="0.81200000000000006"/>
    <n v="0.38300000000000001"/>
    <s v="8.6952e-05"/>
    <n v="0.99990999999999997"/>
    <s v="19.37389724686665"/>
    <s v="29.85565392712014"/>
    <s v="62.42811632991786"/>
    <s v="7.316718288188588"/>
    <n v="714241083"/>
    <x v="0"/>
    <n v="4.4413557000000002E-4"/>
    <x v="0"/>
  </r>
  <r>
    <n v="50"/>
    <n v="1"/>
    <n v="3"/>
    <n v="6"/>
    <n v="2"/>
    <n v="0"/>
    <n v="0"/>
    <n v="33"/>
    <n v="4"/>
    <n v="1"/>
    <n v="4"/>
    <n v="17087"/>
    <n v="0"/>
    <n v="17087"/>
    <n v="0.76100000000000001"/>
    <n v="3519"/>
    <n v="70"/>
    <n v="0.59099999999999997"/>
    <n v="0"/>
    <n v="1.8024999999999999E-4"/>
    <n v="0.99982000000000004"/>
    <s v="7.804468472617567"/>
    <s v="18.990354538537545"/>
    <s v="32.92045071234499"/>
    <s v="0.4095502431528505"/>
    <n v="713362158"/>
    <x v="0"/>
    <n v="7.9661230000000003E-4"/>
    <x v="0"/>
  </r>
  <r>
    <n v="49"/>
    <n v="0"/>
    <n v="3"/>
    <n v="6"/>
    <n v="1"/>
    <n v="4"/>
    <n v="0"/>
    <n v="36"/>
    <n v="3"/>
    <n v="2"/>
    <n v="3"/>
    <n v="1438.3"/>
    <n v="0"/>
    <n v="1438.3"/>
    <n v="1.044"/>
    <n v="4553"/>
    <n v="78"/>
    <n v="1.167"/>
    <n v="0"/>
    <n v="2.1834E-4"/>
    <n v="0.99978"/>
    <s v="50.66475793473079"/>
    <s v="51.78458960687701"/>
    <s v="46.342578089037445"/>
    <s v="13.528028394337731"/>
    <n v="714571008"/>
    <x v="0"/>
    <n v="7.1297199999999998E-4"/>
    <x v="0"/>
  </r>
  <r>
    <n v="61"/>
    <n v="0"/>
    <n v="1"/>
    <n v="2"/>
    <n v="2"/>
    <n v="4"/>
    <n v="0"/>
    <n v="54"/>
    <n v="3"/>
    <n v="2"/>
    <n v="2"/>
    <n v="2721"/>
    <n v="0"/>
    <n v="2721"/>
    <n v="0.73399999999999999"/>
    <n v="2088"/>
    <n v="37"/>
    <n v="0.68200000000000005"/>
    <n v="0"/>
    <n v="1.0684E-4"/>
    <n v="0.99988999999999995"/>
    <s v="28.40462461826872"/>
    <s v="23.57937196499536"/>
    <s v="16.795323299336513"/>
    <s v="13.307557037769229"/>
    <n v="756629133"/>
    <x v="0"/>
    <n v="4.2963860000000001E-3"/>
    <x v="0"/>
  </r>
  <r>
    <n v="44"/>
    <n v="1"/>
    <n v="4"/>
    <n v="1"/>
    <n v="1"/>
    <n v="0"/>
    <n v="0"/>
    <n v="39"/>
    <n v="4"/>
    <n v="3"/>
    <n v="2"/>
    <n v="7924"/>
    <n v="2517"/>
    <n v="5407"/>
    <n v="0.66300000000000003"/>
    <n v="2393"/>
    <n v="37"/>
    <n v="0.68200000000000005"/>
    <n v="0.318"/>
    <n v="0.99634999999999996"/>
    <n v="3.64906E-3"/>
    <s v="53.55839562863814"/>
    <n v="36.105807230177902"/>
    <s v="138.5076561452881"/>
    <s v="6.426345234858413"/>
    <n v="814840833"/>
    <x v="1"/>
    <n v="0.99523925999999996"/>
    <x v="1"/>
  </r>
  <r>
    <n v="37"/>
    <n v="1"/>
    <n v="3"/>
    <n v="6"/>
    <n v="2"/>
    <n v="3"/>
    <n v="0"/>
    <n v="22"/>
    <n v="4"/>
    <n v="2"/>
    <n v="2"/>
    <n v="29898"/>
    <n v="1414"/>
    <n v="28484"/>
    <n v="0.45300000000000001"/>
    <n v="3883"/>
    <n v="68"/>
    <n v="0.7"/>
    <n v="4.7E-2"/>
    <n v="1.2982E-4"/>
    <n v="0.99987000000000004"/>
    <s v="56.58358380036738"/>
    <n v="28.165548707072698"/>
    <s v="64.81411496097155"/>
    <s v="30.599712863102773"/>
    <n v="780052008"/>
    <x v="0"/>
    <n v="3.5729867999999997E-4"/>
    <x v="0"/>
  </r>
  <r>
    <n v="47"/>
    <n v="1"/>
    <n v="3"/>
    <n v="0"/>
    <n v="1"/>
    <n v="2"/>
    <n v="0"/>
    <n v="36"/>
    <n v="5"/>
    <n v="1"/>
    <n v="3"/>
    <n v="4284"/>
    <n v="1900"/>
    <n v="2384"/>
    <n v="0.97099999999999997"/>
    <n v="4948"/>
    <n v="85"/>
    <n v="0.84799999999999998"/>
    <n v="0.44400000000000001"/>
    <s v="9.3457e-05"/>
    <n v="0.99990999999999997"/>
    <s v="18.00431984053483"/>
    <s v="52.99878930909985"/>
    <n v="74.877401695911999"/>
    <s v="28.099015261478783"/>
    <n v="719195733"/>
    <x v="0"/>
    <n v="3.221314E-4"/>
    <x v="0"/>
  </r>
  <r>
    <n v="50"/>
    <n v="1"/>
    <n v="3"/>
    <n v="3"/>
    <n v="2"/>
    <n v="1"/>
    <n v="3"/>
    <n v="44"/>
    <n v="4"/>
    <n v="3"/>
    <n v="4"/>
    <n v="19853"/>
    <n v="1513"/>
    <n v="18340"/>
    <n v="0.80200000000000005"/>
    <n v="1878"/>
    <n v="55"/>
    <n v="0.41"/>
    <n v="7.5999999999999998E-2"/>
    <n v="4.7034000000000003E-4"/>
    <n v="0.99953000000000003"/>
    <s v="2.162003899810096"/>
    <s v="18.448846808688792"/>
    <n v="77.303496393973504"/>
    <s v="13.101488253865035"/>
    <n v="793581933"/>
    <x v="0"/>
    <n v="5.8825800000000003E-4"/>
    <x v="0"/>
  </r>
  <r>
    <n v="49"/>
    <n v="1"/>
    <n v="0"/>
    <n v="2"/>
    <n v="1"/>
    <n v="2"/>
    <n v="0"/>
    <n v="29"/>
    <n v="3"/>
    <n v="3"/>
    <n v="3"/>
    <n v="1460"/>
    <n v="0"/>
    <n v="1460"/>
    <n v="0.73799999999999999"/>
    <n v="2329"/>
    <n v="36"/>
    <n v="0.5"/>
    <n v="0"/>
    <n v="0.99616000000000005"/>
    <n v="3.8363E-3"/>
    <s v="16.679085279163747"/>
    <s v="38.48607947864422"/>
    <s v="14.632353419358914"/>
    <s v="20.70317826426733"/>
    <n v="711237633"/>
    <x v="1"/>
    <n v="0.99876772999999996"/>
    <x v="1"/>
  </r>
  <r>
    <n v="43"/>
    <n v="1"/>
    <n v="2"/>
    <n v="3"/>
    <n v="1"/>
    <n v="2"/>
    <n v="0"/>
    <n v="25"/>
    <n v="3"/>
    <n v="2"/>
    <n v="3"/>
    <n v="2049"/>
    <n v="1530"/>
    <n v="519"/>
    <n v="1.3440000000000001"/>
    <n v="4521"/>
    <n v="70"/>
    <n v="0.628"/>
    <n v="0.747"/>
    <n v="1.861E-4"/>
    <n v="0.99980999999999998"/>
    <s v="15.607324584611838"/>
    <s v="67.26576224664103"/>
    <s v="120.6499866360514"/>
    <s v="8.854633483385541"/>
    <n v="710815608"/>
    <x v="0"/>
    <n v="3.3028650000000001E-4"/>
    <x v="0"/>
  </r>
  <r>
    <n v="56"/>
    <n v="0"/>
    <n v="3"/>
    <n v="5"/>
    <n v="1"/>
    <n v="1"/>
    <n v="0"/>
    <n v="46"/>
    <n v="5"/>
    <n v="3"/>
    <n v="3"/>
    <n v="2402"/>
    <n v="1892"/>
    <n v="510"/>
    <n v="0.64500000000000002"/>
    <n v="4610"/>
    <n v="76"/>
    <n v="0.81"/>
    <n v="0.78800000000000003"/>
    <n v="3.2275000000000001E-4"/>
    <n v="0.99968000000000001"/>
    <s v="8.697138304345293"/>
    <s v="34.30216096377044"/>
    <s v="47.27455273136963"/>
    <s v="17.567446309560268"/>
    <n v="714432108"/>
    <x v="0"/>
    <n v="3.2101269999999999E-4"/>
    <x v="0"/>
  </r>
  <r>
    <n v="54"/>
    <n v="0"/>
    <n v="0"/>
    <n v="6"/>
    <n v="1"/>
    <n v="5"/>
    <n v="0"/>
    <n v="36"/>
    <n v="3"/>
    <n v="1"/>
    <n v="2"/>
    <n v="8294"/>
    <n v="696"/>
    <n v="7598"/>
    <n v="0.80600000000000005"/>
    <n v="4136"/>
    <n v="77"/>
    <n v="1.2"/>
    <n v="8.4000000000000005E-2"/>
    <s v="5.1951e-05"/>
    <n v="0.99995000000000001"/>
    <s v="36.82090300151467"/>
    <s v="5.170076655073344"/>
    <s v="39.03514760793866"/>
    <s v="14.965404941950702"/>
    <n v="709273383"/>
    <x v="0"/>
    <n v="5.6052160000000001E-4"/>
    <x v="0"/>
  </r>
  <r>
    <n v="56"/>
    <n v="0"/>
    <n v="2"/>
    <n v="6"/>
    <n v="1"/>
    <n v="4"/>
    <n v="0"/>
    <n v="48"/>
    <n v="2"/>
    <n v="4"/>
    <n v="2"/>
    <n v="4746"/>
    <n v="0"/>
    <n v="4746"/>
    <n v="0.86199999999999999"/>
    <n v="7154"/>
    <n v="66"/>
    <n v="1.0620000000000001"/>
    <n v="0"/>
    <n v="0.99582999999999999"/>
    <n v="4.16681E-3"/>
    <s v="4.064939847721028"/>
    <s v="4.190559611019919"/>
    <s v="10.304823038512946"/>
    <s v="26.83258589366814"/>
    <n v="719683158"/>
    <x v="1"/>
    <n v="0.995197"/>
    <x v="1"/>
  </r>
  <r>
    <n v="49"/>
    <n v="1"/>
    <n v="2"/>
    <n v="1"/>
    <n v="1"/>
    <n v="1"/>
    <n v="0"/>
    <n v="31"/>
    <n v="2"/>
    <n v="2"/>
    <n v="2"/>
    <n v="1915"/>
    <n v="1545"/>
    <n v="370"/>
    <n v="0.77500000000000002"/>
    <n v="3911"/>
    <n v="80"/>
    <n v="0.77800000000000002"/>
    <n v="0.80700000000000005"/>
    <n v="1.6470999999999999E-4"/>
    <n v="0.99983999999999995"/>
    <s v="49.264207550959554"/>
    <s v="24.66618033111921"/>
    <s v="145.64393792141948"/>
    <s v="20.523033562503286"/>
    <n v="714943233"/>
    <x v="0"/>
    <n v="3.2101269999999999E-4"/>
    <x v="0"/>
  </r>
  <r>
    <n v="55"/>
    <n v="0"/>
    <n v="2"/>
    <n v="0"/>
    <n v="0"/>
    <n v="4"/>
    <n v="0"/>
    <n v="43"/>
    <n v="5"/>
    <n v="2"/>
    <n v="1"/>
    <n v="2239"/>
    <n v="1340"/>
    <n v="899"/>
    <n v="0.65800000000000003"/>
    <n v="4540"/>
    <n v="73"/>
    <n v="0.58699999999999997"/>
    <n v="0.59799999999999998"/>
    <s v="6.6734e-05"/>
    <n v="0.99992999999999999"/>
    <s v="1.2798329420469483"/>
    <s v="122.51246486355288"/>
    <s v="32.84166047261827"/>
    <s v="10.599052297338908"/>
    <n v="708234558"/>
    <x v="0"/>
    <n v="3.2914013999999999E-4"/>
    <x v="0"/>
  </r>
  <r>
    <n v="51"/>
    <n v="1"/>
    <n v="1"/>
    <n v="3"/>
    <n v="2"/>
    <n v="2"/>
    <n v="0"/>
    <n v="36"/>
    <n v="6"/>
    <n v="4"/>
    <n v="4"/>
    <n v="2281"/>
    <n v="1751"/>
    <n v="530"/>
    <n v="0.76100000000000001"/>
    <n v="4241"/>
    <n v="76"/>
    <n v="0.85399999999999998"/>
    <n v="0.76800000000000002"/>
    <n v="5.6901E-4"/>
    <n v="0.99943000000000004"/>
    <s v="10.639498761037762"/>
    <s v="48.468492130502185"/>
    <s v="20.087825006135223"/>
    <s v="12.841436739763406"/>
    <n v="709921158"/>
    <x v="0"/>
    <n v="3.2101269999999999E-4"/>
    <x v="0"/>
  </r>
  <r>
    <n v="46"/>
    <n v="0"/>
    <n v="5"/>
    <n v="6"/>
    <n v="2"/>
    <n v="4"/>
    <n v="0"/>
    <n v="28"/>
    <n v="3"/>
    <n v="2"/>
    <n v="3"/>
    <n v="2424"/>
    <n v="2169"/>
    <n v="255"/>
    <n v="0.61299999999999999"/>
    <n v="4209"/>
    <n v="76"/>
    <n v="0.76700000000000002"/>
    <n v="0.89500000000000002"/>
    <n v="2.1724E-4"/>
    <n v="0.99978"/>
    <s v="19.231519137326437"/>
    <s v="10.400211089468282"/>
    <s v="43.25448047746132"/>
    <s v="5.206175255062832"/>
    <n v="779486433"/>
    <x v="0"/>
    <n v="3.2101269999999999E-4"/>
    <x v="0"/>
  </r>
  <r>
    <n v="57"/>
    <n v="1"/>
    <n v="1"/>
    <n v="3"/>
    <n v="2"/>
    <n v="3"/>
    <n v="0"/>
    <n v="45"/>
    <n v="1"/>
    <n v="6"/>
    <n v="1"/>
    <n v="15030"/>
    <n v="1395"/>
    <n v="13635"/>
    <n v="0.625"/>
    <n v="7603"/>
    <n v="81"/>
    <n v="0.58799999999999997"/>
    <n v="9.2999999999999999E-2"/>
    <s v="7.8137e-05"/>
    <n v="0.99992000000000003"/>
    <s v="91.79543760255513"/>
    <s v="34.454077552705975"/>
    <s v="58.11140049350743"/>
    <s v="6.544511783168816"/>
    <n v="717583908"/>
    <x v="0"/>
    <n v="5.3257490000000005E-4"/>
    <x v="0"/>
  </r>
  <r>
    <n v="43"/>
    <n v="0"/>
    <n v="2"/>
    <n v="5"/>
    <n v="2"/>
    <n v="4"/>
    <n v="0"/>
    <n v="36"/>
    <n v="3"/>
    <n v="1"/>
    <n v="4"/>
    <n v="2573"/>
    <n v="1640"/>
    <n v="933"/>
    <n v="0.873"/>
    <n v="4094"/>
    <n v="77"/>
    <n v="0.63800000000000001"/>
    <n v="0.63700000000000001"/>
    <n v="1.6249E-4"/>
    <n v="0.99983999999999995"/>
    <s v="6.849547657298211"/>
    <s v="36.99648519229715"/>
    <s v="29.050634554440016"/>
    <s v="6.877752550567955"/>
    <n v="716530533"/>
    <x v="0"/>
    <n v="3.2914013999999999E-4"/>
    <x v="0"/>
  </r>
  <r>
    <n v="40"/>
    <n v="0"/>
    <n v="3"/>
    <n v="2"/>
    <n v="1"/>
    <n v="1"/>
    <n v="0"/>
    <n v="20"/>
    <n v="5"/>
    <n v="2"/>
    <n v="2"/>
    <n v="6247"/>
    <n v="1508"/>
    <n v="4739"/>
    <n v="1.01"/>
    <n v="5158"/>
    <n v="68"/>
    <n v="0.44700000000000001"/>
    <n v="0.24099999999999999"/>
    <n v="1.1811000000000001E-4"/>
    <n v="0.99987999999999999"/>
    <s v="13.33791128365703"/>
    <s v="1.574445855148638"/>
    <s v="111.12331104334518"/>
    <s v="13.181929066388394"/>
    <n v="714121083"/>
    <x v="0"/>
    <n v="3.7584610000000003E-4"/>
    <x v="0"/>
  </r>
  <r>
    <n v="64"/>
    <n v="1"/>
    <n v="0"/>
    <n v="1"/>
    <n v="1"/>
    <n v="1"/>
    <n v="0"/>
    <n v="56"/>
    <n v="3"/>
    <n v="2"/>
    <n v="2"/>
    <n v="4234"/>
    <n v="1893"/>
    <n v="2341"/>
    <n v="0.58499999999999996"/>
    <n v="1439"/>
    <n v="42"/>
    <n v="0.35499999999999998"/>
    <n v="0.44700000000000001"/>
    <n v="1.4134E-4"/>
    <n v="0.99985999999999997"/>
    <s v="21.903835512511588"/>
    <s v="43.34942672050815"/>
    <s v="51.942543168403056"/>
    <s v="11.494252432187846"/>
    <n v="737925558"/>
    <x v="0"/>
    <n v="1.232702E-3"/>
    <x v="0"/>
  </r>
  <r>
    <n v="42"/>
    <n v="1"/>
    <n v="4"/>
    <n v="6"/>
    <n v="2"/>
    <n v="3"/>
    <n v="0"/>
    <n v="32"/>
    <n v="6"/>
    <n v="3"/>
    <n v="5"/>
    <n v="7260"/>
    <n v="713"/>
    <n v="6547"/>
    <n v="0.83299999999999996"/>
    <n v="4253"/>
    <n v="73"/>
    <n v="0.78"/>
    <n v="9.8000000000000004E-2"/>
    <n v="1.0288999999999999E-3"/>
    <n v="0.99897000000000002"/>
    <s v="5.047860285097855"/>
    <s v="16.285993348170315"/>
    <s v="21.462713601058468"/>
    <s v="13.343225680468882"/>
    <n v="717472833"/>
    <x v="0"/>
    <n v="4.1700664999999998E-2"/>
    <x v="0"/>
  </r>
  <r>
    <n v="53"/>
    <n v="1"/>
    <n v="3"/>
    <n v="2"/>
    <n v="3"/>
    <n v="3"/>
    <n v="0"/>
    <n v="49"/>
    <n v="5"/>
    <n v="2"/>
    <n v="1"/>
    <n v="4778"/>
    <n v="1869"/>
    <n v="2909"/>
    <n v="0.74299999999999999"/>
    <n v="5489"/>
    <n v="74"/>
    <n v="0.80500000000000005"/>
    <n v="0.39100000000000001"/>
    <s v="7.1226e-05"/>
    <n v="0.99992999999999999"/>
    <s v="15.867650774804906"/>
    <s v="68.41609304194222"/>
    <s v="82.37343215066602"/>
    <s v="1.4894316355694632"/>
    <n v="826480308"/>
    <x v="0"/>
    <n v="5.5846529999999995E-4"/>
    <x v="0"/>
  </r>
  <r>
    <n v="47"/>
    <n v="0"/>
    <n v="5"/>
    <n v="2"/>
    <n v="1"/>
    <n v="4"/>
    <n v="0"/>
    <n v="42"/>
    <n v="3"/>
    <n v="5"/>
    <n v="1"/>
    <n v="2838"/>
    <n v="2517"/>
    <n v="321"/>
    <n v="0.625"/>
    <n v="3493"/>
    <n v="65"/>
    <n v="0.71099999999999997"/>
    <n v="0.88700000000000001"/>
    <n v="1.2509000000000001E-4"/>
    <n v="0.99987000000000004"/>
    <s v="11.353372485961128"/>
    <s v="11.423372765281536"/>
    <s v="16.626892992186814"/>
    <s v="12.988028731366867"/>
    <n v="715376508"/>
    <x v="0"/>
    <n v="3.5545047000000001E-4"/>
    <x v="0"/>
  </r>
  <r>
    <n v="47"/>
    <n v="1"/>
    <n v="4"/>
    <n v="2"/>
    <n v="3"/>
    <n v="1"/>
    <n v="0"/>
    <n v="34"/>
    <n v="2"/>
    <n v="3"/>
    <n v="6"/>
    <n v="9080"/>
    <n v="2174"/>
    <n v="6906"/>
    <n v="0.65300000000000002"/>
    <n v="2098"/>
    <n v="46"/>
    <n v="0.58599999999999997"/>
    <n v="0.23899999999999999"/>
    <n v="0.99939"/>
    <n v="6.0765000000000005E-4"/>
    <s v="5.658720893590364"/>
    <s v="5.344026667595459"/>
    <s v="12.274160173066308"/>
    <s v="4.554183777317263"/>
    <n v="710658483"/>
    <x v="1"/>
    <n v="0.99344902999999996"/>
    <x v="1"/>
  </r>
  <r>
    <n v="41"/>
    <n v="0"/>
    <n v="4"/>
    <n v="2"/>
    <n v="0"/>
    <n v="1"/>
    <n v="0"/>
    <n v="33"/>
    <n v="1"/>
    <n v="3"/>
    <n v="1"/>
    <n v="10360"/>
    <n v="2517"/>
    <n v="7843"/>
    <n v="0.63200000000000001"/>
    <n v="2414"/>
    <n v="28"/>
    <n v="0.27300000000000002"/>
    <n v="0.24299999999999999"/>
    <n v="0.99129"/>
    <n v="8.7100000000000007E-3"/>
    <n v="8.9826788591697202"/>
    <s v="34.414373394314055"/>
    <s v="2.9867335921473197"/>
    <s v="17.903213702130426"/>
    <n v="708809283"/>
    <x v="1"/>
    <n v="0.99643599999999999"/>
    <x v="1"/>
  </r>
  <r>
    <n v="47"/>
    <n v="1"/>
    <n v="4"/>
    <n v="2"/>
    <n v="2"/>
    <n v="3"/>
    <n v="0"/>
    <n v="42"/>
    <n v="1"/>
    <n v="1"/>
    <n v="3"/>
    <n v="7299"/>
    <n v="0"/>
    <n v="7299"/>
    <n v="0.80600000000000005"/>
    <n v="4678"/>
    <n v="83"/>
    <n v="0.72899999999999998"/>
    <n v="0"/>
    <s v="9.7154e-05"/>
    <n v="0.99990000000000001"/>
    <s v="15.114085170141692"/>
    <s v="65.91464117814922"/>
    <s v="130.2547208862905"/>
    <s v="19.43778000935709"/>
    <n v="809276808"/>
    <x v="0"/>
    <n v="6.9517245999999998E-4"/>
    <x v="0"/>
  </r>
  <r>
    <n v="57"/>
    <n v="1"/>
    <n v="3"/>
    <n v="2"/>
    <n v="1"/>
    <n v="0"/>
    <n v="0"/>
    <n v="38"/>
    <n v="2"/>
    <n v="3"/>
    <n v="3"/>
    <n v="8249"/>
    <n v="1381"/>
    <n v="6868"/>
    <n v="0.79800000000000004"/>
    <n v="678"/>
    <n v="11"/>
    <n v="0.83299999999999996"/>
    <n v="0.16700000000000001"/>
    <n v="0.99682999999999999"/>
    <n v="3.1745800000000002E-3"/>
    <s v="50.22011337724331"/>
    <s v="15.362902475985551"/>
    <s v="103.23177541987106"/>
    <s v="21.23562005064678"/>
    <n v="708330858"/>
    <x v="1"/>
    <n v="0.99517800000000001"/>
    <x v="1"/>
  </r>
  <r>
    <n v="50"/>
    <n v="0"/>
    <n v="3"/>
    <n v="6"/>
    <n v="1"/>
    <n v="4"/>
    <n v="0"/>
    <n v="42"/>
    <n v="4"/>
    <n v="1"/>
    <n v="2"/>
    <n v="2240"/>
    <n v="0"/>
    <n v="2240"/>
    <n v="0.66800000000000004"/>
    <n v="1905"/>
    <n v="39"/>
    <n v="0.34499999999999997"/>
    <n v="0"/>
    <s v="6.282e-05"/>
    <n v="0.99994000000000005"/>
    <s v="22.90880184555873"/>
    <s v="26.289876628676407"/>
    <s v="65.30343149811097"/>
    <s v="7.315025146114226"/>
    <n v="711757383"/>
    <x v="0"/>
    <n v="4.7956155999999998E-3"/>
    <x v="0"/>
  </r>
  <r>
    <n v="57"/>
    <n v="0"/>
    <n v="3"/>
    <n v="1"/>
    <n v="2"/>
    <n v="4"/>
    <n v="0"/>
    <n v="44"/>
    <n v="5"/>
    <n v="3"/>
    <n v="2"/>
    <n v="1737"/>
    <n v="813"/>
    <n v="924"/>
    <n v="0.75600000000000001"/>
    <n v="3669"/>
    <n v="58"/>
    <n v="0.81200000000000006"/>
    <n v="0.46800000000000003"/>
    <n v="2.7008000000000002E-4"/>
    <n v="0.99973000000000001"/>
    <s v="19.476210402095937"/>
    <n v="48.838935639214597"/>
    <s v="58.44545127983777"/>
    <s v="11.308584877907316"/>
    <n v="713199558"/>
    <x v="0"/>
    <n v="6.2292714999999995E-4"/>
    <x v="0"/>
  </r>
  <r>
    <n v="60"/>
    <n v="1"/>
    <n v="0"/>
    <n v="3"/>
    <n v="2"/>
    <n v="1"/>
    <n v="0"/>
    <n v="36"/>
    <n v="5"/>
    <n v="3"/>
    <n v="2"/>
    <n v="5420"/>
    <n v="0"/>
    <n v="5420"/>
    <n v="0.81"/>
    <n v="3477"/>
    <n v="60"/>
    <n v="0.622"/>
    <n v="0"/>
    <n v="1.5004999999999999E-4"/>
    <n v="0.99985000000000002"/>
    <s v="4.694448859522431"/>
    <s v="27.208040851898076"/>
    <s v="3.358810396978378"/>
    <s v="8.220089666201966"/>
    <n v="720964683"/>
    <x v="0"/>
    <n v="8.8916449999999997E-4"/>
    <x v="0"/>
  </r>
  <r>
    <n v="39"/>
    <n v="1"/>
    <n v="4"/>
    <n v="6"/>
    <n v="2"/>
    <n v="0"/>
    <n v="3"/>
    <n v="26"/>
    <n v="6"/>
    <n v="2"/>
    <n v="2"/>
    <n v="34516"/>
    <n v="2517"/>
    <n v="31999"/>
    <n v="0.88700000000000001"/>
    <n v="1689"/>
    <n v="42"/>
    <n v="1.1000000000000001"/>
    <n v="7.2999999999999995E-2"/>
    <n v="1.1856E-4"/>
    <n v="0.99987999999999999"/>
    <s v="29.48991774018732"/>
    <n v="29.370556373460001"/>
    <s v="29.282577392420816"/>
    <s v="15.487019678161424"/>
    <n v="771359958"/>
    <x v="0"/>
    <n v="1.1413090000000001E-3"/>
    <x v="0"/>
  </r>
  <r>
    <n v="32"/>
    <n v="0"/>
    <n v="4"/>
    <n v="6"/>
    <n v="1"/>
    <n v="4"/>
    <n v="0"/>
    <n v="22"/>
    <n v="6"/>
    <n v="3"/>
    <n v="3"/>
    <n v="1438.3"/>
    <n v="1056"/>
    <n v="382.3"/>
    <n v="0.98599999999999999"/>
    <n v="4885"/>
    <n v="78"/>
    <n v="1.0529999999999999"/>
    <n v="0.73399999999999999"/>
    <n v="3.4872000000000001E-4"/>
    <n v="0.99965000000000004"/>
    <s v="19.96420235157976"/>
    <s v="53.18887404089025"/>
    <s v="72.67349726591988"/>
    <s v="17.19769092883668"/>
    <n v="720895533"/>
    <x v="0"/>
    <n v="3.221314E-4"/>
    <x v="0"/>
  </r>
  <r>
    <n v="51"/>
    <n v="1"/>
    <n v="2"/>
    <n v="0"/>
    <n v="1"/>
    <n v="0"/>
    <n v="0"/>
    <n v="43"/>
    <n v="5"/>
    <n v="2"/>
    <n v="3"/>
    <n v="5232"/>
    <n v="1923"/>
    <n v="3309"/>
    <n v="0.629"/>
    <n v="4976"/>
    <n v="93"/>
    <n v="0.66100000000000003"/>
    <n v="0.36799999999999999"/>
    <n v="1.8611999999999999E-4"/>
    <n v="0.99980999999999998"/>
    <s v="4.163784801171955"/>
    <s v="24.222887632853848"/>
    <s v="160.86475833876608"/>
    <s v="14.129753715756925"/>
    <n v="713405133"/>
    <x v="0"/>
    <n v="3.2101269999999999E-4"/>
    <x v="0"/>
  </r>
  <r>
    <n v="38"/>
    <n v="1"/>
    <n v="4"/>
    <n v="0"/>
    <n v="1"/>
    <n v="3"/>
    <n v="0"/>
    <n v="27"/>
    <n v="5"/>
    <n v="2"/>
    <n v="4"/>
    <n v="10386"/>
    <n v="1909"/>
    <n v="8477"/>
    <n v="1.43"/>
    <n v="2119"/>
    <n v="52"/>
    <n v="1.08"/>
    <n v="0.184"/>
    <n v="3.3296999999999998E-4"/>
    <n v="0.99966999999999995"/>
    <s v="14.844397957911758"/>
    <s v="5.994568889477782"/>
    <s v="103.1416542439857"/>
    <n v="9.0053090106225198E-2"/>
    <n v="789235383"/>
    <x v="0"/>
    <n v="7.6157687000000002E-4"/>
    <x v="0"/>
  </r>
  <r>
    <n v="64"/>
    <n v="1"/>
    <n v="0"/>
    <n v="2"/>
    <n v="2"/>
    <n v="4"/>
    <n v="0"/>
    <n v="36"/>
    <n v="3"/>
    <n v="3"/>
    <n v="5"/>
    <n v="3812"/>
    <n v="2517"/>
    <n v="1295"/>
    <n v="0.58599999999999997"/>
    <n v="2325"/>
    <n v="45"/>
    <n v="0.73099999999999998"/>
    <n v="0.66"/>
    <n v="0.99870000000000003"/>
    <n v="1.3026699999999999E-3"/>
    <s v="19.41389917421711"/>
    <s v="21.300369913556708"/>
    <s v="45.18560158456193"/>
    <s v="14.398720280066431"/>
    <n v="716306583"/>
    <x v="1"/>
    <n v="0.99267817000000003"/>
    <x v="1"/>
  </r>
  <r>
    <n v="31"/>
    <n v="1"/>
    <n v="2"/>
    <n v="6"/>
    <n v="2"/>
    <n v="3"/>
    <n v="0"/>
    <n v="24"/>
    <n v="6"/>
    <n v="3"/>
    <n v="3"/>
    <n v="34516"/>
    <n v="1180"/>
    <n v="33336"/>
    <n v="0.80100000000000005"/>
    <n v="2329"/>
    <n v="69"/>
    <n v="0.60499999999999998"/>
    <n v="3.4000000000000002E-2"/>
    <n v="3.3251E-4"/>
    <n v="0.99966999999999995"/>
    <n v="26.542886691546801"/>
    <s v="5.969877347339995"/>
    <s v="43.490425860001466"/>
    <s v="15.18341840500053"/>
    <n v="767687208"/>
    <x v="0"/>
    <n v="4.5021408E-4"/>
    <x v="0"/>
  </r>
  <r>
    <n v="47"/>
    <n v="0"/>
    <n v="3"/>
    <n v="5"/>
    <n v="1"/>
    <n v="4"/>
    <n v="0"/>
    <n v="36"/>
    <n v="4"/>
    <n v="1"/>
    <n v="0"/>
    <n v="1611"/>
    <n v="746"/>
    <n v="865"/>
    <n v="0.99299999999999999"/>
    <n v="1413"/>
    <n v="29"/>
    <n v="0.70599999999999996"/>
    <n v="0.46300000000000002"/>
    <s v="2.1676e-05"/>
    <n v="0.99997999999999998"/>
    <s v="48.80318734903221"/>
    <s v="17.297472543228686"/>
    <s v="49.60912323556189"/>
    <s v="5.418340563734294"/>
    <n v="714264408"/>
    <x v="0"/>
    <n v="1.8112892000000001E-3"/>
    <x v="0"/>
  </r>
  <r>
    <n v="44"/>
    <n v="0"/>
    <n v="3"/>
    <n v="1"/>
    <n v="1"/>
    <n v="4"/>
    <n v="0"/>
    <n v="36"/>
    <n v="4"/>
    <n v="3"/>
    <n v="0"/>
    <n v="1975"/>
    <n v="1264"/>
    <n v="711"/>
    <n v="0.67100000000000004"/>
    <n v="2959"/>
    <n v="63"/>
    <n v="0.8"/>
    <n v="0.64"/>
    <s v="9.9638e-05"/>
    <n v="0.99990000000000001"/>
    <s v="0.5150254984744774"/>
    <s v="0.9137378558421134"/>
    <s v="102.5995224574303"/>
    <s v="4.676079155402068"/>
    <n v="711491283"/>
    <x v="0"/>
    <n v="3.9759668E-4"/>
    <x v="0"/>
  </r>
  <r>
    <n v="45"/>
    <n v="0"/>
    <n v="3"/>
    <n v="6"/>
    <n v="0"/>
    <n v="4"/>
    <n v="0"/>
    <n v="34"/>
    <n v="1"/>
    <n v="2"/>
    <n v="1"/>
    <n v="1811"/>
    <n v="787"/>
    <n v="1024"/>
    <n v="0.58499999999999996"/>
    <n v="4882"/>
    <n v="80"/>
    <n v="1.1619999999999999"/>
    <n v="0.435"/>
    <s v="7.8291e-05"/>
    <n v="0.99992000000000003"/>
    <s v="7.888335123056212"/>
    <s v="31.986340113477183"/>
    <s v="49.20176670083253"/>
    <s v="8.135854184418825"/>
    <n v="720480183"/>
    <x v="0"/>
    <n v="5.2566850000000003E-4"/>
    <x v="0"/>
  </r>
  <r>
    <n v="44"/>
    <n v="1"/>
    <n v="2"/>
    <n v="6"/>
    <n v="1"/>
    <n v="2"/>
    <n v="0"/>
    <n v="34"/>
    <n v="4"/>
    <n v="4"/>
    <n v="4"/>
    <n v="3828"/>
    <n v="1146"/>
    <n v="2682"/>
    <n v="0.68100000000000005"/>
    <n v="4558"/>
    <n v="90"/>
    <n v="0.63600000000000001"/>
    <n v="0.29899999999999999"/>
    <n v="6.8535999999999998E-4"/>
    <n v="0.99931000000000003"/>
    <s v="4.226449778909487"/>
    <s v="55.83027308099567"/>
    <s v="12.386905962989957"/>
    <s v="14.02714035550498"/>
    <n v="708615183"/>
    <x v="0"/>
    <n v="4.1746956E-4"/>
    <x v="0"/>
  </r>
  <r>
    <n v="36"/>
    <n v="1"/>
    <n v="4"/>
    <n v="2"/>
    <n v="2"/>
    <n v="3"/>
    <n v="0"/>
    <n v="36"/>
    <n v="5"/>
    <n v="3"/>
    <n v="2"/>
    <n v="10216"/>
    <n v="1822"/>
    <n v="8394"/>
    <n v="0.77800000000000002"/>
    <n v="2568"/>
    <n v="69"/>
    <n v="0.68300000000000005"/>
    <n v="0.17799999999999999"/>
    <n v="1.8864000000000001E-4"/>
    <n v="0.99980999999999998"/>
    <s v="15.766590777907874"/>
    <s v="19.59952545313734"/>
    <s v="74.79244917540747"/>
    <s v="24.440254045481822"/>
    <n v="718242333"/>
    <x v="0"/>
    <n v="3.9451056999999999E-4"/>
    <x v="0"/>
  </r>
  <r>
    <n v="36"/>
    <n v="1"/>
    <n v="3"/>
    <n v="2"/>
    <n v="0"/>
    <n v="1"/>
    <n v="0"/>
    <n v="28"/>
    <n v="4"/>
    <n v="2"/>
    <n v="3"/>
    <n v="8995"/>
    <n v="1547"/>
    <n v="7448"/>
    <n v="0.92300000000000004"/>
    <n v="2398"/>
    <n v="61"/>
    <n v="0.79400000000000004"/>
    <n v="0.17199999999999999"/>
    <n v="1.9864000000000001E-4"/>
    <n v="0.99980000000000002"/>
    <s v="16.97332596444363"/>
    <s v="0.9518145753274077"/>
    <s v="25.345676971006668"/>
    <s v="17.12763530902654"/>
    <n v="715168008"/>
    <x v="0"/>
    <n v="4.3876081999999998E-4"/>
    <x v="0"/>
  </r>
  <r>
    <n v="34"/>
    <n v="0"/>
    <n v="0"/>
    <n v="2"/>
    <n v="1"/>
    <n v="1"/>
    <n v="0"/>
    <n v="26"/>
    <n v="3"/>
    <n v="3"/>
    <n v="2"/>
    <n v="2991"/>
    <n v="1830"/>
    <n v="1161"/>
    <n v="0.77700000000000002"/>
    <n v="4414"/>
    <n v="77"/>
    <n v="0.878"/>
    <n v="0.61199999999999999"/>
    <n v="1.5435000000000001E-4"/>
    <n v="0.99985000000000002"/>
    <s v="21.107801575641503"/>
    <s v="63.38478050556522"/>
    <s v="54.02372686356268"/>
    <s v="4.459305597697649"/>
    <n v="717114708"/>
    <x v="0"/>
    <n v="3.2101269999999999E-4"/>
    <x v="0"/>
  </r>
  <r>
    <n v="50"/>
    <n v="1"/>
    <n v="2"/>
    <n v="3"/>
    <n v="2"/>
    <n v="0"/>
    <n v="0"/>
    <n v="42"/>
    <n v="1"/>
    <n v="3"/>
    <n v="2"/>
    <n v="34162"/>
    <n v="1723"/>
    <n v="32439"/>
    <n v="0.42899999999999999"/>
    <n v="7572"/>
    <n v="56"/>
    <n v="0.69699999999999995"/>
    <n v="0.05"/>
    <n v="0.99431000000000003"/>
    <n v="5.6899999999999997E-3"/>
    <s v="11.74823614796528"/>
    <n v="8.1963282211365094"/>
    <s v="109.31442343734942"/>
    <s v="2.2080585014987206"/>
    <n v="789497283"/>
    <x v="1"/>
    <n v="0.99079070000000002"/>
    <x v="1"/>
  </r>
  <r>
    <n v="46"/>
    <n v="1"/>
    <n v="4"/>
    <n v="2"/>
    <n v="1"/>
    <n v="3"/>
    <n v="0"/>
    <n v="36"/>
    <n v="2"/>
    <n v="1"/>
    <n v="1"/>
    <n v="2171"/>
    <n v="1043"/>
    <n v="1128"/>
    <n v="0.7"/>
    <n v="4531"/>
    <n v="88"/>
    <n v="0.83299999999999996"/>
    <n v="0.48"/>
    <s v="3.4833e-05"/>
    <n v="0.99997000000000003"/>
    <s v="30.145331295212564"/>
    <s v="11.004238418535266"/>
    <s v="31.802927266217733"/>
    <s v="0.5185324724930441"/>
    <n v="719925483"/>
    <x v="0"/>
    <n v="3.2101269999999999E-4"/>
    <x v="0"/>
  </r>
  <r>
    <n v="58"/>
    <n v="0"/>
    <n v="1"/>
    <n v="1"/>
    <n v="2"/>
    <n v="1"/>
    <n v="3"/>
    <n v="47"/>
    <n v="5"/>
    <n v="2"/>
    <n v="4"/>
    <n v="16677"/>
    <n v="1590"/>
    <n v="15087"/>
    <n v="0.88500000000000001"/>
    <n v="1410"/>
    <n v="37"/>
    <n v="0.60899999999999999"/>
    <n v="9.5000000000000001E-2"/>
    <n v="4.0077E-4"/>
    <n v="0.99960000000000004"/>
    <s v="25.50788395479601"/>
    <s v="35.922587385292914"/>
    <s v="98.76442539605168"/>
    <s v="16.37009728801808"/>
    <n v="780581508"/>
    <x v="0"/>
    <n v="1.0902653000000001E-3"/>
    <x v="0"/>
  </r>
  <r>
    <n v="47"/>
    <n v="1"/>
    <n v="4"/>
    <n v="2"/>
    <n v="0"/>
    <n v="3"/>
    <n v="0"/>
    <n v="39"/>
    <n v="4"/>
    <n v="3"/>
    <n v="4"/>
    <n v="17504"/>
    <n v="476"/>
    <n v="17028"/>
    <n v="0.89200000000000002"/>
    <n v="10468"/>
    <n v="66"/>
    <n v="0.73699999999999999"/>
    <n v="2.7E-2"/>
    <n v="0.99816000000000005"/>
    <n v="1.84351E-3"/>
    <n v="46.095540533848897"/>
    <s v="40.09179519140086"/>
    <n v="38.366244414679699"/>
    <s v="28.026543551216864"/>
    <n v="714471183"/>
    <x v="1"/>
    <n v="0.99414259999999999"/>
    <x v="1"/>
  </r>
  <r>
    <n v="55"/>
    <n v="0"/>
    <n v="1"/>
    <n v="5"/>
    <n v="0"/>
    <n v="1"/>
    <n v="0"/>
    <n v="47"/>
    <n v="3"/>
    <n v="2"/>
    <n v="3"/>
    <n v="2697"/>
    <n v="1863"/>
    <n v="834"/>
    <n v="0.73499999999999999"/>
    <n v="4615"/>
    <n v="81"/>
    <n v="0.68799999999999994"/>
    <n v="0.69099999999999995"/>
    <n v="1.8474999999999999E-4"/>
    <n v="0.99982000000000004"/>
    <s v="4.290783608789226"/>
    <s v="27.464356332309087"/>
    <s v="112.82371652974906"/>
    <s v="28.08945572938813"/>
    <n v="715797783"/>
    <x v="0"/>
    <n v="3.2101269999999999E-4"/>
    <x v="0"/>
  </r>
  <r>
    <n v="62"/>
    <n v="1"/>
    <n v="0"/>
    <n v="3"/>
    <n v="2"/>
    <n v="2"/>
    <n v="0"/>
    <n v="51"/>
    <n v="3"/>
    <n v="2"/>
    <n v="4"/>
    <n v="18734"/>
    <n v="0"/>
    <n v="18734"/>
    <n v="0.67400000000000004"/>
    <n v="2112"/>
    <n v="52"/>
    <n v="0.85699999999999998"/>
    <n v="0"/>
    <n v="0.99634"/>
    <n v="3.65621E-3"/>
    <s v="21.63352356372935"/>
    <s v="93.85905879100608"/>
    <s v="21.83463553618745"/>
    <s v="1.4663227142156696"/>
    <n v="709005633"/>
    <x v="1"/>
    <n v="0.99727109999999997"/>
    <x v="1"/>
  </r>
  <r>
    <n v="36"/>
    <n v="1"/>
    <n v="0"/>
    <n v="0"/>
    <n v="1"/>
    <n v="3"/>
    <n v="0"/>
    <n v="27"/>
    <n v="3"/>
    <n v="3"/>
    <n v="2"/>
    <n v="6338"/>
    <n v="2379"/>
    <n v="3959"/>
    <n v="0.624"/>
    <n v="1715"/>
    <n v="39"/>
    <n v="0.5"/>
    <n v="0.375"/>
    <n v="1.5007E-4"/>
    <n v="0.99985000000000002"/>
    <s v="13.092956216388435"/>
    <s v="49.67629556372828"/>
    <s v="43.948398708990005"/>
    <n v="9.9313287435396305"/>
    <n v="789433758"/>
    <x v="0"/>
    <n v="1.2669897000000001E-3"/>
    <x v="0"/>
  </r>
  <r>
    <n v="46"/>
    <n v="1"/>
    <n v="2"/>
    <n v="0"/>
    <n v="1"/>
    <n v="1"/>
    <n v="3"/>
    <n v="34"/>
    <n v="5"/>
    <n v="3"/>
    <n v="4"/>
    <n v="16547"/>
    <n v="0"/>
    <n v="16547"/>
    <n v="0.24199999999999999"/>
    <n v="1561"/>
    <n v="41"/>
    <n v="0.36699999999999999"/>
    <n v="0"/>
    <n v="0.99780000000000002"/>
    <n v="2.2001099999999999E-3"/>
    <n v="12.932618510028499"/>
    <s v="95.28361150295224"/>
    <s v="9.191873424482644"/>
    <s v="15.687725951641248"/>
    <n v="719881533"/>
    <x v="1"/>
    <n v="0.99815830000000005"/>
    <x v="1"/>
  </r>
  <r>
    <n v="59"/>
    <n v="0"/>
    <n v="0"/>
    <n v="0"/>
    <n v="1"/>
    <n v="4"/>
    <n v="0"/>
    <n v="51"/>
    <n v="6"/>
    <n v="1"/>
    <n v="0"/>
    <n v="1438.3"/>
    <n v="0"/>
    <n v="1438.3"/>
    <n v="0.71499999999999997"/>
    <n v="4817"/>
    <n v="81"/>
    <n v="0.68799999999999994"/>
    <n v="0"/>
    <s v="1.6949e-05"/>
    <n v="0.99997999999999998"/>
    <s v="22.259822272307872"/>
    <s v="8.994745744824316"/>
    <s v="1.2233542985348664"/>
    <s v="29.530686213752688"/>
    <n v="718670808"/>
    <x v="0"/>
    <n v="6.9517245999999998E-4"/>
    <x v="0"/>
  </r>
  <r>
    <n v="53"/>
    <n v="1"/>
    <n v="3"/>
    <n v="3"/>
    <n v="2"/>
    <n v="3"/>
    <n v="3"/>
    <n v="33"/>
    <n v="2"/>
    <n v="2"/>
    <n v="3"/>
    <n v="34516"/>
    <n v="0"/>
    <n v="34516"/>
    <n v="0.53400000000000003"/>
    <n v="6361"/>
    <n v="74"/>
    <n v="1.1140000000000001"/>
    <n v="0"/>
    <n v="0.99429999999999996"/>
    <n v="5.7000000000000002E-3"/>
    <s v="7.595445533956372"/>
    <n v="45.649234604189502"/>
    <s v="104.75420759698666"/>
    <s v="5.403082835393494"/>
    <n v="710980383"/>
    <x v="1"/>
    <n v="0.99470853999999997"/>
    <x v="1"/>
  </r>
  <r>
    <n v="46"/>
    <n v="0"/>
    <n v="4"/>
    <n v="0"/>
    <n v="2"/>
    <n v="4"/>
    <n v="0"/>
    <n v="36"/>
    <n v="6"/>
    <n v="1"/>
    <n v="2"/>
    <n v="1438.3"/>
    <n v="0"/>
    <n v="1438.3"/>
    <n v="0.749"/>
    <n v="3880"/>
    <n v="74"/>
    <n v="0.72099999999999997"/>
    <n v="0"/>
    <s v="5.6158e-05"/>
    <n v="0.99994000000000005"/>
    <s v="13.436212341984849"/>
    <s v="68.58314887182105"/>
    <s v="57.48425662394875"/>
    <s v="13.037925877567332"/>
    <n v="713171358"/>
    <x v="0"/>
    <n v="6.9517245999999998E-4"/>
    <x v="0"/>
  </r>
  <r>
    <n v="65"/>
    <n v="1"/>
    <n v="1"/>
    <n v="3"/>
    <n v="2"/>
    <n v="5"/>
    <n v="0"/>
    <n v="36"/>
    <n v="4"/>
    <n v="3"/>
    <n v="5"/>
    <n v="4465"/>
    <n v="703"/>
    <n v="3762"/>
    <n v="1.026"/>
    <n v="4044"/>
    <n v="66"/>
    <n v="0.65"/>
    <n v="0.157"/>
    <n v="8.1455999999999998E-4"/>
    <n v="0.99919000000000002"/>
    <s v="10.862433006828743"/>
    <s v="13.498590744093969"/>
    <s v="21.995445552541888"/>
    <s v="8.568722683822603"/>
    <n v="717914808"/>
    <x v="0"/>
    <n v="7.2657823000000002E-4"/>
    <x v="0"/>
  </r>
  <r>
    <n v="46"/>
    <n v="1"/>
    <n v="5"/>
    <n v="3"/>
    <n v="1"/>
    <n v="1"/>
    <n v="3"/>
    <n v="28"/>
    <n v="5"/>
    <n v="1"/>
    <n v="3"/>
    <n v="18797"/>
    <n v="2158"/>
    <n v="16639"/>
    <n v="0.44600000000000001"/>
    <n v="1364"/>
    <n v="40"/>
    <n v="0.53800000000000003"/>
    <n v="0.115"/>
    <s v="8.4008e-05"/>
    <n v="0.99992000000000003"/>
    <s v="33.100646602232466"/>
    <s v="14.828460824713108"/>
    <s v="48.45678868076768"/>
    <s v="10.910519555869527"/>
    <n v="710045058"/>
    <x v="0"/>
    <n v="1.0598798E-3"/>
    <x v="0"/>
  </r>
  <r>
    <n v="51"/>
    <n v="1"/>
    <n v="4"/>
    <n v="6"/>
    <n v="1"/>
    <n v="3"/>
    <n v="0"/>
    <n v="47"/>
    <n v="4"/>
    <n v="3"/>
    <n v="2"/>
    <n v="3861"/>
    <n v="622"/>
    <n v="3239"/>
    <n v="0.79400000000000004"/>
    <n v="4816"/>
    <n v="81"/>
    <n v="0.97599999999999998"/>
    <n v="0.161"/>
    <n v="2.0735E-4"/>
    <n v="0.99978999999999996"/>
    <s v="15.257490150035911"/>
    <s v="13.52099491855026"/>
    <s v="50.36674368942212"/>
    <s v="7.618438075370989"/>
    <n v="823908858"/>
    <x v="0"/>
    <n v="5.4489190000000002E-4"/>
    <x v="0"/>
  </r>
  <r>
    <n v="38"/>
    <n v="1"/>
    <n v="2"/>
    <n v="0"/>
    <n v="1"/>
    <n v="3"/>
    <n v="0"/>
    <n v="23"/>
    <n v="4"/>
    <n v="1"/>
    <n v="1"/>
    <n v="18226"/>
    <n v="1847"/>
    <n v="16379"/>
    <n v="0.84499999999999997"/>
    <n v="1681"/>
    <n v="43"/>
    <n v="0.87"/>
    <n v="0.10100000000000001"/>
    <s v="3.2291e-05"/>
    <n v="0.99997000000000003"/>
    <s v="0.2418395363467386"/>
    <s v="5.460824593086363"/>
    <s v="41.43884058037465"/>
    <s v="23.719408790672027"/>
    <n v="720344658"/>
    <x v="0"/>
    <n v="9.8706899999999992E-4"/>
    <x v="0"/>
  </r>
  <r>
    <n v="48"/>
    <n v="1"/>
    <n v="3"/>
    <n v="2"/>
    <n v="1"/>
    <n v="1"/>
    <n v="0"/>
    <n v="33"/>
    <n v="3"/>
    <n v="1"/>
    <n v="2"/>
    <n v="6223"/>
    <n v="2126"/>
    <n v="4097"/>
    <n v="0.68100000000000005"/>
    <n v="4518"/>
    <n v="79"/>
    <n v="0.79500000000000004"/>
    <n v="0.34200000000000003"/>
    <s v="5.7151e-05"/>
    <n v="0.99994000000000005"/>
    <s v="37.92023253294695"/>
    <s v="17.25796597705025"/>
    <s v="68.29460907262349"/>
    <s v="1.961686814385616"/>
    <n v="719709558"/>
    <x v="0"/>
    <n v="3.2101269999999999E-4"/>
    <x v="0"/>
  </r>
  <r>
    <n v="49"/>
    <n v="0"/>
    <n v="4"/>
    <n v="6"/>
    <n v="2"/>
    <n v="4"/>
    <n v="0"/>
    <n v="35"/>
    <n v="5"/>
    <n v="2"/>
    <n v="2"/>
    <n v="5195"/>
    <n v="0"/>
    <n v="5195"/>
    <n v="1.135"/>
    <n v="3313"/>
    <n v="69"/>
    <n v="0.76900000000000002"/>
    <n v="0"/>
    <n v="1.3121000000000001E-4"/>
    <n v="0.99987000000000004"/>
    <s v="25.637859434360124"/>
    <s v="64.96382125722762"/>
    <s v="46.61851030723873"/>
    <s v="18.26915845071385"/>
    <n v="721493883"/>
    <x v="0"/>
    <n v="8.0553500000000002E-4"/>
    <x v="0"/>
  </r>
  <r>
    <n v="55"/>
    <n v="0"/>
    <n v="1"/>
    <n v="3"/>
    <n v="2"/>
    <n v="4"/>
    <n v="0"/>
    <n v="43"/>
    <n v="4"/>
    <n v="2"/>
    <n v="0"/>
    <n v="2569"/>
    <n v="1403"/>
    <n v="1166"/>
    <n v="0.88600000000000001"/>
    <n v="1456"/>
    <n v="39"/>
    <n v="0.44400000000000001"/>
    <n v="0.54600000000000004"/>
    <s v="3.8311e-05"/>
    <n v="0.99995999999999996"/>
    <s v="2.4953061575984714"/>
    <s v="44.32557083259032"/>
    <s v="70.77652705989885"/>
    <s v="7.649483178155953"/>
    <n v="721347408"/>
    <x v="0"/>
    <n v="1.1982243E-3"/>
    <x v="0"/>
  </r>
  <r>
    <n v="52"/>
    <n v="0"/>
    <n v="2"/>
    <n v="2"/>
    <n v="2"/>
    <n v="5"/>
    <n v="0"/>
    <n v="46"/>
    <n v="3"/>
    <n v="3"/>
    <n v="3"/>
    <n v="8961"/>
    <n v="1382"/>
    <n v="7579"/>
    <n v="0.79700000000000004"/>
    <n v="4408"/>
    <n v="80"/>
    <n v="0.77800000000000002"/>
    <n v="0.154"/>
    <n v="3.0250999999999998E-4"/>
    <n v="0.99970000000000003"/>
    <s v="33.41985840870343"/>
    <s v="57.33642450658597"/>
    <s v="15.070781084230749"/>
    <n v="17.348615090373698"/>
    <n v="798699033"/>
    <x v="0"/>
    <n v="3.2101269999999999E-4"/>
    <x v="0"/>
  </r>
  <r>
    <n v="41"/>
    <n v="1"/>
    <n v="4"/>
    <n v="6"/>
    <n v="1"/>
    <n v="4"/>
    <n v="0"/>
    <n v="36"/>
    <n v="1"/>
    <n v="1"/>
    <n v="2"/>
    <n v="1950"/>
    <n v="998"/>
    <n v="952"/>
    <n v="0.61899999999999999"/>
    <n v="4630"/>
    <n v="84"/>
    <n v="0.71399999999999997"/>
    <n v="0.51200000000000001"/>
    <s v="6.3492e-05"/>
    <n v="0.99994000000000005"/>
    <s v="1.7413142530387806"/>
    <s v="43.59780031908574"/>
    <s v="17.934299024237106"/>
    <s v="0.5510083524222855"/>
    <n v="816826008"/>
    <x v="0"/>
    <n v="3.2101269999999999E-4"/>
    <x v="0"/>
  </r>
  <r>
    <n v="37"/>
    <n v="1"/>
    <n v="4"/>
    <n v="4"/>
    <n v="1"/>
    <n v="1"/>
    <n v="0"/>
    <n v="27"/>
    <n v="5"/>
    <n v="1"/>
    <n v="4"/>
    <n v="6859"/>
    <n v="1766"/>
    <n v="5093"/>
    <n v="1.1859999999999999"/>
    <n v="3045"/>
    <n v="56"/>
    <n v="0.69699999999999995"/>
    <n v="0.25700000000000001"/>
    <n v="1.9502000000000001E-4"/>
    <n v="0.99980000000000002"/>
    <s v="7.530675847805332"/>
    <s v="5.494854176216612"/>
    <s v="100.82099259787354"/>
    <s v="8.260127369396429"/>
    <n v="716757033"/>
    <x v="0"/>
    <n v="4.4621050000000001E-4"/>
    <x v="0"/>
  </r>
  <r>
    <n v="44"/>
    <n v="0"/>
    <n v="2"/>
    <n v="6"/>
    <n v="1"/>
    <n v="4"/>
    <n v="0"/>
    <n v="33"/>
    <n v="5"/>
    <n v="3"/>
    <n v="2"/>
    <n v="2337"/>
    <n v="698"/>
    <n v="1639"/>
    <n v="0.83599999999999997"/>
    <n v="4048"/>
    <n v="83"/>
    <n v="0.88600000000000001"/>
    <n v="0.29899999999999999"/>
    <n v="1.9771E-4"/>
    <n v="0.99980000000000002"/>
    <s v="33.201179118224736"/>
    <s v="28.904441273265512"/>
    <s v="15.786054799324356"/>
    <s v="26.31505650568738"/>
    <n v="716702358"/>
    <x v="0"/>
    <n v="5.4489190000000002E-4"/>
    <x v="0"/>
  </r>
  <r>
    <n v="36"/>
    <n v="0"/>
    <n v="2"/>
    <n v="4"/>
    <n v="2"/>
    <n v="4"/>
    <n v="0"/>
    <n v="24"/>
    <n v="5"/>
    <n v="2"/>
    <n v="4"/>
    <n v="3438"/>
    <n v="1129"/>
    <n v="2309"/>
    <n v="0.60499999999999998"/>
    <n v="2331"/>
    <n v="56"/>
    <n v="0.436"/>
    <n v="0.32800000000000001"/>
    <n v="3.8423999999999999E-4"/>
    <n v="0.99961999999999995"/>
    <s v="20.238898250235778"/>
    <s v="25.451779020777877"/>
    <s v="67.81192278006591"/>
    <s v="39.09443777696059"/>
    <n v="709204158"/>
    <x v="0"/>
    <n v="6.3249335000000004E-4"/>
    <x v="0"/>
  </r>
  <r>
    <n v="53"/>
    <n v="0"/>
    <n v="2"/>
    <n v="0"/>
    <n v="1"/>
    <n v="4"/>
    <n v="0"/>
    <n v="38"/>
    <n v="5"/>
    <n v="2"/>
    <n v="3"/>
    <n v="2650"/>
    <n v="1490"/>
    <n v="1160"/>
    <n v="1.75"/>
    <n v="1411"/>
    <n v="28"/>
    <n v="1"/>
    <n v="0.56200000000000006"/>
    <n v="1.8611999999999999E-4"/>
    <n v="0.99980999999999998"/>
    <s v="10.25359728513477"/>
    <n v="8.0775677742613592"/>
    <s v="53.58156769876798"/>
    <s v="22.24228441273636"/>
    <n v="788658483"/>
    <x v="0"/>
    <n v="9.8706899999999992E-4"/>
    <x v="0"/>
  </r>
  <r>
    <n v="55"/>
    <n v="0"/>
    <n v="2"/>
    <n v="4"/>
    <n v="1"/>
    <n v="4"/>
    <n v="0"/>
    <n v="49"/>
    <n v="4"/>
    <n v="1"/>
    <n v="1"/>
    <n v="2414"/>
    <n v="2276"/>
    <n v="138"/>
    <n v="0.56699999999999995"/>
    <n v="2000"/>
    <n v="62"/>
    <n v="0.59"/>
    <n v="0.94299999999999995"/>
    <s v="3.9082e-05"/>
    <n v="0.99995999999999996"/>
    <s v="2.247285505969586"/>
    <n v="22.460948276628798"/>
    <s v="215.9100837217923"/>
    <s v="6.332613874787608"/>
    <n v="769196433"/>
    <x v="0"/>
    <n v="4.1642736E-4"/>
    <x v="0"/>
  </r>
  <r>
    <n v="47"/>
    <n v="1"/>
    <n v="3"/>
    <n v="1"/>
    <n v="2"/>
    <n v="4"/>
    <n v="0"/>
    <n v="35"/>
    <n v="4"/>
    <n v="3"/>
    <n v="2"/>
    <n v="1842"/>
    <n v="0"/>
    <n v="1842"/>
    <n v="0.72599999999999998"/>
    <n v="4165"/>
    <n v="67"/>
    <n v="0.63400000000000001"/>
    <n v="0"/>
    <n v="2.7008000000000002E-4"/>
    <n v="0.99973000000000001"/>
    <s v="10.016384600818666"/>
    <s v="3.584188016595411"/>
    <n v="92.139243508456005"/>
    <n v="2.01076890418646"/>
    <n v="717602733"/>
    <x v="0"/>
    <n v="7.686247E-4"/>
    <x v="0"/>
  </r>
  <r>
    <n v="59"/>
    <n v="1"/>
    <n v="0"/>
    <n v="5"/>
    <n v="1"/>
    <n v="4"/>
    <n v="0"/>
    <n v="46"/>
    <n v="6"/>
    <n v="1"/>
    <n v="2"/>
    <n v="3939"/>
    <n v="2517"/>
    <n v="1422"/>
    <n v="0.376"/>
    <n v="1489"/>
    <n v="34"/>
    <n v="0.54500000000000004"/>
    <n v="0.63900000000000001"/>
    <s v="4.8595e-05"/>
    <n v="0.99995000000000001"/>
    <s v="10.809531100507048"/>
    <s v="4.097359020217096"/>
    <s v="28.542000094341127"/>
    <n v="18.2475885070705"/>
    <n v="712774008"/>
    <x v="0"/>
    <n v="1.1011294999999999E-3"/>
    <x v="0"/>
  </r>
  <r>
    <n v="28"/>
    <n v="1"/>
    <n v="0"/>
    <n v="3"/>
    <n v="2"/>
    <n v="4"/>
    <n v="0"/>
    <n v="36"/>
    <n v="6"/>
    <n v="3"/>
    <n v="4"/>
    <n v="2295"/>
    <n v="1015"/>
    <n v="1280"/>
    <n v="1.04"/>
    <n v="3366"/>
    <n v="82"/>
    <n v="0.70799999999999996"/>
    <n v="0.442"/>
    <n v="4.3049000000000001E-4"/>
    <n v="0.99956999999999996"/>
    <s v="45.14517319604477"/>
    <s v="38.95303369317264"/>
    <n v="40.919230339923502"/>
    <s v="7.736448671224682"/>
    <n v="711176133"/>
    <x v="0"/>
    <n v="3.221314E-4"/>
    <x v="0"/>
  </r>
  <r>
    <n v="55"/>
    <n v="1"/>
    <n v="3"/>
    <n v="6"/>
    <n v="1"/>
    <n v="3"/>
    <n v="0"/>
    <n v="47"/>
    <n v="4"/>
    <n v="2"/>
    <n v="3"/>
    <n v="3436"/>
    <n v="2016"/>
    <n v="1420"/>
    <n v="0.90100000000000002"/>
    <n v="1097"/>
    <n v="33"/>
    <n v="0.83299999999999996"/>
    <n v="0.58699999999999997"/>
    <n v="2.1834E-4"/>
    <n v="0.99978"/>
    <s v="43.84254256397876"/>
    <s v="61.52882216839391"/>
    <s v="35.74786987961211"/>
    <s v="15.28761983830677"/>
    <n v="787584108"/>
    <x v="0"/>
    <n v="1.0667827000000001E-3"/>
    <x v="0"/>
  </r>
  <r>
    <n v="55"/>
    <n v="1"/>
    <n v="3"/>
    <n v="3"/>
    <n v="1"/>
    <n v="2"/>
    <n v="0"/>
    <n v="50"/>
    <n v="2"/>
    <n v="1"/>
    <n v="2"/>
    <n v="5282"/>
    <n v="1144"/>
    <n v="4138"/>
    <n v="0.8"/>
    <n v="13513"/>
    <n v="115"/>
    <n v="0.59699999999999998"/>
    <n v="0.217"/>
    <s v="5.5559e-05"/>
    <n v="0.99994000000000005"/>
    <s v="28.305588836112676"/>
    <s v="2.056132446812444"/>
    <s v="35.376917217965634"/>
    <s v="10.016181030128491"/>
    <n v="815520333"/>
    <x v="0"/>
    <n v="3.5533762999999998E-4"/>
    <x v="0"/>
  </r>
  <r>
    <n v="50"/>
    <n v="1"/>
    <n v="3"/>
    <n v="2"/>
    <n v="1"/>
    <n v="0"/>
    <n v="0"/>
    <n v="42"/>
    <n v="4"/>
    <n v="5"/>
    <n v="3"/>
    <n v="34516"/>
    <n v="2099"/>
    <n v="32417"/>
    <n v="0.44900000000000001"/>
    <n v="1756"/>
    <n v="35"/>
    <n v="0.25"/>
    <n v="6.0999999999999999E-2"/>
    <n v="3.5060000000000001E-4"/>
    <n v="0.99965000000000004"/>
    <s v="16.919133433860694"/>
    <s v="7.827195056886133"/>
    <s v="103.75411736611066"/>
    <s v="0.8552925131727346"/>
    <n v="711835758"/>
    <x v="0"/>
    <n v="1.3335287000000001E-3"/>
    <x v="0"/>
  </r>
  <r>
    <n v="52"/>
    <n v="1"/>
    <n v="2"/>
    <n v="2"/>
    <n v="1"/>
    <n v="3"/>
    <n v="0"/>
    <n v="41"/>
    <n v="2"/>
    <n v="5"/>
    <n v="1"/>
    <n v="33256"/>
    <n v="928"/>
    <n v="32328"/>
    <n v="0.69399999999999995"/>
    <n v="7796"/>
    <n v="97"/>
    <n v="0.59"/>
    <n v="2.8000000000000001E-2"/>
    <n v="1.2116E-4"/>
    <n v="0.99987999999999999"/>
    <s v="46.055407143054914"/>
    <s v="57.49899411141534"/>
    <s v="14.002663116461532"/>
    <s v="17.203528276198654"/>
    <n v="789186858"/>
    <x v="0"/>
    <n v="5.1783560000000001E-4"/>
    <x v="0"/>
  </r>
  <r>
    <n v="42"/>
    <n v="0"/>
    <n v="4"/>
    <n v="6"/>
    <n v="1"/>
    <n v="4"/>
    <n v="0"/>
    <n v="30"/>
    <n v="4"/>
    <n v="2"/>
    <n v="3"/>
    <n v="8777"/>
    <n v="1668"/>
    <n v="7109"/>
    <n v="0.85"/>
    <n v="4141"/>
    <n v="83"/>
    <n v="0.66"/>
    <n v="0.19"/>
    <n v="2.2068000000000001E-4"/>
    <n v="0.99978"/>
    <s v="50.657531669045646"/>
    <n v="8.8428218505266898"/>
    <s v="7.377023797687283"/>
    <s v="1.1624689069744731"/>
    <n v="711255858"/>
    <x v="0"/>
    <n v="3.2101269999999999E-4"/>
    <x v="0"/>
  </r>
  <r>
    <n v="59"/>
    <n v="0"/>
    <n v="0"/>
    <n v="6"/>
    <n v="2"/>
    <n v="4"/>
    <n v="0"/>
    <n v="40"/>
    <n v="5"/>
    <n v="2"/>
    <n v="2"/>
    <n v="1845"/>
    <n v="1076"/>
    <n v="769"/>
    <n v="1.016"/>
    <n v="4319"/>
    <n v="76"/>
    <n v="0.55100000000000005"/>
    <n v="0.58299999999999996"/>
    <n v="1.0736E-4"/>
    <n v="0.99988999999999995"/>
    <s v="19.183278648279167"/>
    <n v="64.042986697488502"/>
    <s v="5.964148744421961"/>
    <s v="4.502848343987093"/>
    <n v="711154908"/>
    <x v="0"/>
    <n v="3.3028650000000001E-4"/>
    <x v="0"/>
  </r>
  <r>
    <n v="37"/>
    <n v="1"/>
    <n v="1"/>
    <n v="2"/>
    <n v="1"/>
    <n v="1"/>
    <n v="0"/>
    <n v="17"/>
    <n v="3"/>
    <n v="1"/>
    <n v="4"/>
    <n v="3350"/>
    <n v="0"/>
    <n v="3350"/>
    <n v="1.3160000000000001"/>
    <n v="2849"/>
    <n v="61"/>
    <n v="0.69399999999999995"/>
    <n v="0"/>
    <n v="1.4834000000000001E-4"/>
    <n v="0.99985000000000002"/>
    <s v="11.17857159579246"/>
    <s v="77.85254387338216"/>
    <s v="1.5686116384585251"/>
    <s v="2.4754100306725824"/>
    <n v="709802208"/>
    <x v="0"/>
    <n v="9.7070320000000002E-4"/>
    <x v="0"/>
  </r>
  <r>
    <n v="50"/>
    <n v="1"/>
    <n v="1"/>
    <n v="2"/>
    <n v="2"/>
    <n v="3"/>
    <n v="3"/>
    <n v="43"/>
    <n v="6"/>
    <n v="3"/>
    <n v="3"/>
    <n v="34516"/>
    <n v="432"/>
    <n v="34084"/>
    <n v="0.80700000000000005"/>
    <n v="9045"/>
    <n v="72"/>
    <n v="1"/>
    <n v="1.2999999999999999E-2"/>
    <n v="0.99612000000000001"/>
    <n v="3.8814000000000001E-3"/>
    <s v="45.59660212680093"/>
    <s v="31.717575462468343"/>
    <s v="60.57967850956416"/>
    <s v="5.264985958380215"/>
    <n v="754443033"/>
    <x v="1"/>
    <n v="0.99470853999999997"/>
    <x v="1"/>
  </r>
  <r>
    <n v="36"/>
    <n v="1"/>
    <n v="3"/>
    <n v="6"/>
    <n v="3"/>
    <n v="3"/>
    <n v="0"/>
    <n v="36"/>
    <n v="4"/>
    <n v="1"/>
    <n v="2"/>
    <n v="1815"/>
    <n v="0"/>
    <n v="1815"/>
    <n v="0.47799999999999998"/>
    <n v="2039"/>
    <n v="34"/>
    <n v="0.36"/>
    <n v="0"/>
    <n v="0.98433000000000004"/>
    <n v="1.567E-2"/>
    <s v="43.50973164720381"/>
    <s v="37.21466964309802"/>
    <s v="34.66662522445398"/>
    <s v="14.65021128164199"/>
    <n v="712602708"/>
    <x v="1"/>
    <n v="0.99873226999999998"/>
    <x v="1"/>
  </r>
  <r>
    <n v="52"/>
    <n v="0"/>
    <n v="2"/>
    <n v="3"/>
    <n v="1"/>
    <n v="5"/>
    <n v="0"/>
    <n v="44"/>
    <n v="6"/>
    <n v="3"/>
    <n v="2"/>
    <n v="3456"/>
    <n v="2219"/>
    <n v="1237"/>
    <n v="0.63600000000000001"/>
    <n v="1332"/>
    <n v="24"/>
    <n v="0.5"/>
    <n v="0.64200000000000002"/>
    <n v="1.7485999999999999E-4"/>
    <n v="0.99983"/>
    <s v="50.354946872162046"/>
    <s v="65.95829188070476"/>
    <s v="13.583939053802256"/>
    <s v="0.1608892150141179"/>
    <n v="714457083"/>
    <x v="0"/>
    <n v="1.2315542E-3"/>
    <x v="0"/>
  </r>
  <r>
    <n v="65"/>
    <n v="0"/>
    <n v="0"/>
    <n v="3"/>
    <n v="2"/>
    <n v="5"/>
    <n v="0"/>
    <n v="56"/>
    <n v="3"/>
    <n v="6"/>
    <n v="3"/>
    <n v="5894"/>
    <n v="477"/>
    <n v="5417"/>
    <n v="1.0149999999999999"/>
    <n v="1616"/>
    <n v="32"/>
    <n v="0.45500000000000002"/>
    <n v="8.1000000000000003E-2"/>
    <n v="0.99500999999999995"/>
    <n v="4.9933800000000004E-3"/>
    <s v="66.10342393407133"/>
    <s v="70.09773910657655"/>
    <s v="99.12846565293792"/>
    <s v="9.069645688537152"/>
    <n v="708563433"/>
    <x v="1"/>
    <n v="0.99840359999999995"/>
    <x v="1"/>
  </r>
  <r>
    <n v="57"/>
    <n v="1"/>
    <n v="2"/>
    <n v="2"/>
    <n v="1"/>
    <n v="3"/>
    <n v="0"/>
    <n v="42"/>
    <n v="6"/>
    <n v="1"/>
    <n v="0"/>
    <n v="21875"/>
    <n v="2517"/>
    <n v="19358"/>
    <n v="0.40899999999999997"/>
    <n v="1327"/>
    <n v="31"/>
    <n v="0.40899999999999997"/>
    <n v="0.115"/>
    <s v="2.0316e-05"/>
    <n v="0.99997999999999998"/>
    <s v="15.24671620729695"/>
    <s v="71.29843050360387"/>
    <s v="111.7551543855724"/>
    <s v="2.9602123029180096"/>
    <n v="717828108"/>
    <x v="0"/>
    <n v="1.2315542E-3"/>
    <x v="0"/>
  </r>
  <r>
    <n v="35"/>
    <n v="0"/>
    <n v="1"/>
    <n v="6"/>
    <n v="1"/>
    <n v="4"/>
    <n v="0"/>
    <n v="29"/>
    <n v="4"/>
    <n v="2"/>
    <n v="3"/>
    <n v="1438.3"/>
    <n v="856"/>
    <n v="582.29999999999995"/>
    <n v="0.79200000000000004"/>
    <n v="4432"/>
    <n v="92"/>
    <n v="0.73599999999999999"/>
    <n v="0.59499999999999997"/>
    <n v="1.9751E-4"/>
    <n v="0.99980000000000002"/>
    <s v="4.358068694256552"/>
    <s v="15.09299646980588"/>
    <s v="21.710700072669155"/>
    <s v="2.8790113513474527"/>
    <n v="782555058"/>
    <x v="0"/>
    <n v="4.8967317000000001E-4"/>
    <x v="0"/>
  </r>
  <r>
    <n v="48"/>
    <n v="0"/>
    <n v="3"/>
    <n v="3"/>
    <n v="1"/>
    <n v="4"/>
    <n v="0"/>
    <n v="40"/>
    <n v="1"/>
    <n v="2"/>
    <n v="1"/>
    <n v="2097"/>
    <n v="1255"/>
    <n v="842"/>
    <n v="0.61"/>
    <n v="4189"/>
    <n v="83"/>
    <n v="0.97599999999999998"/>
    <n v="0.59799999999999998"/>
    <s v="6.9242e-05"/>
    <n v="0.99992999999999999"/>
    <s v="23.09626798075348"/>
    <s v="8.230062086915886"/>
    <s v="25.35292553506068"/>
    <s v="24.442220847884943"/>
    <n v="712253058"/>
    <x v="0"/>
    <n v="3.2101269999999999E-4"/>
    <x v="0"/>
  </r>
  <r>
    <n v="40"/>
    <n v="0"/>
    <n v="4"/>
    <n v="6"/>
    <n v="2"/>
    <n v="4"/>
    <n v="0"/>
    <n v="36"/>
    <n v="6"/>
    <n v="3"/>
    <n v="4"/>
    <n v="7587"/>
    <n v="0"/>
    <n v="7587"/>
    <n v="0.82"/>
    <n v="3157"/>
    <n v="59"/>
    <n v="0.84399999999999997"/>
    <n v="0"/>
    <n v="5.9480000000000004E-4"/>
    <n v="0.99941000000000002"/>
    <s v="5.530350922328471"/>
    <n v="61.492635981301902"/>
    <n v="15.2262956003537"/>
    <s v="20.29033085007227"/>
    <n v="715628733"/>
    <x v="0"/>
    <n v="9.8036590000000006E-4"/>
    <x v="0"/>
  </r>
  <r>
    <n v="54"/>
    <n v="1"/>
    <n v="2"/>
    <n v="6"/>
    <n v="1"/>
    <n v="3"/>
    <n v="0"/>
    <n v="42"/>
    <n v="4"/>
    <n v="2"/>
    <n v="3"/>
    <n v="12217"/>
    <n v="0"/>
    <n v="12217"/>
    <n v="1.075"/>
    <n v="1110"/>
    <n v="21"/>
    <n v="0.75"/>
    <n v="0"/>
    <n v="2.1042000000000001E-4"/>
    <n v="0.99978999999999996"/>
    <s v="19.45674754260252"/>
    <s v="6.564152170900954"/>
    <s v="45.00318927120932"/>
    <s v="10.224546451012102"/>
    <n v="789124683"/>
    <x v="0"/>
    <n v="3.7707960999999999E-3"/>
    <x v="0"/>
  </r>
  <r>
    <n v="63"/>
    <n v="0"/>
    <n v="0"/>
    <n v="0"/>
    <n v="1"/>
    <n v="1"/>
    <n v="0"/>
    <n v="53"/>
    <n v="6"/>
    <n v="1"/>
    <n v="4"/>
    <n v="3118"/>
    <n v="1528"/>
    <n v="1590"/>
    <n v="0.60399999999999998"/>
    <n v="1291"/>
    <n v="24"/>
    <n v="0.6"/>
    <n v="0.49"/>
    <n v="1.3185000000000001E-4"/>
    <n v="0.99987000000000004"/>
    <s v="22.43313961160957"/>
    <s v="40.62024173633873"/>
    <s v="55.41961281050292"/>
    <s v="12.12788752997856"/>
    <n v="719431608"/>
    <x v="0"/>
    <n v="1.0598798E-3"/>
    <x v="0"/>
  </r>
  <r>
    <n v="52"/>
    <n v="1"/>
    <n v="2"/>
    <n v="1"/>
    <n v="1"/>
    <n v="0"/>
    <n v="0"/>
    <n v="34"/>
    <n v="3"/>
    <n v="2"/>
    <n v="3"/>
    <n v="11188"/>
    <n v="0"/>
    <n v="11188"/>
    <n v="0.65800000000000003"/>
    <n v="2109"/>
    <n v="47"/>
    <n v="0.621"/>
    <n v="0"/>
    <n v="0.99639999999999995"/>
    <n v="3.5960300000000001E-3"/>
    <s v="0.5632645284587784"/>
    <s v="23.64685102429205"/>
    <s v="25.230705112857542"/>
    <s v="16.035214684941003"/>
    <n v="714967233"/>
    <x v="1"/>
    <n v="0.99854653999999998"/>
    <x v="1"/>
  </r>
  <r>
    <n v="30"/>
    <n v="1"/>
    <n v="1"/>
    <n v="3"/>
    <n v="1"/>
    <n v="2"/>
    <n v="0"/>
    <n v="17"/>
    <n v="3"/>
    <n v="3"/>
    <n v="2"/>
    <n v="7906"/>
    <n v="1631"/>
    <n v="6275"/>
    <n v="0.88900000000000001"/>
    <n v="1946"/>
    <n v="45"/>
    <n v="0.55200000000000005"/>
    <n v="0.20599999999999999"/>
    <n v="1.6412999999999999E-4"/>
    <n v="0.99983999999999995"/>
    <s v="50.11096751483644"/>
    <s v="27.21498252431401"/>
    <s v="11.496928376091464"/>
    <s v="16.504742814777607"/>
    <n v="711748983"/>
    <x v="0"/>
    <n v="1.2079212999999999E-3"/>
    <x v="0"/>
  </r>
  <r>
    <n v="50"/>
    <n v="0"/>
    <n v="5"/>
    <n v="5"/>
    <n v="1"/>
    <n v="5"/>
    <n v="0"/>
    <n v="34"/>
    <n v="5"/>
    <n v="5"/>
    <n v="2"/>
    <n v="3317"/>
    <n v="1041"/>
    <n v="2276"/>
    <n v="0.92300000000000004"/>
    <n v="4264"/>
    <n v="75"/>
    <n v="1.0269999999999999"/>
    <n v="0.314"/>
    <n v="2.1326E-4"/>
    <n v="0.99978999999999996"/>
    <n v="17.937444841207999"/>
    <s v="24.28617305409338"/>
    <s v="50.52704417237399"/>
    <s v="0.7131871532541443"/>
    <n v="788856408"/>
    <x v="0"/>
    <n v="3.221314E-4"/>
    <x v="0"/>
  </r>
  <r>
    <n v="29"/>
    <n v="0"/>
    <n v="1"/>
    <n v="5"/>
    <n v="2"/>
    <n v="4"/>
    <n v="0"/>
    <n v="36"/>
    <n v="3"/>
    <n v="2"/>
    <n v="4"/>
    <n v="2516"/>
    <n v="2312"/>
    <n v="204"/>
    <n v="0.625"/>
    <n v="2321"/>
    <n v="36"/>
    <n v="0.5"/>
    <n v="0.91900000000000004"/>
    <n v="0.99683999999999995"/>
    <n v="3.1619E-3"/>
    <s v="29.845054442393412"/>
    <s v="67.46030649862149"/>
    <s v="139.4347983285673"/>
    <s v="34.761564965099325"/>
    <n v="710666583"/>
    <x v="1"/>
    <n v="0.99482333999999994"/>
    <x v="1"/>
  </r>
  <r>
    <n v="54"/>
    <n v="0"/>
    <n v="2"/>
    <n v="1"/>
    <n v="1"/>
    <n v="4"/>
    <n v="0"/>
    <n v="46"/>
    <n v="3"/>
    <n v="3"/>
    <n v="3"/>
    <n v="3312"/>
    <n v="1624"/>
    <n v="1688"/>
    <n v="0.57299999999999995"/>
    <n v="1973"/>
    <n v="55"/>
    <n v="0.66700000000000004"/>
    <n v="0.49"/>
    <n v="4.3772E-4"/>
    <n v="0.99956"/>
    <s v="9.517804974192265"/>
    <s v="46.78536844958059"/>
    <s v="44.079264859825386"/>
    <s v="4.705273251361746"/>
    <n v="717301908"/>
    <x v="0"/>
    <n v="5.4105210000000002E-4"/>
    <x v="0"/>
  </r>
  <r>
    <n v="62"/>
    <n v="0"/>
    <n v="1"/>
    <n v="2"/>
    <n v="2"/>
    <n v="4"/>
    <n v="0"/>
    <n v="56"/>
    <n v="1"/>
    <n v="2"/>
    <n v="1"/>
    <n v="3109"/>
    <n v="0"/>
    <n v="3109"/>
    <n v="1.054"/>
    <n v="5470"/>
    <n v="72"/>
    <n v="0.67400000000000004"/>
    <n v="0"/>
    <n v="0.98472000000000004"/>
    <n v="1.528E-2"/>
    <s v="11.004316954669209"/>
    <s v="4.055453143311882"/>
    <s v="6.781565572198158"/>
    <s v="0.3889040524262883"/>
    <n v="798553158"/>
    <x v="1"/>
    <n v="0.99507409999999996"/>
    <x v="1"/>
  </r>
  <r>
    <n v="49"/>
    <n v="0"/>
    <n v="5"/>
    <n v="0"/>
    <n v="2"/>
    <n v="5"/>
    <n v="0"/>
    <n v="41"/>
    <n v="6"/>
    <n v="3"/>
    <n v="2"/>
    <n v="16031"/>
    <n v="2245"/>
    <n v="13786"/>
    <n v="0.63500000000000001"/>
    <n v="1527"/>
    <n v="57"/>
    <n v="0.46200000000000002"/>
    <n v="0.14000000000000001"/>
    <n v="1.8054E-4"/>
    <n v="0.99982000000000004"/>
    <s v="6.437528211811749"/>
    <s v="40.99198088512978"/>
    <s v="7.425093567838506"/>
    <s v="13.311313907681097"/>
    <n v="712420833"/>
    <x v="0"/>
    <n v="5.1511027000000005E-4"/>
    <x v="0"/>
  </r>
  <r>
    <n v="33"/>
    <n v="0"/>
    <n v="1"/>
    <n v="2"/>
    <n v="1"/>
    <n v="4"/>
    <n v="0"/>
    <n v="20"/>
    <n v="2"/>
    <n v="2"/>
    <n v="2"/>
    <n v="1507"/>
    <n v="0"/>
    <n v="1507"/>
    <n v="0.72299999999999998"/>
    <n v="4698"/>
    <n v="87"/>
    <n v="0.85099999999999998"/>
    <n v="0"/>
    <n v="1.0684E-4"/>
    <n v="0.99988999999999995"/>
    <s v="55.28310626117778"/>
    <s v="8.587236115163103"/>
    <s v="2.0196845211096845"/>
    <s v="10.25447573363772"/>
    <n v="780360558"/>
    <x v="0"/>
    <n v="6.9517245999999998E-4"/>
    <x v="0"/>
  </r>
  <r>
    <n v="29"/>
    <n v="0"/>
    <n v="0"/>
    <n v="5"/>
    <n v="2"/>
    <n v="4"/>
    <n v="0"/>
    <n v="23"/>
    <n v="5"/>
    <n v="3"/>
    <n v="4"/>
    <n v="7997"/>
    <n v="0"/>
    <n v="7997"/>
    <n v="0.93500000000000005"/>
    <n v="2208"/>
    <n v="56"/>
    <n v="0.80600000000000005"/>
    <n v="0"/>
    <n v="4.5531E-4"/>
    <n v="0.99953999999999998"/>
    <s v="2.160142112810244"/>
    <s v="15.805548329700107"/>
    <s v="69.75546977739305"/>
    <s v="22.483609345389063"/>
    <n v="719996958"/>
    <x v="0"/>
    <n v="1.6793804E-3"/>
    <x v="0"/>
  </r>
  <r>
    <n v="36"/>
    <n v="0"/>
    <n v="2"/>
    <n v="4"/>
    <n v="2"/>
    <n v="4"/>
    <n v="0"/>
    <n v="26"/>
    <n v="1"/>
    <n v="2"/>
    <n v="3"/>
    <n v="1821"/>
    <n v="1486"/>
    <n v="335"/>
    <n v="0.82699999999999996"/>
    <n v="2824"/>
    <n v="43"/>
    <n v="0.38700000000000001"/>
    <n v="0.81599999999999995"/>
    <n v="0.99558000000000002"/>
    <n v="4.4189199999999998E-3"/>
    <s v="5.377140074093632"/>
    <s v="33.65326026127926"/>
    <s v="22.324987911414325"/>
    <s v="4.761420479229334"/>
    <n v="717409533"/>
    <x v="1"/>
    <n v="0.99621683000000005"/>
    <x v="1"/>
  </r>
  <r>
    <n v="51"/>
    <n v="0"/>
    <n v="2"/>
    <n v="5"/>
    <n v="2"/>
    <n v="4"/>
    <n v="0"/>
    <n v="36"/>
    <n v="2"/>
    <n v="3"/>
    <n v="3"/>
    <n v="1746"/>
    <n v="1107"/>
    <n v="639"/>
    <n v="0.53900000000000003"/>
    <n v="1907"/>
    <n v="47"/>
    <n v="0.621"/>
    <n v="0.63400000000000001"/>
    <n v="0.99680000000000002"/>
    <n v="3.2037400000000001E-3"/>
    <s v="31.76339438344225"/>
    <n v="23.050069058265301"/>
    <s v="10.366479243897542"/>
    <s v="0.4331929617497493"/>
    <n v="780067158"/>
    <x v="1"/>
    <n v="0.99557660000000003"/>
    <x v="1"/>
  </r>
  <r>
    <n v="60"/>
    <n v="0"/>
    <n v="0"/>
    <n v="2"/>
    <n v="1"/>
    <n v="4"/>
    <n v="0"/>
    <n v="50"/>
    <n v="4"/>
    <n v="2"/>
    <n v="2"/>
    <n v="3147"/>
    <n v="1602"/>
    <n v="1545"/>
    <n v="0.56899999999999995"/>
    <n v="1558"/>
    <n v="23"/>
    <n v="0.64300000000000002"/>
    <n v="0.50900000000000001"/>
    <s v="9.7673e-05"/>
    <n v="0.99990000000000001"/>
    <s v="26.95638416089876"/>
    <s v="14.573168505321632"/>
    <s v="83.56431115052781"/>
    <n v="8.5255154028015703"/>
    <n v="718929708"/>
    <x v="0"/>
    <n v="1.0598798E-3"/>
    <x v="0"/>
  </r>
  <r>
    <n v="48"/>
    <n v="1"/>
    <n v="3"/>
    <n v="0"/>
    <n v="0"/>
    <n v="1"/>
    <n v="0"/>
    <n v="36"/>
    <n v="3"/>
    <n v="3"/>
    <n v="3"/>
    <n v="12159"/>
    <n v="1665"/>
    <n v="10494"/>
    <n v="0.60799999999999998"/>
    <n v="1426"/>
    <n v="34"/>
    <n v="0.54500000000000004"/>
    <n v="0.13700000000000001"/>
    <n v="3.0519E-4"/>
    <n v="0.99968999999999997"/>
    <s v="16.350977826417832"/>
    <s v="37.48627315147149"/>
    <s v="29.104614265294604"/>
    <s v="0.2780141417850055"/>
    <n v="714804483"/>
    <x v="0"/>
    <n v="1.0903810999999999E-3"/>
    <x v="0"/>
  </r>
  <r>
    <n v="43"/>
    <n v="0"/>
    <n v="4"/>
    <n v="5"/>
    <n v="0"/>
    <n v="4"/>
    <n v="0"/>
    <n v="33"/>
    <n v="6"/>
    <n v="3"/>
    <n v="1"/>
    <n v="1706"/>
    <n v="0"/>
    <n v="1706"/>
    <n v="0.60099999999999998"/>
    <n v="2371"/>
    <n v="45"/>
    <n v="0.5"/>
    <n v="0"/>
    <n v="0.99151999999999996"/>
    <n v="8.4799999999999997E-3"/>
    <s v="11.503342473523997"/>
    <s v="35.22301045705763"/>
    <n v="82.054859546277001"/>
    <n v="10.014186869727199"/>
    <n v="712740108"/>
    <x v="1"/>
    <n v="0.99873226999999998"/>
    <x v="1"/>
  </r>
  <r>
    <n v="48"/>
    <n v="0"/>
    <n v="3"/>
    <n v="2"/>
    <n v="1"/>
    <n v="1"/>
    <n v="0"/>
    <n v="36"/>
    <n v="4"/>
    <n v="2"/>
    <n v="2"/>
    <n v="5573"/>
    <n v="1238"/>
    <n v="4335"/>
    <n v="0.624"/>
    <n v="4348"/>
    <n v="90"/>
    <n v="0.83699999999999997"/>
    <n v="0.222"/>
    <n v="1.1811000000000001E-4"/>
    <n v="0.99987999999999999"/>
    <s v="15.77913374946202"/>
    <s v="38.58434787783022"/>
    <s v="34.47515089063778"/>
    <s v="5.921418200216571"/>
    <n v="708478233"/>
    <x v="0"/>
    <n v="3.2101269999999999E-4"/>
    <x v="0"/>
  </r>
  <r>
    <n v="50"/>
    <n v="1"/>
    <n v="1"/>
    <n v="0"/>
    <n v="1"/>
    <n v="2"/>
    <n v="0"/>
    <n v="40"/>
    <n v="4"/>
    <n v="2"/>
    <n v="4"/>
    <n v="17404"/>
    <n v="1745"/>
    <n v="15659"/>
    <n v="0.54"/>
    <n v="4491"/>
    <n v="78"/>
    <n v="0.66"/>
    <n v="0.1"/>
    <n v="2.9800999999999997E-4"/>
    <n v="0.99970000000000003"/>
    <s v="7.183858033131198"/>
    <n v="20.7753761216693"/>
    <s v="58.50603343748401"/>
    <s v="2.6317344868785746"/>
    <n v="718875483"/>
    <x v="0"/>
    <n v="3.2101269999999999E-4"/>
    <x v="0"/>
  </r>
  <r>
    <n v="60"/>
    <n v="0"/>
    <n v="1"/>
    <n v="1"/>
    <n v="2"/>
    <n v="5"/>
    <n v="0"/>
    <n v="47"/>
    <n v="1"/>
    <n v="1"/>
    <n v="1"/>
    <n v="3803"/>
    <n v="1448"/>
    <n v="2355"/>
    <n v="0.56499999999999995"/>
    <n v="4575"/>
    <n v="78"/>
    <n v="0.59199999999999997"/>
    <n v="0.38100000000000001"/>
    <s v="4.5115e-05"/>
    <n v="0.99995000000000001"/>
    <s v="24.784415315679592"/>
    <n v="9.65849782631288"/>
    <s v="111.10876617878856"/>
    <s v="20.38684250133157"/>
    <n v="718825908"/>
    <x v="0"/>
    <n v="3.2914013999999999E-4"/>
    <x v="0"/>
  </r>
  <r>
    <n v="41"/>
    <n v="1"/>
    <n v="2"/>
    <n v="0"/>
    <n v="2"/>
    <n v="0"/>
    <n v="0"/>
    <n v="32"/>
    <n v="6"/>
    <n v="3"/>
    <n v="2"/>
    <n v="5489"/>
    <n v="1513"/>
    <n v="3976"/>
    <n v="0.87"/>
    <n v="4085"/>
    <n v="65"/>
    <n v="0.54800000000000004"/>
    <n v="0.27600000000000002"/>
    <n v="1.7488000000000001E-4"/>
    <n v="0.99983"/>
    <s v="33.583805869631945"/>
    <s v="1.0467343461158185"/>
    <s v="26.213961673334637"/>
    <s v="2.584796771758452"/>
    <n v="710496708"/>
    <x v="0"/>
    <n v="3.3723077000000001E-4"/>
    <x v="0"/>
  </r>
  <r>
    <n v="51"/>
    <n v="0"/>
    <n v="2"/>
    <n v="1"/>
    <n v="1"/>
    <n v="4"/>
    <n v="0"/>
    <n v="41"/>
    <n v="2"/>
    <n v="2"/>
    <n v="3"/>
    <n v="6630"/>
    <n v="916"/>
    <n v="5714"/>
    <n v="0.92700000000000005"/>
    <n v="842"/>
    <n v="24"/>
    <n v="0.5"/>
    <n v="0.13800000000000001"/>
    <n v="0.99639999999999995"/>
    <n v="3.5960300000000001E-3"/>
    <s v="18.608782862562187"/>
    <s v="21.74397192901161"/>
    <s v="10.99490223713803"/>
    <s v="21.52829600282796"/>
    <n v="772532208"/>
    <x v="1"/>
    <n v="0.99695529999999999"/>
    <x v="1"/>
  </r>
  <r>
    <n v="45"/>
    <n v="0"/>
    <n v="4"/>
    <n v="2"/>
    <n v="1"/>
    <n v="5"/>
    <n v="0"/>
    <n v="35"/>
    <n v="4"/>
    <n v="2"/>
    <n v="2"/>
    <n v="2705"/>
    <n v="0"/>
    <n v="2705"/>
    <n v="0.73599999999999999"/>
    <n v="4749"/>
    <n v="80"/>
    <n v="0.77800000000000002"/>
    <n v="0"/>
    <n v="1.1937E-4"/>
    <n v="0.99987999999999999"/>
    <s v="27.21957981504549"/>
    <s v="63.96043582991993"/>
    <s v="14.544188505744284"/>
    <n v="0.11069223482004099"/>
    <n v="709098108"/>
    <x v="0"/>
    <n v="6.9517245999999998E-4"/>
    <x v="0"/>
  </r>
  <r>
    <n v="65"/>
    <n v="1"/>
    <n v="0"/>
    <n v="5"/>
    <n v="1"/>
    <n v="5"/>
    <n v="0"/>
    <n v="56"/>
    <n v="3"/>
    <n v="3"/>
    <n v="2"/>
    <n v="10144"/>
    <n v="1295"/>
    <n v="8849"/>
    <n v="0.75800000000000001"/>
    <n v="1234"/>
    <n v="24"/>
    <n v="1.1819999999999999"/>
    <n v="0.128"/>
    <n v="1.5871E-4"/>
    <n v="0.99983999999999995"/>
    <s v="23.22329424198205"/>
    <s v="75.05431221931215"/>
    <s v="135.04788165255994"/>
    <s v="16.80016848946717"/>
    <n v="795810633"/>
    <x v="0"/>
    <n v="1.0249399E-3"/>
    <x v="0"/>
  </r>
  <r>
    <n v="47"/>
    <n v="0"/>
    <n v="2"/>
    <n v="4"/>
    <n v="2"/>
    <n v="5"/>
    <n v="0"/>
    <n v="31"/>
    <n v="3"/>
    <n v="2"/>
    <n v="3"/>
    <n v="1491"/>
    <n v="0"/>
    <n v="1491"/>
    <n v="0.71599999999999997"/>
    <n v="4634"/>
    <n v="92"/>
    <n v="0.80400000000000005"/>
    <n v="0"/>
    <n v="2.2525E-4"/>
    <n v="0.99977000000000005"/>
    <n v="25.733493488014599"/>
    <s v="12.225855643414182"/>
    <s v="34.18400430267477"/>
    <s v="2.308153977095282"/>
    <n v="779839758"/>
    <x v="0"/>
    <n v="6.9517245999999998E-4"/>
    <x v="0"/>
  </r>
  <r>
    <n v="43"/>
    <n v="1"/>
    <n v="1"/>
    <n v="3"/>
    <n v="1"/>
    <n v="1"/>
    <n v="0"/>
    <n v="25"/>
    <n v="6"/>
    <n v="3"/>
    <n v="3"/>
    <n v="1616"/>
    <n v="0"/>
    <n v="1616"/>
    <n v="0.79400000000000004"/>
    <n v="4961"/>
    <n v="78"/>
    <n v="0.81399999999999995"/>
    <n v="0"/>
    <n v="2.7604000000000002E-4"/>
    <n v="0.99972000000000005"/>
    <s v="27.90955345636131"/>
    <s v="9.298541554091855"/>
    <s v="15.210167667306806"/>
    <s v="5.828165714425403"/>
    <n v="779468808"/>
    <x v="0"/>
    <n v="6.9517245999999998E-4"/>
    <x v="0"/>
  </r>
  <r>
    <n v="47"/>
    <n v="0"/>
    <n v="4"/>
    <n v="3"/>
    <n v="2"/>
    <n v="1"/>
    <n v="0"/>
    <n v="39"/>
    <n v="3"/>
    <n v="1"/>
    <n v="0"/>
    <n v="1746"/>
    <n v="0"/>
    <n v="1746"/>
    <n v="0.76300000000000001"/>
    <n v="4543"/>
    <n v="75"/>
    <n v="0.97399999999999998"/>
    <n v="0"/>
    <s v="2.0713e-05"/>
    <n v="0.99997999999999998"/>
    <s v="42.62540194919297"/>
    <s v="12.626499027738872"/>
    <s v="110.85179754574952"/>
    <s v="15.965170985374009"/>
    <n v="710506683"/>
    <x v="0"/>
    <n v="6.9517245999999998E-4"/>
    <x v="0"/>
  </r>
  <r>
    <n v="51"/>
    <n v="0"/>
    <n v="3"/>
    <n v="2"/>
    <n v="0"/>
    <n v="4"/>
    <n v="0"/>
    <n v="39"/>
    <n v="5"/>
    <n v="4"/>
    <n v="3"/>
    <n v="2987"/>
    <n v="1764"/>
    <n v="1223"/>
    <n v="0.68600000000000005"/>
    <n v="4339"/>
    <n v="72"/>
    <n v="0.6"/>
    <n v="0.59099999999999997"/>
    <n v="3.7934999999999998E-4"/>
    <n v="0.99961999999999995"/>
    <s v="24.47211331008444"/>
    <s v="29.69211170509208"/>
    <s v="11.50861436529108"/>
    <s v="1.6443618422466315"/>
    <n v="789070233"/>
    <x v="0"/>
    <n v="3.2914013999999999E-4"/>
    <x v="0"/>
  </r>
  <r>
    <n v="67"/>
    <n v="1"/>
    <n v="0"/>
    <n v="2"/>
    <n v="1"/>
    <n v="1"/>
    <n v="0"/>
    <n v="56"/>
    <n v="4"/>
    <n v="2"/>
    <n v="1"/>
    <n v="5876"/>
    <n v="1297"/>
    <n v="4579"/>
    <n v="1.012"/>
    <n v="2133"/>
    <n v="55"/>
    <n v="0.71899999999999997"/>
    <n v="0.221"/>
    <s v="5.8902e-05"/>
    <n v="0.99994000000000005"/>
    <n v="3.0396619235723201"/>
    <s v="14.15001372416268"/>
    <s v="53.326768851853394"/>
    <s v="20.75369454736328"/>
    <n v="778286433"/>
    <x v="0"/>
    <n v="5.9430883000000003E-4"/>
    <x v="0"/>
  </r>
  <r>
    <n v="41"/>
    <n v="1"/>
    <n v="3"/>
    <n v="2"/>
    <n v="1"/>
    <n v="3"/>
    <n v="0"/>
    <n v="26"/>
    <n v="6"/>
    <n v="3"/>
    <n v="3"/>
    <n v="33408"/>
    <n v="0"/>
    <n v="33408"/>
    <n v="0.81599999999999995"/>
    <n v="3754"/>
    <n v="77"/>
    <n v="0.878"/>
    <n v="0"/>
    <n v="3.1389999999999999E-4"/>
    <n v="0.99968999999999997"/>
    <s v="1.8700220710283213"/>
    <s v="29.813795763738785"/>
    <s v="122.42597190093024"/>
    <s v="9.169547037733992"/>
    <n v="794510358"/>
    <x v="0"/>
    <n v="6.9517245999999998E-4"/>
    <x v="0"/>
  </r>
  <r>
    <n v="57"/>
    <n v="1"/>
    <n v="2"/>
    <n v="4"/>
    <n v="0"/>
    <n v="2"/>
    <n v="0"/>
    <n v="51"/>
    <n v="2"/>
    <n v="3"/>
    <n v="3"/>
    <n v="5479"/>
    <n v="1200"/>
    <n v="4279"/>
    <n v="0.79800000000000004"/>
    <n v="7960"/>
    <n v="86"/>
    <n v="0.45800000000000002"/>
    <n v="0.219"/>
    <n v="3.5594000000000001E-4"/>
    <n v="0.99963999999999997"/>
    <s v="17.055563665376617"/>
    <s v="12.302912126608444"/>
    <s v="46.09894048644048"/>
    <s v="8.056628454872698"/>
    <n v="773356008"/>
    <x v="0"/>
    <n v="3.9225167999999998E-4"/>
    <x v="0"/>
  </r>
  <r>
    <n v="54"/>
    <n v="0"/>
    <n v="1"/>
    <n v="5"/>
    <n v="2"/>
    <n v="1"/>
    <n v="0"/>
    <n v="43"/>
    <n v="1"/>
    <n v="3"/>
    <n v="2"/>
    <n v="9525"/>
    <n v="2517"/>
    <n v="7008"/>
    <n v="0.66900000000000004"/>
    <n v="4804"/>
    <n v="79"/>
    <n v="0.88100000000000001"/>
    <n v="0.26400000000000001"/>
    <n v="1.7359999999999999E-4"/>
    <n v="0.99983"/>
    <s v="41.96010229145061"/>
    <s v="42.12192454511065"/>
    <s v="46.06573761122897"/>
    <s v="8.818945079643369"/>
    <n v="717334233"/>
    <x v="0"/>
    <n v="3.4692350000000002E-4"/>
    <x v="0"/>
  </r>
  <r>
    <n v="46"/>
    <n v="0"/>
    <n v="2"/>
    <n v="6"/>
    <n v="2"/>
    <n v="5"/>
    <n v="0"/>
    <n v="34"/>
    <n v="6"/>
    <n v="3"/>
    <n v="1"/>
    <n v="7565"/>
    <n v="887"/>
    <n v="6678"/>
    <n v="0.81"/>
    <n v="4683"/>
    <n v="87"/>
    <n v="0.64200000000000002"/>
    <n v="0.11700000000000001"/>
    <n v="1.1924E-4"/>
    <n v="0.99987999999999999"/>
    <s v="46.42845174942192"/>
    <s v="6.339675057984812"/>
    <s v="32.27780434074825"/>
    <s v="18.485474029882557"/>
    <n v="771531708"/>
    <x v="0"/>
    <n v="4.3230187E-4"/>
    <x v="0"/>
  </r>
  <r>
    <n v="50"/>
    <n v="1"/>
    <n v="4"/>
    <n v="0"/>
    <n v="0"/>
    <n v="2"/>
    <n v="0"/>
    <n v="44"/>
    <n v="4"/>
    <n v="2"/>
    <n v="3"/>
    <n v="13911"/>
    <n v="2160"/>
    <n v="11751"/>
    <n v="0.73"/>
    <n v="2204"/>
    <n v="60"/>
    <n v="0.66700000000000004"/>
    <n v="0.155"/>
    <n v="1.9519000000000001E-4"/>
    <n v="0.99980000000000002"/>
    <s v="4.855313121037783"/>
    <s v="38.61745838340157"/>
    <s v="58.58477731844111"/>
    <s v="13.083117421790767"/>
    <n v="787361583"/>
    <x v="0"/>
    <n v="4.4546674999999998E-4"/>
    <x v="0"/>
  </r>
  <r>
    <n v="50"/>
    <n v="0"/>
    <n v="5"/>
    <n v="5"/>
    <n v="2"/>
    <n v="4"/>
    <n v="0"/>
    <n v="33"/>
    <n v="4"/>
    <n v="3"/>
    <n v="3"/>
    <n v="2837"/>
    <n v="1377"/>
    <n v="1460"/>
    <n v="0.56399999999999995"/>
    <n v="3928"/>
    <n v="54"/>
    <n v="0.8"/>
    <n v="0.48499999999999999"/>
    <n v="3.2111999999999999E-4"/>
    <n v="0.99968000000000001"/>
    <s v="6.852719825849075"/>
    <s v="69.29989849610281"/>
    <s v="40.64246021936747"/>
    <s v="10.891784871762734"/>
    <n v="710376708"/>
    <x v="0"/>
    <n v="5.0967920000000004E-4"/>
    <x v="0"/>
  </r>
  <r>
    <n v="53"/>
    <n v="1"/>
    <n v="1"/>
    <n v="3"/>
    <n v="1"/>
    <n v="1"/>
    <n v="0"/>
    <n v="43"/>
    <n v="1"/>
    <n v="2"/>
    <n v="3"/>
    <n v="3146"/>
    <n v="0"/>
    <n v="3146"/>
    <n v="0.41399999999999998"/>
    <n v="1868"/>
    <n v="38"/>
    <n v="0.31"/>
    <n v="0"/>
    <n v="0.99431000000000003"/>
    <n v="5.6899999999999997E-3"/>
    <s v="37.01199106825858"/>
    <s v="50.10086164029369"/>
    <s v="45.65570480099381"/>
    <n v="3.21498354235082"/>
    <n v="713312208"/>
    <x v="1"/>
    <n v="0.99868020000000002"/>
    <x v="1"/>
  </r>
  <r>
    <n v="52"/>
    <n v="0"/>
    <n v="2"/>
    <n v="2"/>
    <n v="1"/>
    <n v="4"/>
    <n v="0"/>
    <n v="36"/>
    <n v="3"/>
    <n v="1"/>
    <n v="3"/>
    <n v="4950"/>
    <n v="1829"/>
    <n v="3121"/>
    <n v="0.67100000000000004"/>
    <n v="4529"/>
    <n v="73"/>
    <n v="0.872"/>
    <n v="0.36899999999999999"/>
    <s v="9.2637e-05"/>
    <n v="0.99990999999999997"/>
    <s v="13.66178021358836"/>
    <s v="12.191150058580307"/>
    <n v="3.9027707745517599"/>
    <s v="3.0310359619622527"/>
    <n v="719502183"/>
    <x v="0"/>
    <n v="3.2101269999999999E-4"/>
    <x v="0"/>
  </r>
  <r>
    <n v="45"/>
    <n v="0"/>
    <n v="0"/>
    <n v="2"/>
    <n v="1"/>
    <n v="4"/>
    <n v="0"/>
    <n v="38"/>
    <n v="4"/>
    <n v="3"/>
    <n v="3"/>
    <n v="4096"/>
    <n v="1468"/>
    <n v="2628"/>
    <n v="0.627"/>
    <n v="3490"/>
    <n v="66"/>
    <n v="0.73699999999999999"/>
    <n v="0.35799999999999998"/>
    <n v="2.5960000000000002E-4"/>
    <n v="0.99973999999999996"/>
    <s v="16.008459270586062"/>
    <n v="26.807197458715201"/>
    <s v="78.31589106629828"/>
    <s v="24.338492431906683"/>
    <n v="712166583"/>
    <x v="0"/>
    <n v="3.2101269999999999E-4"/>
    <x v="0"/>
  </r>
  <r>
    <n v="39"/>
    <n v="1"/>
    <n v="1"/>
    <n v="2"/>
    <n v="1"/>
    <n v="1"/>
    <n v="0"/>
    <n v="35"/>
    <n v="5"/>
    <n v="3"/>
    <n v="4"/>
    <n v="6690"/>
    <n v="1884"/>
    <n v="4806"/>
    <n v="0.79100000000000004"/>
    <n v="1734"/>
    <n v="39"/>
    <n v="0.625"/>
    <n v="0.28199999999999997"/>
    <n v="4.8434999999999998E-4"/>
    <n v="0.99951999999999996"/>
    <n v="16.527715637580499"/>
    <s v="88.05937195950878"/>
    <s v="146.34047118574344"/>
    <s v="6.2024017145023365"/>
    <n v="821370858"/>
    <x v="0"/>
    <n v="1.0598798E-3"/>
    <x v="0"/>
  </r>
  <r>
    <n v="45"/>
    <n v="1"/>
    <n v="2"/>
    <n v="2"/>
    <n v="1"/>
    <n v="2"/>
    <n v="3"/>
    <n v="36"/>
    <n v="3"/>
    <n v="2"/>
    <n v="3"/>
    <n v="30428"/>
    <n v="1721"/>
    <n v="28707"/>
    <n v="0.71699999999999997"/>
    <n v="4178"/>
    <n v="69"/>
    <n v="0.60499999999999998"/>
    <n v="5.7000000000000002E-2"/>
    <n v="1.7296999999999999E-4"/>
    <n v="0.99983"/>
    <s v="11.055365321459716"/>
    <s v="108.1175140321693"/>
    <s v="11.005772554138131"/>
    <s v="7.229075260392985"/>
    <n v="714467733"/>
    <x v="0"/>
    <n v="3.6634394000000002E-4"/>
    <x v="0"/>
  </r>
  <r>
    <n v="56"/>
    <n v="0"/>
    <n v="2"/>
    <n v="3"/>
    <n v="1"/>
    <n v="5"/>
    <n v="0"/>
    <n v="51"/>
    <n v="4"/>
    <n v="1"/>
    <n v="3"/>
    <n v="1796"/>
    <n v="1243"/>
    <n v="553"/>
    <n v="0.76800000000000002"/>
    <n v="4316"/>
    <n v="87"/>
    <n v="0.89100000000000001"/>
    <n v="0.69199999999999995"/>
    <s v="9.0056e-05"/>
    <n v="0.99990999999999997"/>
    <s v="31.371968470871156"/>
    <s v="26.45369967632144"/>
    <s v="10.13240501965333"/>
    <s v="2.7074914469907423"/>
    <n v="804583833"/>
    <x v="0"/>
    <n v="3.2101269999999999E-4"/>
    <x v="0"/>
  </r>
  <r>
    <n v="42"/>
    <n v="1"/>
    <n v="4"/>
    <n v="0"/>
    <n v="3"/>
    <n v="2"/>
    <n v="0"/>
    <n v="25"/>
    <n v="4"/>
    <n v="3"/>
    <n v="3"/>
    <n v="3092"/>
    <n v="1115"/>
    <n v="1977"/>
    <n v="0.80200000000000005"/>
    <n v="2133"/>
    <n v="41"/>
    <n v="0.78300000000000003"/>
    <n v="0.36099999999999999"/>
    <n v="3.0844999999999999E-4"/>
    <n v="0.99968999999999997"/>
    <s v="12.463956595983746"/>
    <s v="39.68487405236089"/>
    <n v="8.9980713494978808"/>
    <s v="3.4622561943943007"/>
    <n v="779528658"/>
    <x v="0"/>
    <n v="1.2356120000000001E-3"/>
    <x v="0"/>
  </r>
  <r>
    <n v="48"/>
    <n v="1"/>
    <n v="2"/>
    <n v="1"/>
    <n v="2"/>
    <n v="4"/>
    <n v="0"/>
    <n v="43"/>
    <n v="3"/>
    <n v="3"/>
    <n v="2"/>
    <n v="5945"/>
    <n v="1685"/>
    <n v="4260"/>
    <n v="0.9"/>
    <n v="3598"/>
    <n v="67"/>
    <n v="0.71799999999999997"/>
    <n v="0.28299999999999997"/>
    <n v="2.6027999999999999E-4"/>
    <n v="0.99973999999999996"/>
    <s v="65.86053561602525"/>
    <s v="20.05450197251332"/>
    <s v="97.19574570497562"/>
    <s v="10.921102164712924"/>
    <n v="815001108"/>
    <x v="0"/>
    <n v="3.3750932000000002E-4"/>
    <x v="0"/>
  </r>
  <r>
    <n v="50"/>
    <n v="1"/>
    <n v="2"/>
    <n v="6"/>
    <n v="2"/>
    <n v="0"/>
    <n v="0"/>
    <n v="36"/>
    <n v="5"/>
    <n v="1"/>
    <n v="3"/>
    <n v="9697"/>
    <n v="0"/>
    <n v="9697"/>
    <n v="0.75900000000000001"/>
    <n v="1812"/>
    <n v="50"/>
    <n v="0.92300000000000004"/>
    <n v="0"/>
    <n v="1.0183000000000001E-4"/>
    <n v="0.99990000000000001"/>
    <n v="5.8252222559905897"/>
    <s v="29.374870932201343"/>
    <s v="64.59854506495647"/>
    <s v="4.561746993992205"/>
    <n v="788946783"/>
    <x v="0"/>
    <n v="2.8040854000000001E-3"/>
    <x v="0"/>
  </r>
  <r>
    <n v="39"/>
    <n v="1"/>
    <n v="2"/>
    <n v="3"/>
    <n v="2"/>
    <n v="4"/>
    <n v="0"/>
    <n v="32"/>
    <n v="4"/>
    <n v="1"/>
    <n v="4"/>
    <n v="4423"/>
    <n v="1643"/>
    <n v="2780"/>
    <n v="0.72399999999999998"/>
    <n v="15467"/>
    <n v="112"/>
    <n v="0.623"/>
    <n v="0.371"/>
    <n v="1.5363E-4"/>
    <n v="0.99985000000000002"/>
    <s v="33.36304052490898"/>
    <s v="18.08952775001533"/>
    <s v="29.70313618106865"/>
    <s v="4.827841463416676"/>
    <n v="735825258"/>
    <x v="0"/>
    <n v="3.5533762999999998E-4"/>
    <x v="0"/>
  </r>
  <r>
    <n v="31"/>
    <n v="1"/>
    <n v="1"/>
    <n v="0"/>
    <n v="2"/>
    <n v="1"/>
    <n v="0"/>
    <n v="36"/>
    <n v="3"/>
    <n v="1"/>
    <n v="2"/>
    <n v="11109"/>
    <n v="2045"/>
    <n v="9064"/>
    <n v="0.625"/>
    <n v="13988"/>
    <n v="92"/>
    <n v="0.84"/>
    <n v="0.184"/>
    <s v="5.0261e-05"/>
    <n v="0.99995000000000001"/>
    <s v="9.985491630179814"/>
    <s v="75.00053365396914"/>
    <s v="40.12668496572858"/>
    <s v="12.12444891284064"/>
    <n v="715291908"/>
    <x v="0"/>
    <n v="3.4656386999999997E-4"/>
    <x v="0"/>
  </r>
  <r>
    <n v="42"/>
    <n v="0"/>
    <n v="4"/>
    <n v="5"/>
    <n v="2"/>
    <n v="4"/>
    <n v="3"/>
    <n v="36"/>
    <n v="4"/>
    <n v="3"/>
    <n v="3"/>
    <n v="10091"/>
    <n v="0"/>
    <n v="10091"/>
    <n v="1.121"/>
    <n v="3347"/>
    <n v="64"/>
    <n v="0.77800000000000002"/>
    <n v="0"/>
    <n v="2.9474999999999998E-4"/>
    <n v="0.99970999999999999"/>
    <s v="25.13703076956964"/>
    <s v="25.30724369452565"/>
    <s v="134.5025230027685"/>
    <s v="31.34193739243905"/>
    <n v="786493908"/>
    <x v="0"/>
    <n v="8.2658600000000003E-4"/>
    <x v="0"/>
  </r>
  <r>
    <n v="44"/>
    <n v="1"/>
    <n v="3"/>
    <n v="6"/>
    <n v="1"/>
    <n v="2"/>
    <n v="0"/>
    <n v="37"/>
    <n v="3"/>
    <n v="2"/>
    <n v="3"/>
    <n v="6224"/>
    <n v="0"/>
    <n v="6224"/>
    <n v="0.73799999999999999"/>
    <n v="1463"/>
    <n v="34"/>
    <n v="0.88900000000000001"/>
    <n v="0"/>
    <n v="2.1834E-4"/>
    <n v="0.99978"/>
    <s v="15.532174242959774"/>
    <s v="38.98148145799132"/>
    <s v="43.13709740681094"/>
    <n v="6.2752194040141198"/>
    <n v="788485908"/>
    <x v="0"/>
    <n v="3.5265972999999999E-3"/>
    <x v="0"/>
  </r>
  <r>
    <n v="37"/>
    <n v="1"/>
    <n v="2"/>
    <n v="6"/>
    <n v="2"/>
    <n v="1"/>
    <n v="0"/>
    <n v="28"/>
    <n v="4"/>
    <n v="4"/>
    <n v="3"/>
    <n v="2394"/>
    <n v="0"/>
    <n v="2394"/>
    <n v="1.0589999999999999"/>
    <n v="2805"/>
    <n v="85"/>
    <n v="0.66700000000000004"/>
    <n v="0"/>
    <n v="4.0182999999999999E-4"/>
    <n v="0.99960000000000004"/>
    <n v="15.496239866913999"/>
    <s v="98.66858754267317"/>
    <s v="112.41552563171388"/>
    <s v="13.237653585034815"/>
    <n v="719143308"/>
    <x v="0"/>
    <n v="8.1224046999999995E-4"/>
    <x v="0"/>
  </r>
  <r>
    <n v="51"/>
    <n v="0"/>
    <n v="2"/>
    <n v="3"/>
    <n v="1"/>
    <n v="4"/>
    <n v="0"/>
    <n v="45"/>
    <n v="4"/>
    <n v="3"/>
    <n v="2"/>
    <n v="3183"/>
    <n v="1358"/>
    <n v="1825"/>
    <n v="0.65700000000000003"/>
    <n v="3988"/>
    <n v="81"/>
    <n v="0.68799999999999994"/>
    <n v="0.42699999999999999"/>
    <n v="1.7485999999999999E-4"/>
    <n v="0.99983"/>
    <s v="26.36364686619114"/>
    <s v="53.70526775451064"/>
    <s v="47.533671399306606"/>
    <s v="30.33141002141472"/>
    <n v="803319633"/>
    <x v="0"/>
    <n v="3.2101269999999999E-4"/>
    <x v="0"/>
  </r>
  <r>
    <n v="49"/>
    <n v="0"/>
    <n v="3"/>
    <n v="3"/>
    <n v="1"/>
    <n v="4"/>
    <n v="0"/>
    <n v="45"/>
    <n v="3"/>
    <n v="3"/>
    <n v="0"/>
    <n v="1638"/>
    <n v="1038"/>
    <n v="600"/>
    <n v="0.71799999999999997"/>
    <n v="4150"/>
    <n v="70"/>
    <n v="0.59099999999999997"/>
    <n v="0.63400000000000001"/>
    <s v="6.6935e-05"/>
    <n v="0.99992999999999999"/>
    <s v="90.33895658887452"/>
    <s v="55.204912380725496"/>
    <s v="46.50817468175703"/>
    <n v="9.1587279009204305"/>
    <n v="824795358"/>
    <x v="0"/>
    <n v="3.2914013999999999E-4"/>
    <x v="0"/>
  </r>
  <r>
    <n v="58"/>
    <n v="0"/>
    <n v="0"/>
    <n v="2"/>
    <n v="2"/>
    <n v="1"/>
    <n v="0"/>
    <n v="39"/>
    <n v="4"/>
    <n v="3"/>
    <n v="2"/>
    <n v="5530"/>
    <n v="1233"/>
    <n v="4297"/>
    <n v="0.85899999999999999"/>
    <n v="5270"/>
    <n v="78"/>
    <n v="1"/>
    <n v="0.223"/>
    <n v="1.5435000000000001E-4"/>
    <n v="0.99985000000000002"/>
    <s v="6.252846927298969"/>
    <s v="10.724677089872356"/>
    <s v="27.805779850147736"/>
    <n v="4.2372342787725001"/>
    <n v="717596883"/>
    <x v="0"/>
    <n v="4.1460690000000002E-4"/>
    <x v="0"/>
  </r>
  <r>
    <n v="51"/>
    <n v="0"/>
    <n v="2"/>
    <n v="6"/>
    <n v="1"/>
    <n v="4"/>
    <n v="3"/>
    <n v="36"/>
    <n v="6"/>
    <n v="2"/>
    <n v="3"/>
    <n v="13812"/>
    <n v="1132"/>
    <n v="12680"/>
    <n v="0.69899999999999995"/>
    <n v="3723"/>
    <n v="56"/>
    <n v="0.86699999999999999"/>
    <n v="8.2000000000000003E-2"/>
    <n v="1.9013E-4"/>
    <n v="0.99980999999999998"/>
    <s v="14.967733814520615"/>
    <s v="27.440847574387444"/>
    <s v="130.52482469774264"/>
    <s v="2.617031470371139"/>
    <n v="709487058"/>
    <x v="0"/>
    <n v="4.8743596E-4"/>
    <x v="0"/>
  </r>
  <r>
    <n v="40"/>
    <n v="0"/>
    <n v="2"/>
    <n v="5"/>
    <n v="2"/>
    <n v="4"/>
    <n v="0"/>
    <n v="27"/>
    <n v="2"/>
    <n v="6"/>
    <n v="2"/>
    <n v="1965"/>
    <n v="0"/>
    <n v="1965"/>
    <n v="0.60799999999999998"/>
    <n v="4268"/>
    <n v="91"/>
    <n v="0.85699999999999998"/>
    <n v="0"/>
    <n v="1.46E-4"/>
    <n v="0.99985000000000002"/>
    <n v="43.599318754618103"/>
    <s v="6.578674736674524"/>
    <s v="87.84414730864847"/>
    <s v="8.960606221283426"/>
    <n v="716926758"/>
    <x v="0"/>
    <n v="6.9517245999999998E-4"/>
    <x v="0"/>
  </r>
  <r>
    <n v="49"/>
    <n v="1"/>
    <n v="2"/>
    <n v="6"/>
    <n v="2"/>
    <n v="4"/>
    <n v="0"/>
    <n v="42"/>
    <n v="4"/>
    <n v="2"/>
    <n v="2"/>
    <n v="4834"/>
    <n v="0"/>
    <n v="4834"/>
    <n v="0.998"/>
    <n v="1876"/>
    <n v="35"/>
    <n v="1.0589999999999999"/>
    <n v="0"/>
    <n v="1.2511E-4"/>
    <n v="0.99987000000000004"/>
    <s v="61.08018200375408"/>
    <s v="29.578184689708483"/>
    <s v="28.570884525371103"/>
    <s v="11.16761483103278"/>
    <n v="754457883"/>
    <x v="0"/>
    <n v="3.3865033E-3"/>
    <x v="0"/>
  </r>
  <r>
    <n v="46"/>
    <n v="0"/>
    <n v="3"/>
    <n v="0"/>
    <n v="2"/>
    <n v="4"/>
    <n v="0"/>
    <n v="36"/>
    <n v="5"/>
    <n v="2"/>
    <n v="2"/>
    <n v="2503"/>
    <n v="2373"/>
    <n v="130"/>
    <n v="0.69699999999999995"/>
    <n v="4647"/>
    <n v="65"/>
    <n v="0.80600000000000005"/>
    <n v="0.94799999999999995"/>
    <n v="1.1483E-4"/>
    <n v="0.99988999999999995"/>
    <s v="25.85541608003779"/>
    <s v="1.206318082103476"/>
    <s v="48.61192608886544"/>
    <s v="3.409835350959622"/>
    <n v="716079708"/>
    <x v="0"/>
    <n v="3.2890364000000001E-4"/>
    <x v="0"/>
  </r>
  <r>
    <n v="45"/>
    <n v="0"/>
    <n v="3"/>
    <n v="6"/>
    <n v="1"/>
    <n v="1"/>
    <n v="0"/>
    <n v="31"/>
    <n v="5"/>
    <n v="5"/>
    <n v="3"/>
    <n v="2016"/>
    <n v="1303"/>
    <n v="713"/>
    <n v="0.59899999999999998"/>
    <n v="3243"/>
    <n v="63"/>
    <n v="0.61499999999999999"/>
    <n v="0.64600000000000002"/>
    <n v="3.8536000000000001E-4"/>
    <n v="0.99961"/>
    <s v="36.09813574014895"/>
    <s v="16.857452784638316"/>
    <s v="51.30542128430298"/>
    <s v="10.290789718332771"/>
    <n v="714499908"/>
    <x v="0"/>
    <n v="3.5672840999999999E-4"/>
    <x v="0"/>
  </r>
  <r>
    <n v="54"/>
    <n v="1"/>
    <n v="1"/>
    <n v="0"/>
    <n v="1"/>
    <n v="2"/>
    <n v="0"/>
    <n v="42"/>
    <n v="3"/>
    <n v="2"/>
    <n v="2"/>
    <n v="2987"/>
    <n v="2517"/>
    <n v="470"/>
    <n v="0.47899999999999998"/>
    <n v="1617"/>
    <n v="35"/>
    <n v="0.75"/>
    <n v="0.84299999999999997"/>
    <n v="1.0387000000000001E-4"/>
    <n v="0.99990000000000001"/>
    <s v="23.807263177871157"/>
    <s v="78.73061689216681"/>
    <s v="91.62415247875909"/>
    <s v="17.963280898479397"/>
    <n v="720145683"/>
    <x v="0"/>
    <n v="1.1048665000000001E-3"/>
    <x v="0"/>
  </r>
  <r>
    <n v="53"/>
    <n v="1"/>
    <n v="2"/>
    <n v="6"/>
    <n v="1"/>
    <n v="0"/>
    <n v="0"/>
    <n v="49"/>
    <n v="6"/>
    <n v="2"/>
    <n v="3"/>
    <n v="3386"/>
    <n v="1984"/>
    <n v="1402"/>
    <n v="0.57299999999999995"/>
    <n v="1318"/>
    <n v="37"/>
    <n v="0.19400000000000001"/>
    <n v="0.58599999999999997"/>
    <n v="2.1042000000000001E-4"/>
    <n v="0.99978999999999996"/>
    <s v="39.415303590760125"/>
    <s v="44.182506210740485"/>
    <s v="53.10196257173992"/>
    <s v="6.193750897547442"/>
    <n v="823845783"/>
    <x v="0"/>
    <n v="1.1982243E-3"/>
    <x v="0"/>
  </r>
  <r>
    <n v="55"/>
    <n v="1"/>
    <n v="2"/>
    <n v="0"/>
    <n v="1"/>
    <n v="3"/>
    <n v="0"/>
    <n v="50"/>
    <n v="4"/>
    <n v="2"/>
    <n v="4"/>
    <n v="19159"/>
    <n v="2108"/>
    <n v="17051"/>
    <n v="0.69"/>
    <n v="1813"/>
    <n v="52"/>
    <n v="0.57599999999999996"/>
    <n v="0.11"/>
    <n v="3.1749000000000002E-4"/>
    <n v="0.99968000000000001"/>
    <s v="15.694636557834214"/>
    <s v="11.631503774115574"/>
    <s v="88.38105100112311"/>
    <s v="3.3880960480672404"/>
    <n v="809959683"/>
    <x v="0"/>
    <n v="7.7012624000000001E-4"/>
    <x v="0"/>
  </r>
  <r>
    <n v="43"/>
    <n v="0"/>
    <n v="4"/>
    <n v="5"/>
    <n v="1"/>
    <n v="4"/>
    <n v="0"/>
    <n v="30"/>
    <n v="2"/>
    <n v="2"/>
    <n v="3"/>
    <n v="2082"/>
    <n v="1794"/>
    <n v="288"/>
    <n v="0.73499999999999999"/>
    <n v="3423"/>
    <n v="48"/>
    <n v="0.92"/>
    <n v="0.86199999999999999"/>
    <n v="0.99517999999999995"/>
    <n v="4.8199899999999997E-3"/>
    <s v="3.365706841717213"/>
    <s v="41.48832274803844"/>
    <s v="56.22313399700649"/>
    <n v="10.8451662942798"/>
    <n v="718504233"/>
    <x v="1"/>
    <n v="0.99459390000000003"/>
    <x v="1"/>
  </r>
  <r>
    <n v="57"/>
    <n v="0"/>
    <n v="2"/>
    <n v="3"/>
    <n v="1"/>
    <n v="4"/>
    <n v="0"/>
    <n v="36"/>
    <n v="4"/>
    <n v="2"/>
    <n v="2"/>
    <n v="1438.3"/>
    <n v="904"/>
    <n v="534.29999999999995"/>
    <n v="0.76100000000000001"/>
    <n v="3887"/>
    <n v="79"/>
    <n v="0.83699999999999997"/>
    <n v="0.629"/>
    <n v="1.1065000000000001E-4"/>
    <n v="0.99988999999999995"/>
    <s v="37.57176743589165"/>
    <s v="80.53932235729096"/>
    <s v="36.51898759660239"/>
    <s v="14.274058071063996"/>
    <n v="721412208"/>
    <x v="0"/>
    <n v="4.0989029999999999E-4"/>
    <x v="0"/>
  </r>
  <r>
    <n v="56"/>
    <n v="1"/>
    <n v="2"/>
    <n v="3"/>
    <n v="1"/>
    <n v="3"/>
    <n v="0"/>
    <n v="45"/>
    <n v="3"/>
    <n v="2"/>
    <n v="3"/>
    <n v="5920"/>
    <n v="1589"/>
    <n v="4331"/>
    <n v="0.51200000000000001"/>
    <n v="1408"/>
    <n v="28"/>
    <n v="0.27300000000000002"/>
    <n v="0.26800000000000002"/>
    <n v="1.861E-4"/>
    <n v="0.99980999999999998"/>
    <s v="5.393774720512146"/>
    <s v="0.1946965578658083"/>
    <s v="101.94044313837382"/>
    <s v="5.954832275978736"/>
    <n v="789266208"/>
    <x v="0"/>
    <n v="1.232702E-3"/>
    <x v="0"/>
  </r>
  <r>
    <n v="55"/>
    <n v="1"/>
    <n v="2"/>
    <n v="6"/>
    <n v="1"/>
    <n v="0"/>
    <n v="0"/>
    <n v="41"/>
    <n v="4"/>
    <n v="3"/>
    <n v="2"/>
    <n v="14938"/>
    <n v="0"/>
    <n v="14938"/>
    <n v="0.49"/>
    <n v="1134"/>
    <n v="31"/>
    <n v="0.63200000000000001"/>
    <n v="0"/>
    <n v="1.9771E-4"/>
    <n v="0.99980000000000002"/>
    <s v="18.548776904411973"/>
    <s v="58.10055592888618"/>
    <s v="62.15093592626105"/>
    <n v="35.554940143687602"/>
    <n v="712523283"/>
    <x v="0"/>
    <n v="3.7827827E-3"/>
    <x v="0"/>
  </r>
  <r>
    <n v="50"/>
    <n v="1"/>
    <n v="2"/>
    <n v="3"/>
    <n v="1"/>
    <n v="3"/>
    <n v="0"/>
    <n v="36"/>
    <n v="6"/>
    <n v="2"/>
    <n v="1"/>
    <n v="16388"/>
    <n v="2001"/>
    <n v="14387"/>
    <n v="0.54700000000000004"/>
    <n v="4477"/>
    <n v="83"/>
    <n v="0.66"/>
    <n v="0.122"/>
    <s v="6.6728e-05"/>
    <n v="0.99992999999999999"/>
    <s v="43.78677385970415"/>
    <s v="114.96077553293551"/>
    <n v="89.156293410436902"/>
    <s v="6.549555414543853"/>
    <n v="715506258"/>
    <x v="0"/>
    <n v="3.2101269999999999E-4"/>
    <x v="0"/>
  </r>
  <r>
    <n v="41"/>
    <n v="1"/>
    <n v="1"/>
    <n v="5"/>
    <n v="1"/>
    <n v="2"/>
    <n v="0"/>
    <n v="25"/>
    <n v="3"/>
    <n v="2"/>
    <n v="0"/>
    <n v="7984"/>
    <n v="1503"/>
    <n v="6481"/>
    <n v="0.79700000000000004"/>
    <n v="1734"/>
    <n v="39"/>
    <n v="1.167"/>
    <n v="0.188"/>
    <s v="4.0521e-05"/>
    <n v="0.99995999999999996"/>
    <s v="10.049527272176356"/>
    <s v="16.96026635742592"/>
    <s v="32.60119572893695"/>
    <n v="9.1409625921112792"/>
    <n v="788853258"/>
    <x v="0"/>
    <n v="1.0249399E-3"/>
    <x v="0"/>
  </r>
  <r>
    <n v="55"/>
    <n v="1"/>
    <n v="3"/>
    <n v="2"/>
    <n v="2"/>
    <n v="3"/>
    <n v="0"/>
    <n v="51"/>
    <n v="6"/>
    <n v="2"/>
    <n v="3"/>
    <n v="17198"/>
    <n v="0"/>
    <n v="17198"/>
    <n v="0.80300000000000005"/>
    <n v="4042"/>
    <n v="62"/>
    <n v="0.72199999999999998"/>
    <n v="0"/>
    <n v="1.9864000000000001E-4"/>
    <n v="0.99980000000000002"/>
    <s v="25.82949672176184"/>
    <n v="64.715479559743699"/>
    <s v="50.21370298703086"/>
    <s v="0.8243363824977276"/>
    <n v="826706208"/>
    <x v="0"/>
    <n v="8.1245880000000001E-4"/>
    <x v="0"/>
  </r>
  <r>
    <n v="38"/>
    <n v="1"/>
    <n v="2"/>
    <n v="6"/>
    <n v="2"/>
    <n v="2"/>
    <n v="0"/>
    <n v="36"/>
    <n v="3"/>
    <n v="3"/>
    <n v="3"/>
    <n v="6692"/>
    <n v="2037"/>
    <n v="4655"/>
    <n v="0.40100000000000002"/>
    <n v="1468"/>
    <n v="36"/>
    <n v="0.24099999999999999"/>
    <n v="0.30399999999999999"/>
    <n v="3.3251E-4"/>
    <n v="0.99966999999999995"/>
    <s v="8.694384162957864"/>
    <s v="73.42263168348592"/>
    <s v="27.246193982302664"/>
    <s v="0.8586907640244322"/>
    <n v="712763808"/>
    <x v="0"/>
    <n v="1.232702E-3"/>
    <x v="0"/>
  </r>
  <r>
    <n v="36"/>
    <n v="0"/>
    <n v="1"/>
    <n v="1"/>
    <n v="2"/>
    <n v="4"/>
    <n v="0"/>
    <n v="25"/>
    <n v="1"/>
    <n v="2"/>
    <n v="3"/>
    <n v="2835"/>
    <n v="2511"/>
    <n v="324"/>
    <n v="0.73099999999999998"/>
    <n v="4811"/>
    <n v="77"/>
    <n v="0.92500000000000004"/>
    <n v="0.88600000000000001"/>
    <n v="2.6001000000000003E-4"/>
    <n v="0.99973999999999996"/>
    <n v="29.370229507018699"/>
    <n v="68.642793858566307"/>
    <s v="9.563705552342135"/>
    <s v="4.121398105679679"/>
    <n v="715980258"/>
    <x v="0"/>
    <n v="3.4692350000000002E-4"/>
    <x v="0"/>
  </r>
  <r>
    <n v="44"/>
    <n v="0"/>
    <n v="1"/>
    <n v="5"/>
    <n v="3"/>
    <n v="4"/>
    <n v="0"/>
    <n v="39"/>
    <n v="4"/>
    <n v="2"/>
    <n v="1"/>
    <n v="1555"/>
    <n v="0"/>
    <n v="1555"/>
    <n v="0.58299999999999996"/>
    <n v="3811"/>
    <n v="65"/>
    <n v="0.71099999999999997"/>
    <n v="0"/>
    <s v="6.6245e-05"/>
    <n v="0.99992999999999999"/>
    <n v="8.8590533883677107"/>
    <s v="35.86115487700968"/>
    <s v="33.02291045402518"/>
    <s v="3.5347214014392327"/>
    <n v="813890883"/>
    <x v="0"/>
    <n v="7.6807226000000001E-4"/>
    <x v="0"/>
  </r>
  <r>
    <n v="40"/>
    <n v="0"/>
    <n v="4"/>
    <n v="2"/>
    <n v="1"/>
    <n v="5"/>
    <n v="0"/>
    <n v="25"/>
    <n v="6"/>
    <n v="2"/>
    <n v="1"/>
    <n v="25060"/>
    <n v="0"/>
    <n v="25060"/>
    <n v="0.75800000000000001"/>
    <n v="3749"/>
    <n v="61"/>
    <n v="0.74299999999999999"/>
    <n v="0"/>
    <s v="7.1987e-05"/>
    <n v="0.99992999999999999"/>
    <s v="12.562074707876889"/>
    <s v="6.704931820308373"/>
    <s v="63.06959977325005"/>
    <s v="0.2930252994832566"/>
    <n v="712549758"/>
    <x v="0"/>
    <n v="8.1245880000000001E-4"/>
    <x v="0"/>
  </r>
  <r>
    <n v="52"/>
    <n v="1"/>
    <n v="3"/>
    <n v="5"/>
    <n v="1"/>
    <n v="3"/>
    <n v="0"/>
    <n v="44"/>
    <n v="3"/>
    <n v="3"/>
    <n v="3"/>
    <n v="11606"/>
    <n v="0"/>
    <n v="11606"/>
    <n v="0.79700000000000004"/>
    <n v="2623"/>
    <n v="39"/>
    <n v="0.39300000000000002"/>
    <n v="0"/>
    <n v="0.99690999999999996"/>
    <n v="3.08778E-3"/>
    <n v="60.906357969071202"/>
    <s v="10.301027487525818"/>
    <s v="16.380653046415347"/>
    <s v="22.127089068984954"/>
    <n v="788095158"/>
    <x v="1"/>
    <n v="0.99876772999999996"/>
    <x v="1"/>
  </r>
  <r>
    <n v="47"/>
    <n v="0"/>
    <n v="4"/>
    <n v="2"/>
    <n v="2"/>
    <n v="1"/>
    <n v="0"/>
    <n v="37"/>
    <n v="4"/>
    <n v="1"/>
    <n v="1"/>
    <n v="1438.3"/>
    <n v="703"/>
    <n v="735.3"/>
    <n v="0.86499999999999999"/>
    <n v="4341"/>
    <n v="80"/>
    <n v="0.95099999999999996"/>
    <n v="0.48899999999999999"/>
    <s v="3.4833e-05"/>
    <n v="0.99997000000000003"/>
    <s v="14.634378695229625"/>
    <s v="17.465933033454593"/>
    <s v="115.18293895791965"/>
    <s v="16.40974864270144"/>
    <n v="708859158"/>
    <x v="0"/>
    <n v="5.4489190000000002E-4"/>
    <x v="0"/>
  </r>
  <r>
    <n v="65"/>
    <n v="1"/>
    <n v="0"/>
    <n v="2"/>
    <n v="2"/>
    <n v="5"/>
    <n v="0"/>
    <n v="48"/>
    <n v="1"/>
    <n v="4"/>
    <n v="3"/>
    <n v="1671"/>
    <n v="0"/>
    <n v="1671"/>
    <n v="0.72499999999999998"/>
    <n v="2701"/>
    <n v="51"/>
    <n v="0.88900000000000001"/>
    <n v="0"/>
    <n v="0.99682000000000004"/>
    <n v="3.1763899999999999E-3"/>
    <s v="40.42484401940821"/>
    <s v="22.610354440066203"/>
    <s v="89.56093028598919"/>
    <s v="14.000843990430251"/>
    <n v="712777233"/>
    <x v="1"/>
    <n v="0.99799263000000005"/>
    <x v="1"/>
  </r>
  <r>
    <n v="49"/>
    <n v="1"/>
    <n v="3"/>
    <n v="0"/>
    <n v="1"/>
    <n v="3"/>
    <n v="0"/>
    <n v="37"/>
    <n v="5"/>
    <n v="1"/>
    <n v="2"/>
    <n v="2149"/>
    <n v="1796"/>
    <n v="353"/>
    <n v="0.628"/>
    <n v="5228"/>
    <n v="93"/>
    <n v="0.66100000000000003"/>
    <n v="0.83599999999999997"/>
    <s v="5.5564e-05"/>
    <n v="0.99994000000000005"/>
    <n v="2.2164718386102198"/>
    <n v="5.1255670996996097"/>
    <s v="33.61033382544851"/>
    <s v="1.7956034548389102"/>
    <n v="709124883"/>
    <x v="0"/>
    <n v="3.2101269999999999E-4"/>
    <x v="0"/>
  </r>
  <r>
    <n v="44"/>
    <n v="1"/>
    <n v="3"/>
    <n v="2"/>
    <n v="1"/>
    <n v="1"/>
    <n v="0"/>
    <n v="40"/>
    <n v="2"/>
    <n v="2"/>
    <n v="6"/>
    <n v="9502"/>
    <n v="2457"/>
    <n v="7045"/>
    <n v="0.91500000000000004"/>
    <n v="2310"/>
    <n v="57"/>
    <n v="0.67600000000000005"/>
    <n v="0.25900000000000001"/>
    <n v="0.99902999999999997"/>
    <n v="9.7026000000000002E-4"/>
    <s v="17.62438937784905"/>
    <s v="18.30397742433156"/>
    <s v="7.113353506751707"/>
    <n v="15.019845448375699"/>
    <n v="719657583"/>
    <x v="1"/>
    <n v="0.98430839999999997"/>
    <x v="1"/>
  </r>
  <r>
    <n v="53"/>
    <n v="1"/>
    <n v="3"/>
    <n v="4"/>
    <n v="2"/>
    <n v="3"/>
    <n v="0"/>
    <n v="44"/>
    <n v="5"/>
    <n v="2"/>
    <n v="2"/>
    <n v="19063"/>
    <n v="1236"/>
    <n v="17827"/>
    <n v="0.54200000000000004"/>
    <n v="3393"/>
    <n v="58"/>
    <n v="0.871"/>
    <n v="6.5000000000000002E-2"/>
    <n v="1.3897000000000001E-4"/>
    <n v="0.99985999999999997"/>
    <s v="48.37039201097405"/>
    <n v="46.034407198123702"/>
    <s v="12.530776187158756"/>
    <n v="0.17010175314895501"/>
    <n v="716713533"/>
    <x v="0"/>
    <n v="4.3616534000000002E-4"/>
    <x v="0"/>
  </r>
  <r>
    <n v="53"/>
    <n v="0"/>
    <n v="3"/>
    <n v="3"/>
    <n v="3"/>
    <n v="4"/>
    <n v="0"/>
    <n v="37"/>
    <n v="3"/>
    <n v="2"/>
    <n v="4"/>
    <n v="7202"/>
    <n v="974"/>
    <n v="6228"/>
    <n v="0.51700000000000002"/>
    <n v="1397"/>
    <n v="33"/>
    <n v="0.5"/>
    <n v="0.13500000000000001"/>
    <n v="3.2941999999999997E-4"/>
    <n v="0.99966999999999995"/>
    <s v="16.349953978126486"/>
    <s v="41.64421661411073"/>
    <s v="50.02819283838862"/>
    <s v="3.813187634243537"/>
    <n v="715764483"/>
    <x v="0"/>
    <n v="1.5176126E-3"/>
    <x v="0"/>
  </r>
  <r>
    <n v="53"/>
    <n v="0"/>
    <n v="4"/>
    <n v="2"/>
    <n v="2"/>
    <n v="4"/>
    <n v="0"/>
    <n v="46"/>
    <n v="4"/>
    <n v="1"/>
    <n v="2"/>
    <n v="4117"/>
    <n v="777"/>
    <n v="3340"/>
    <n v="0.59199999999999997"/>
    <n v="5218"/>
    <n v="88"/>
    <n v="0.6"/>
    <n v="0.189"/>
    <s v="5.7762e-05"/>
    <n v="0.99994000000000005"/>
    <s v="14.361500483479496"/>
    <s v="1.8396049239727048"/>
    <s v="71.98146206365966"/>
    <s v="10.23548810625471"/>
    <n v="789531633"/>
    <x v="0"/>
    <n v="5.3897389999999997E-4"/>
    <x v="0"/>
  </r>
  <r>
    <n v="58"/>
    <n v="0"/>
    <n v="2"/>
    <n v="5"/>
    <n v="1"/>
    <n v="1"/>
    <n v="0"/>
    <n v="47"/>
    <n v="3"/>
    <n v="2"/>
    <n v="2"/>
    <n v="2848"/>
    <n v="1468"/>
    <n v="1380"/>
    <n v="0.51700000000000002"/>
    <n v="1135"/>
    <n v="27"/>
    <n v="0.42099999999999999"/>
    <n v="0.51500000000000001"/>
    <n v="1.1703E-4"/>
    <n v="0.99987999999999999"/>
    <s v="22.40610185215782"/>
    <s v="91.18898322584698"/>
    <s v="61.71798273023533"/>
    <s v="20.775883059695506"/>
    <n v="719679858"/>
    <x v="0"/>
    <n v="1.232702E-3"/>
    <x v="0"/>
  </r>
  <r>
    <n v="64"/>
    <n v="1"/>
    <n v="0"/>
    <n v="0"/>
    <n v="2"/>
    <n v="4"/>
    <n v="3"/>
    <n v="56"/>
    <n v="5"/>
    <n v="4"/>
    <n v="4"/>
    <n v="12155"/>
    <n v="0"/>
    <n v="12155"/>
    <n v="0.44600000000000001"/>
    <n v="4618"/>
    <n v="60"/>
    <n v="0.875"/>
    <n v="0"/>
    <n v="4.7011999999999998E-4"/>
    <n v="0.99953000000000003"/>
    <s v="9.040196321369477"/>
    <s v="36.161971719884384"/>
    <n v="21.704378278355598"/>
    <s v="12.869241144717972"/>
    <n v="789563658"/>
    <x v="0"/>
    <n v="8.6722160000000004E-4"/>
    <x v="0"/>
  </r>
  <r>
    <n v="29"/>
    <n v="1"/>
    <n v="1"/>
    <n v="2"/>
    <n v="0"/>
    <n v="4"/>
    <n v="0"/>
    <n v="36"/>
    <n v="4"/>
    <n v="3"/>
    <n v="2"/>
    <n v="3839"/>
    <n v="1139"/>
    <n v="2700"/>
    <n v="0.63200000000000001"/>
    <n v="14791"/>
    <n v="124"/>
    <n v="0.77100000000000002"/>
    <n v="0.29699999999999999"/>
    <n v="1.6882999999999999E-4"/>
    <n v="0.99983"/>
    <s v="25.79657903650149"/>
    <s v="66.03281925685094"/>
    <s v="20.31598834503283"/>
    <n v="20.9721477607583"/>
    <n v="716836308"/>
    <x v="0"/>
    <n v="3.4656386999999997E-4"/>
    <x v="0"/>
  </r>
  <r>
    <n v="50"/>
    <n v="1"/>
    <n v="2"/>
    <n v="0"/>
    <n v="1"/>
    <n v="2"/>
    <n v="0"/>
    <n v="37"/>
    <n v="4"/>
    <n v="1"/>
    <n v="2"/>
    <n v="4743"/>
    <n v="1687"/>
    <n v="3056"/>
    <n v="0.95699999999999996"/>
    <n v="3739"/>
    <n v="55"/>
    <n v="0.61799999999999999"/>
    <n v="0.35599999999999998"/>
    <s v="5.3547e-05"/>
    <n v="0.99995000000000001"/>
    <s v="53.01510286807232"/>
    <s v="32.829692141944854"/>
    <s v="63.143257189647166"/>
    <s v="6.449230224910322"/>
    <n v="789705408"/>
    <x v="0"/>
    <n v="4.9584946999999999E-4"/>
    <x v="0"/>
  </r>
  <r>
    <n v="45"/>
    <n v="0"/>
    <n v="2"/>
    <n v="2"/>
    <n v="2"/>
    <n v="5"/>
    <n v="0"/>
    <n v="36"/>
    <n v="4"/>
    <n v="1"/>
    <n v="1"/>
    <n v="1785"/>
    <n v="0"/>
    <n v="1785"/>
    <n v="0.64900000000000002"/>
    <n v="4964"/>
    <n v="82"/>
    <n v="0.90700000000000003"/>
    <n v="0"/>
    <s v="3.3214e-05"/>
    <n v="0.99997000000000003"/>
    <s v="40.77149219620648"/>
    <s v="29.199695404736666"/>
    <s v="122.39979562146806"/>
    <s v="16.928280584729478"/>
    <n v="718871358"/>
    <x v="0"/>
    <n v="6.9517245999999998E-4"/>
    <x v="0"/>
  </r>
  <r>
    <n v="55"/>
    <n v="1"/>
    <n v="3"/>
    <n v="2"/>
    <n v="2"/>
    <n v="0"/>
    <n v="0"/>
    <n v="43"/>
    <n v="5"/>
    <n v="1"/>
    <n v="3"/>
    <n v="34516"/>
    <n v="0"/>
    <n v="34516"/>
    <n v="0.81299999999999994"/>
    <n v="4131"/>
    <n v="66"/>
    <n v="0.61"/>
    <n v="0"/>
    <s v="9.6126e-05"/>
    <n v="0.99990000000000001"/>
    <s v="17.19551429003625"/>
    <s v="13.290079373919802"/>
    <s v="11.07079044762317"/>
    <s v="0.4091171047042518"/>
    <n v="771469758"/>
    <x v="0"/>
    <n v="7.686247E-4"/>
    <x v="0"/>
  </r>
  <r>
    <n v="60"/>
    <n v="0"/>
    <n v="1"/>
    <n v="2"/>
    <n v="2"/>
    <n v="5"/>
    <n v="0"/>
    <n v="55"/>
    <n v="3"/>
    <n v="3"/>
    <n v="3"/>
    <n v="13397"/>
    <n v="0"/>
    <n v="13397"/>
    <n v="0.81399999999999995"/>
    <n v="5049"/>
    <n v="75"/>
    <n v="0.63"/>
    <n v="0"/>
    <n v="2.8394999999999999E-4"/>
    <n v="0.99972000000000005"/>
    <s v="31.83378771055164"/>
    <s v="13.583943496091734"/>
    <s v="4.452879028846554"/>
    <s v="4.611905457261977"/>
    <n v="806428908"/>
    <x v="0"/>
    <n v="7.1276520000000004E-4"/>
    <x v="0"/>
  </r>
  <r>
    <n v="52"/>
    <n v="1"/>
    <n v="2"/>
    <n v="2"/>
    <n v="2"/>
    <n v="3"/>
    <n v="0"/>
    <n v="36"/>
    <n v="6"/>
    <n v="2"/>
    <n v="2"/>
    <n v="16026"/>
    <n v="1160"/>
    <n v="14866"/>
    <n v="0.38600000000000001"/>
    <n v="4418"/>
    <n v="59"/>
    <n v="0.63900000000000001"/>
    <n v="7.1999999999999995E-2"/>
    <n v="1.1382E-4"/>
    <n v="0.99988999999999995"/>
    <n v="91.479323440956804"/>
    <s v="12.83949473308167"/>
    <s v="23.780347617266177"/>
    <s v="18.02000980218728"/>
    <n v="716955783"/>
    <x v="0"/>
    <n v="4.3956022000000001E-4"/>
    <x v="0"/>
  </r>
  <r>
    <n v="51"/>
    <n v="1"/>
    <n v="3"/>
    <n v="1"/>
    <n v="1"/>
    <n v="3"/>
    <n v="0"/>
    <n v="45"/>
    <n v="5"/>
    <n v="2"/>
    <n v="4"/>
    <n v="32096"/>
    <n v="0"/>
    <n v="32096"/>
    <n v="0.76600000000000001"/>
    <n v="2619"/>
    <n v="69"/>
    <n v="0.91700000000000004"/>
    <n v="0"/>
    <n v="4.9030000000000005E-4"/>
    <n v="0.99951000000000001"/>
    <s v="39.63070684769256"/>
    <s v="31.37534531630037"/>
    <s v="31.188549031139992"/>
    <s v="1.5496632512988526"/>
    <n v="796336833"/>
    <x v="0"/>
    <n v="9.3934225E-4"/>
    <x v="0"/>
  </r>
  <r>
    <n v="51"/>
    <n v="0"/>
    <n v="1"/>
    <n v="2"/>
    <n v="1"/>
    <n v="4"/>
    <n v="0"/>
    <n v="44"/>
    <n v="6"/>
    <n v="2"/>
    <n v="0"/>
    <n v="6160"/>
    <n v="2258"/>
    <n v="3902"/>
    <n v="0.71699999999999997"/>
    <n v="3986"/>
    <n v="80"/>
    <n v="0.6"/>
    <n v="0.36699999999999999"/>
    <s v="3.941e-05"/>
    <n v="0.99995999999999996"/>
    <s v="34.189547964484234"/>
    <s v="31.952245987100078"/>
    <s v="16.599901827280505"/>
    <s v="13.809955768785075"/>
    <n v="766456683"/>
    <x v="0"/>
    <n v="3.2914013999999999E-4"/>
    <x v="0"/>
  </r>
  <r>
    <n v="50"/>
    <n v="0"/>
    <n v="1"/>
    <n v="2"/>
    <n v="2"/>
    <n v="4"/>
    <n v="0"/>
    <n v="36"/>
    <n v="1"/>
    <n v="3"/>
    <n v="4"/>
    <n v="2422"/>
    <n v="502"/>
    <n v="1920"/>
    <n v="0.997"/>
    <n v="2548"/>
    <n v="46"/>
    <n v="0.48399999999999999"/>
    <n v="0.20699999999999999"/>
    <n v="0.99794000000000005"/>
    <n v="2.05937E-3"/>
    <s v="16.958937260162738"/>
    <s v="17.513558075926042"/>
    <s v="69.17906649359989"/>
    <n v="20.6452531267214"/>
    <n v="708708858"/>
    <x v="1"/>
    <n v="0.99814594000000001"/>
    <x v="1"/>
  </r>
  <r>
    <n v="43"/>
    <n v="1"/>
    <n v="4"/>
    <n v="5"/>
    <n v="2"/>
    <n v="3"/>
    <n v="0"/>
    <n v="32"/>
    <n v="4"/>
    <n v="1"/>
    <n v="3"/>
    <n v="16043"/>
    <n v="2036"/>
    <n v="14007"/>
    <n v="0.7"/>
    <n v="1394"/>
    <n v="28"/>
    <n v="0.75"/>
    <n v="0.127"/>
    <s v="9.9893e-05"/>
    <n v="0.99990000000000001"/>
    <s v="19.894479739876815"/>
    <s v="39.070897035800776"/>
    <s v="37.31385853721403"/>
    <s v="5.676712069688811"/>
    <n v="772145658"/>
    <x v="0"/>
    <n v="1.0337284E-3"/>
    <x v="0"/>
  </r>
  <r>
    <n v="42"/>
    <n v="1"/>
    <n v="2"/>
    <n v="6"/>
    <n v="1"/>
    <n v="0"/>
    <n v="0"/>
    <n v="31"/>
    <n v="3"/>
    <n v="2"/>
    <n v="4"/>
    <n v="34516"/>
    <n v="1067"/>
    <n v="33449"/>
    <n v="0.48699999999999999"/>
    <n v="4281"/>
    <n v="72"/>
    <n v="0.63600000000000001"/>
    <n v="3.1E-2"/>
    <n v="3.5893999999999998E-4"/>
    <n v="0.99963999999999997"/>
    <s v="17.638182497977034"/>
    <s v="13.256358778014429"/>
    <s v="57.24109605458376"/>
    <s v="2.471542383502051"/>
    <n v="719341683"/>
    <x v="0"/>
    <n v="3.6634394000000002E-4"/>
    <x v="0"/>
  </r>
  <r>
    <n v="40"/>
    <n v="0"/>
    <n v="2"/>
    <n v="2"/>
    <n v="2"/>
    <n v="4"/>
    <n v="0"/>
    <n v="36"/>
    <n v="6"/>
    <n v="2"/>
    <n v="2"/>
    <n v="1538"/>
    <n v="0"/>
    <n v="1538"/>
    <n v="0.70599999999999996"/>
    <n v="4884"/>
    <n v="79"/>
    <n v="0.88100000000000001"/>
    <n v="0"/>
    <n v="1.1382E-4"/>
    <n v="0.99988999999999995"/>
    <s v="3.803971801717405"/>
    <s v="63.97803808384558"/>
    <s v="57.42736540548398"/>
    <s v="14.34876229294943"/>
    <n v="711069483"/>
    <x v="0"/>
    <n v="6.9517245999999998E-4"/>
    <x v="0"/>
  </r>
  <r>
    <n v="40"/>
    <n v="1"/>
    <n v="2"/>
    <n v="2"/>
    <n v="1"/>
    <n v="1"/>
    <n v="3"/>
    <n v="33"/>
    <n v="4"/>
    <n v="3"/>
    <n v="1"/>
    <n v="18737"/>
    <n v="0"/>
    <n v="18737"/>
    <n v="0.79700000000000004"/>
    <n v="4010"/>
    <n v="76"/>
    <n v="0.76700000000000002"/>
    <n v="0"/>
    <s v="9.8015e-05"/>
    <n v="0.99990000000000001"/>
    <s v="22.24652682303559"/>
    <s v="37.93825577961495"/>
    <s v="48.55132798812615"/>
    <s v="16.420157069955714"/>
    <n v="769578858"/>
    <x v="0"/>
    <n v="6.9517245999999998E-4"/>
    <x v="0"/>
  </r>
  <r>
    <n v="58"/>
    <n v="1"/>
    <n v="1"/>
    <n v="2"/>
    <n v="1"/>
    <n v="2"/>
    <n v="0"/>
    <n v="46"/>
    <n v="3"/>
    <n v="3"/>
    <n v="2"/>
    <n v="10021"/>
    <n v="1617"/>
    <n v="8404"/>
    <n v="0.57799999999999996"/>
    <n v="1275"/>
    <n v="25"/>
    <n v="0.66700000000000004"/>
    <n v="0.161"/>
    <n v="1.6882999999999999E-4"/>
    <n v="0.99983"/>
    <s v="38.81872432535296"/>
    <s v="16.24774224396303"/>
    <s v="124.45171808543289"/>
    <s v="1.3085012938869305"/>
    <n v="715585158"/>
    <x v="0"/>
    <n v="1.0634780000000001E-3"/>
    <x v="0"/>
  </r>
  <r>
    <n v="41"/>
    <n v="1"/>
    <n v="3"/>
    <n v="3"/>
    <n v="1"/>
    <n v="2"/>
    <n v="0"/>
    <n v="28"/>
    <n v="5"/>
    <n v="1"/>
    <n v="1"/>
    <n v="9577"/>
    <n v="632"/>
    <n v="8945"/>
    <n v="0.379"/>
    <n v="4086"/>
    <n v="62"/>
    <n v="0.77100000000000002"/>
    <n v="6.6000000000000003E-2"/>
    <s v="3.3505e-05"/>
    <n v="0.99997000000000003"/>
    <s v="9.182002569264217"/>
    <n v="21.776520903597699"/>
    <s v="116.69081716122686"/>
    <s v="25.43342284279261"/>
    <n v="721316358"/>
    <x v="0"/>
    <n v="6.5728270000000005E-4"/>
    <x v="0"/>
  </r>
  <r>
    <n v="53"/>
    <n v="1"/>
    <n v="3"/>
    <n v="3"/>
    <n v="1"/>
    <n v="0"/>
    <n v="0"/>
    <n v="47"/>
    <n v="5"/>
    <n v="1"/>
    <n v="3"/>
    <n v="19081"/>
    <n v="2431"/>
    <n v="16650"/>
    <n v="0.37"/>
    <n v="1536"/>
    <n v="31"/>
    <n v="0.47599999999999998"/>
    <n v="0.127"/>
    <s v="9.3448e-05"/>
    <n v="0.99990999999999997"/>
    <s v="26.610271846948784"/>
    <s v="78.51184635308235"/>
    <s v="41.28547790977421"/>
    <s v="7.044640900676114"/>
    <n v="797468658"/>
    <x v="0"/>
    <n v="1.2315542E-3"/>
    <x v="0"/>
  </r>
  <r>
    <n v="45"/>
    <n v="0"/>
    <n v="4"/>
    <n v="4"/>
    <n v="2"/>
    <n v="1"/>
    <n v="0"/>
    <n v="36"/>
    <n v="1"/>
    <n v="3"/>
    <n v="3"/>
    <n v="4688"/>
    <n v="0"/>
    <n v="4688"/>
    <n v="0.59299999999999997"/>
    <n v="5248"/>
    <n v="89"/>
    <n v="0.745"/>
    <n v="0"/>
    <n v="3.7329000000000003E-4"/>
    <n v="0.99963000000000002"/>
    <s v="26.709555056501816"/>
    <s v="25.486975167865975"/>
    <s v="21.401339740512363"/>
    <s v="1.6189779479426494"/>
    <n v="715807383"/>
    <x v="0"/>
    <n v="6.9517245999999998E-4"/>
    <x v="0"/>
  </r>
  <r>
    <n v="35"/>
    <n v="0"/>
    <n v="2"/>
    <n v="6"/>
    <n v="2"/>
    <n v="4"/>
    <n v="0"/>
    <n v="20"/>
    <n v="6"/>
    <n v="1"/>
    <n v="2"/>
    <n v="2691"/>
    <n v="1935"/>
    <n v="756"/>
    <n v="0.68100000000000005"/>
    <n v="4365"/>
    <n v="86"/>
    <n v="0.91100000000000003"/>
    <n v="0.71899999999999997"/>
    <s v="6.054e-05"/>
    <n v="0.99994000000000005"/>
    <s v="8.265222455364029"/>
    <n v="90.414148706238606"/>
    <s v="107.12125984206288"/>
    <s v="4.702574537255312"/>
    <n v="721256808"/>
    <x v="0"/>
    <n v="3.2101269999999999E-4"/>
    <x v="0"/>
  </r>
  <r>
    <n v="45"/>
    <n v="1"/>
    <n v="4"/>
    <n v="0"/>
    <n v="1"/>
    <n v="3"/>
    <n v="0"/>
    <n v="31"/>
    <n v="4"/>
    <n v="3"/>
    <n v="3"/>
    <n v="31978"/>
    <n v="1659"/>
    <n v="30319"/>
    <n v="0.55600000000000005"/>
    <n v="2333"/>
    <n v="51"/>
    <n v="1.2170000000000001"/>
    <n v="5.1999999999999998E-2"/>
    <n v="3.0844999999999999E-4"/>
    <n v="0.99968999999999997"/>
    <s v="18.66938335711564"/>
    <s v="11.379250786010328"/>
    <s v="3.575751917060012"/>
    <s v="11.586388005320554"/>
    <n v="715588008"/>
    <x v="0"/>
    <n v="1.1348460999999999E-3"/>
    <x v="0"/>
  </r>
  <r>
    <n v="46"/>
    <n v="1"/>
    <n v="1"/>
    <n v="2"/>
    <n v="0"/>
    <n v="1"/>
    <n v="0"/>
    <n v="37"/>
    <n v="1"/>
    <n v="2"/>
    <n v="2"/>
    <n v="11343"/>
    <n v="1175"/>
    <n v="10168"/>
    <n v="0.69899999999999995"/>
    <n v="8313"/>
    <n v="107"/>
    <n v="0.67200000000000004"/>
    <n v="0.104"/>
    <n v="1.0684E-4"/>
    <n v="0.99988999999999995"/>
    <s v="1.0718679362146168"/>
    <s v="65.33843228856131"/>
    <n v="34.320221905711698"/>
    <s v="4.270214863375644"/>
    <n v="711550983"/>
    <x v="0"/>
    <n v="3.6856539999999998E-4"/>
    <x v="0"/>
  </r>
  <r>
    <n v="54"/>
    <n v="0"/>
    <n v="2"/>
    <n v="6"/>
    <n v="1"/>
    <n v="4"/>
    <n v="0"/>
    <n v="46"/>
    <n v="4"/>
    <n v="3"/>
    <n v="3"/>
    <n v="2611"/>
    <n v="1573"/>
    <n v="1038"/>
    <n v="0.90200000000000002"/>
    <n v="4899"/>
    <n v="68"/>
    <n v="0.58099999999999996"/>
    <n v="0.60199999999999998"/>
    <n v="3.3251E-4"/>
    <n v="0.99966999999999995"/>
    <s v="31.53973065007245"/>
    <s v="18.12371903303353"/>
    <s v="33.01834755744941"/>
    <s v="6.877437200154984"/>
    <n v="715215108"/>
    <x v="0"/>
    <n v="3.3028650000000001E-4"/>
    <x v="0"/>
  </r>
  <r>
    <n v="64"/>
    <n v="1"/>
    <n v="1"/>
    <n v="2"/>
    <n v="1"/>
    <n v="4"/>
    <n v="0"/>
    <n v="52"/>
    <n v="6"/>
    <n v="4"/>
    <n v="3"/>
    <n v="1709"/>
    <n v="895"/>
    <n v="814"/>
    <n v="1.6559999999999999"/>
    <n v="1673"/>
    <n v="32"/>
    <n v="0.88200000000000001"/>
    <n v="0.52400000000000002"/>
    <n v="3.4315000000000002E-4"/>
    <n v="0.99965999999999999"/>
    <s v="12.33203682305246"/>
    <s v="28.80770353351295"/>
    <n v="11.4770269401505"/>
    <s v="4.694002528158386"/>
    <n v="719712633"/>
    <x v="0"/>
    <n v="1.3386912E-3"/>
    <x v="0"/>
  </r>
  <r>
    <n v="33"/>
    <n v="0"/>
    <n v="4"/>
    <n v="3"/>
    <n v="2"/>
    <n v="5"/>
    <n v="0"/>
    <n v="29"/>
    <n v="6"/>
    <n v="2"/>
    <n v="3"/>
    <n v="12716"/>
    <n v="1496"/>
    <n v="11220"/>
    <n v="1.032"/>
    <n v="2412"/>
    <n v="64"/>
    <n v="0.6"/>
    <n v="0.11799999999999999"/>
    <n v="1.9516999999999999E-4"/>
    <n v="0.99980000000000002"/>
    <s v="10.662880077946026"/>
    <s v="54.53229653323031"/>
    <s v="30.37399002408576"/>
    <s v="17.400478986080387"/>
    <n v="709545333"/>
    <x v="0"/>
    <n v="4.0981140000000002E-4"/>
    <x v="0"/>
  </r>
  <r>
    <n v="53"/>
    <n v="0"/>
    <n v="2"/>
    <n v="0"/>
    <n v="2"/>
    <n v="4"/>
    <n v="0"/>
    <n v="48"/>
    <n v="2"/>
    <n v="2"/>
    <n v="2"/>
    <n v="8259"/>
    <n v="1182"/>
    <n v="7077"/>
    <n v="0.82199999999999995"/>
    <n v="7957"/>
    <n v="88"/>
    <n v="0.54400000000000004"/>
    <n v="0.14299999999999999"/>
    <n v="1.1066E-4"/>
    <n v="0.99988999999999995"/>
    <s v="27.419778133763536"/>
    <s v="47.021510708180585"/>
    <s v="10.341638822537108"/>
    <s v="8.114989696220986"/>
    <n v="816073983"/>
    <x v="0"/>
    <n v="3.7789578000000003E-4"/>
    <x v="0"/>
  </r>
  <r>
    <n v="55"/>
    <n v="0"/>
    <n v="3"/>
    <n v="4"/>
    <n v="1"/>
    <n v="5"/>
    <n v="0"/>
    <n v="36"/>
    <n v="3"/>
    <n v="2"/>
    <n v="3"/>
    <n v="16547"/>
    <n v="1521"/>
    <n v="15026"/>
    <n v="0.55500000000000005"/>
    <n v="1782"/>
    <n v="48"/>
    <n v="0.33300000000000002"/>
    <n v="9.1999999999999998E-2"/>
    <n v="2.3373E-4"/>
    <n v="0.99977000000000005"/>
    <s v="3.333344070421645"/>
    <s v="9.645768023861462"/>
    <s v="18.991295303463744"/>
    <s v="15.992374214503071"/>
    <n v="708486033"/>
    <x v="0"/>
    <n v="1.2680358000000001E-3"/>
    <x v="0"/>
  </r>
  <r>
    <n v="64"/>
    <n v="0"/>
    <n v="0"/>
    <n v="3"/>
    <n v="2"/>
    <n v="4"/>
    <n v="0"/>
    <n v="56"/>
    <n v="6"/>
    <n v="6"/>
    <n v="1"/>
    <n v="2609"/>
    <n v="1115"/>
    <n v="1494"/>
    <n v="0.753"/>
    <n v="4546"/>
    <n v="59"/>
    <n v="0.90300000000000002"/>
    <n v="0.42699999999999999"/>
    <s v="7.1435e-05"/>
    <n v="0.99992999999999999"/>
    <s v="23.199257375293907"/>
    <s v="5.587436376961358"/>
    <s v="49.54446909516887"/>
    <s v="7.828977479647718"/>
    <n v="816528333"/>
    <x v="0"/>
    <n v="3.8517435000000002E-4"/>
    <x v="0"/>
  </r>
  <r>
    <n v="52"/>
    <n v="1"/>
    <n v="2"/>
    <n v="3"/>
    <n v="2"/>
    <n v="3"/>
    <n v="0"/>
    <n v="44"/>
    <n v="6"/>
    <n v="2"/>
    <n v="4"/>
    <n v="2650"/>
    <n v="1049"/>
    <n v="1601"/>
    <n v="0.874"/>
    <n v="4218"/>
    <n v="64"/>
    <n v="0.73"/>
    <n v="0.39600000000000002"/>
    <n v="3.1745999999999999E-4"/>
    <n v="0.99968000000000001"/>
    <s v="24.97595337878782"/>
    <s v="24.31666185513429"/>
    <s v="12.585635105470786"/>
    <s v="13.200178772874551"/>
    <n v="716995083"/>
    <x v="0"/>
    <n v="3.3750320000000002E-4"/>
    <x v="0"/>
  </r>
  <r>
    <n v="52"/>
    <n v="1"/>
    <n v="1"/>
    <n v="2"/>
    <n v="1"/>
    <n v="2"/>
    <n v="0"/>
    <n v="43"/>
    <n v="3"/>
    <n v="3"/>
    <n v="2"/>
    <n v="7187"/>
    <n v="2014"/>
    <n v="5173"/>
    <n v="0.64900000000000002"/>
    <n v="1159"/>
    <n v="26"/>
    <n v="0.73299999999999998"/>
    <n v="0.28000000000000003"/>
    <n v="1.6882999999999999E-4"/>
    <n v="0.99983"/>
    <s v="66.04674814566492"/>
    <s v="31.786498895142525"/>
    <s v="55.069179439990464"/>
    <s v="12.24614816978326"/>
    <n v="711786108"/>
    <x v="0"/>
    <n v="1.0634780000000001E-3"/>
    <x v="0"/>
  </r>
  <r>
    <n v="39"/>
    <n v="1"/>
    <n v="4"/>
    <n v="2"/>
    <n v="1"/>
    <n v="3"/>
    <n v="0"/>
    <n v="35"/>
    <n v="6"/>
    <n v="2"/>
    <n v="1"/>
    <n v="2981"/>
    <n v="757"/>
    <n v="2224"/>
    <n v="0.76400000000000001"/>
    <n v="4824"/>
    <n v="76"/>
    <n v="0.81"/>
    <n v="0.254"/>
    <s v="7.1987e-05"/>
    <n v="0.99992999999999999"/>
    <s v="7.322005431644876"/>
    <s v="35.44754130635735"/>
    <s v="15.368001323910937"/>
    <s v="4.370963266109409"/>
    <n v="823878408"/>
    <x v="0"/>
    <n v="5.4489190000000002E-4"/>
    <x v="0"/>
  </r>
  <r>
    <n v="48"/>
    <n v="0"/>
    <n v="1"/>
    <n v="2"/>
    <n v="3"/>
    <n v="4"/>
    <n v="0"/>
    <n v="36"/>
    <n v="6"/>
    <n v="2"/>
    <n v="3"/>
    <n v="1708"/>
    <n v="1059"/>
    <n v="649"/>
    <n v="0.76400000000000001"/>
    <n v="4880"/>
    <n v="79"/>
    <n v="0.79500000000000004"/>
    <n v="0.62"/>
    <n v="1.7969000000000001E-4"/>
    <n v="0.99982000000000004"/>
    <s v="44.34181975018494"/>
    <s v="20.012574641018997"/>
    <s v="141.0687819625639"/>
    <s v="16.89925722123379"/>
    <n v="771592458"/>
    <x v="0"/>
    <n v="3.2101269999999999E-4"/>
    <x v="0"/>
  </r>
  <r>
    <n v="32"/>
    <n v="0"/>
    <n v="1"/>
    <n v="2"/>
    <n v="1"/>
    <n v="4"/>
    <n v="0"/>
    <n v="23"/>
    <n v="1"/>
    <n v="2"/>
    <n v="3"/>
    <n v="4065"/>
    <n v="230"/>
    <n v="3835"/>
    <n v="0.77900000000000003"/>
    <n v="7844"/>
    <n v="64"/>
    <n v="0.73"/>
    <n v="5.7000000000000002E-2"/>
    <n v="0.99446999999999997"/>
    <n v="5.5300000000000002E-3"/>
    <s v="32.631145142501225"/>
    <s v="45.49632567867381"/>
    <s v="68.26784725879952"/>
    <s v="0.6818707384027514"/>
    <n v="789432033"/>
    <x v="1"/>
    <n v="0.99520869999999995"/>
    <x v="1"/>
  </r>
  <r>
    <n v="44"/>
    <n v="1"/>
    <n v="2"/>
    <n v="5"/>
    <n v="0"/>
    <n v="2"/>
    <n v="0"/>
    <n v="34"/>
    <n v="6"/>
    <n v="3"/>
    <n v="2"/>
    <n v="3650"/>
    <n v="1270"/>
    <n v="2380"/>
    <n v="0.79200000000000004"/>
    <n v="4250"/>
    <n v="81"/>
    <n v="0.92900000000000005"/>
    <n v="0.34799999999999998"/>
    <n v="1.8494E-4"/>
    <n v="0.99982000000000004"/>
    <s v="21.80805327114141"/>
    <s v="43.870638742007536"/>
    <s v="56.88680491794156"/>
    <n v="8.1740057618478108"/>
    <n v="717147708"/>
    <x v="0"/>
    <n v="3.2101269999999999E-4"/>
    <x v="0"/>
  </r>
  <r>
    <n v="46"/>
    <n v="1"/>
    <n v="3"/>
    <n v="2"/>
    <n v="0"/>
    <n v="3"/>
    <n v="0"/>
    <n v="33"/>
    <n v="1"/>
    <n v="3"/>
    <n v="1"/>
    <n v="34516"/>
    <n v="975"/>
    <n v="33541"/>
    <n v="0.73799999999999999"/>
    <n v="12871"/>
    <n v="104"/>
    <n v="0.55200000000000005"/>
    <n v="2.8000000000000001E-2"/>
    <n v="1.1256000000000001E-4"/>
    <n v="0.99988999999999995"/>
    <s v="28.83261942285235"/>
    <s v="38.65756691968142"/>
    <s v="4.932642754181336"/>
    <s v="10.77608179951416"/>
    <n v="720174033"/>
    <x v="0"/>
    <n v="4.7152484000000003E-4"/>
    <x v="0"/>
  </r>
  <r>
    <n v="44"/>
    <n v="1"/>
    <n v="2"/>
    <n v="2"/>
    <n v="1"/>
    <n v="2"/>
    <n v="0"/>
    <n v="36"/>
    <n v="3"/>
    <n v="1"/>
    <n v="2"/>
    <n v="4141"/>
    <n v="1424"/>
    <n v="2717"/>
    <n v="0.57399999999999995"/>
    <n v="3512"/>
    <n v="65"/>
    <n v="0.47699999999999998"/>
    <n v="0.34399999999999997"/>
    <s v="5.5077e-05"/>
    <n v="0.99994000000000005"/>
    <s v="53.93689673010697"/>
    <s v="15.841477753098683"/>
    <s v="186.9464380945944"/>
    <s v="4.6510230824614975"/>
    <n v="715357308"/>
    <x v="0"/>
    <n v="3.6626330000000002E-4"/>
    <x v="0"/>
  </r>
  <r>
    <n v="47"/>
    <n v="0"/>
    <n v="1"/>
    <n v="1"/>
    <n v="1"/>
    <n v="1"/>
    <n v="0"/>
    <n v="36"/>
    <n v="2"/>
    <n v="3"/>
    <n v="2"/>
    <n v="1438.3"/>
    <n v="0"/>
    <n v="1438.3"/>
    <n v="0.83799999999999997"/>
    <n v="2584"/>
    <n v="42"/>
    <n v="0.44800000000000001"/>
    <n v="0"/>
    <n v="0.99592000000000003"/>
    <n v="4.0754800000000002E-3"/>
    <s v="3.775554112358535"/>
    <s v="37.550665733707135"/>
    <s v="19.12440159931018"/>
    <s v="14.623087632548463"/>
    <n v="796903083"/>
    <x v="1"/>
    <n v="0.99876772999999996"/>
    <x v="1"/>
  </r>
  <r>
    <n v="43"/>
    <n v="0"/>
    <n v="3"/>
    <n v="5"/>
    <n v="2"/>
    <n v="4"/>
    <n v="0"/>
    <n v="35"/>
    <n v="5"/>
    <n v="2"/>
    <n v="3"/>
    <n v="4026"/>
    <n v="0"/>
    <n v="4026"/>
    <n v="0.48299999999999998"/>
    <n v="1237"/>
    <n v="32"/>
    <n v="0.6"/>
    <n v="0"/>
    <n v="2.0424000000000001E-4"/>
    <n v="0.99980000000000002"/>
    <n v="27.794050023276998"/>
    <s v="16.48348032951586"/>
    <s v="113.2478798006577"/>
    <s v="8.620414005442239"/>
    <n v="711743883"/>
    <x v="0"/>
    <n v="3.7827827E-3"/>
    <x v="0"/>
  </r>
  <r>
    <n v="45"/>
    <n v="0"/>
    <n v="0"/>
    <n v="6"/>
    <n v="2"/>
    <n v="4"/>
    <n v="0"/>
    <n v="36"/>
    <n v="6"/>
    <n v="2"/>
    <n v="3"/>
    <n v="3230"/>
    <n v="2517"/>
    <n v="713"/>
    <n v="0.61499999999999999"/>
    <n v="1931"/>
    <n v="57"/>
    <n v="0.42499999999999999"/>
    <n v="0.77900000000000003"/>
    <n v="1.8056999999999999E-4"/>
    <n v="0.99982000000000004"/>
    <s v="21.171291650522715"/>
    <s v="31.895332863344567"/>
    <s v="57.67375405694496"/>
    <s v="14.432908457417032"/>
    <n v="716162583"/>
    <x v="0"/>
    <n v="5.9360713999999999E-4"/>
    <x v="0"/>
  </r>
  <r>
    <n v="57"/>
    <n v="0"/>
    <n v="2"/>
    <n v="3"/>
    <n v="1"/>
    <n v="1"/>
    <n v="0"/>
    <n v="45"/>
    <n v="2"/>
    <n v="1"/>
    <n v="3"/>
    <n v="1438.3"/>
    <n v="0"/>
    <n v="1438.3"/>
    <n v="1.036"/>
    <n v="1254"/>
    <n v="35"/>
    <n v="0.84199999999999997"/>
    <n v="0"/>
    <n v="0.98902000000000001"/>
    <n v="1.098E-2"/>
    <s v="15.056830783952918"/>
    <s v="72.76876683808962"/>
    <s v="75.01872929998548"/>
    <s v="7.129165195521909"/>
    <n v="788673708"/>
    <x v="1"/>
    <n v="0.99837980000000004"/>
    <x v="1"/>
  </r>
  <r>
    <n v="40"/>
    <n v="0"/>
    <n v="4"/>
    <n v="0"/>
    <n v="1"/>
    <n v="4"/>
    <n v="0"/>
    <n v="36"/>
    <n v="6"/>
    <n v="1"/>
    <n v="2"/>
    <n v="1438.3"/>
    <n v="0"/>
    <n v="1438.3"/>
    <n v="0.78500000000000003"/>
    <n v="3308"/>
    <n v="54"/>
    <n v="1"/>
    <n v="0"/>
    <s v="5.6158e-05"/>
    <n v="0.99994000000000005"/>
    <s v="5.287548883618158"/>
    <s v="45.21280707814103"/>
    <s v="89.94205874369608"/>
    <s v="21.746262690590665"/>
    <n v="821351958"/>
    <x v="0"/>
    <n v="1.3679692E-3"/>
    <x v="0"/>
  </r>
  <r>
    <n v="35"/>
    <n v="0"/>
    <n v="2"/>
    <n v="2"/>
    <n v="1"/>
    <n v="4"/>
    <n v="0"/>
    <n v="21"/>
    <n v="5"/>
    <n v="1"/>
    <n v="2"/>
    <n v="3230"/>
    <n v="2517"/>
    <n v="713"/>
    <n v="0.67700000000000005"/>
    <n v="1914"/>
    <n v="31"/>
    <n v="0.34799999999999998"/>
    <n v="0.77900000000000003"/>
    <s v="5.5077e-05"/>
    <n v="0.99994000000000005"/>
    <s v="28.27997282278892"/>
    <s v="31.98192434357996"/>
    <s v="39.20312715383661"/>
    <s v="6.727396583046649"/>
    <n v="770781558"/>
    <x v="0"/>
    <n v="1.3642918E-3"/>
    <x v="0"/>
  </r>
  <r>
    <n v="44"/>
    <n v="1"/>
    <n v="1"/>
    <n v="0"/>
    <n v="2"/>
    <n v="1"/>
    <n v="0"/>
    <n v="40"/>
    <n v="6"/>
    <n v="1"/>
    <n v="2"/>
    <n v="4274"/>
    <n v="1680"/>
    <n v="2594"/>
    <n v="0.78"/>
    <n v="4820"/>
    <n v="60"/>
    <n v="0.76500000000000001"/>
    <n v="0.39300000000000002"/>
    <s v="5.0261e-05"/>
    <n v="0.99995000000000001"/>
    <s v="34.14976735389753"/>
    <s v="58.21861396111737"/>
    <s v="9.873730716215404"/>
    <s v="0.1518331539583695"/>
    <n v="826473858"/>
    <x v="0"/>
    <n v="3.6248067000000002E-4"/>
    <x v="0"/>
  </r>
  <r>
    <n v="26"/>
    <n v="1"/>
    <n v="0"/>
    <n v="0"/>
    <n v="2"/>
    <n v="1"/>
    <n v="0"/>
    <n v="13"/>
    <n v="5"/>
    <n v="2"/>
    <n v="2"/>
    <n v="2047"/>
    <n v="1196"/>
    <n v="851"/>
    <n v="0.623"/>
    <n v="2180"/>
    <n v="33"/>
    <n v="0.94099999999999995"/>
    <n v="0.58399999999999996"/>
    <s v="9.496e-05"/>
    <n v="0.99990999999999997"/>
    <s v="45.20052902009309"/>
    <n v="55.332769247480002"/>
    <s v="19.713193605019576"/>
    <s v="23.76873619480512"/>
    <n v="789701658"/>
    <x v="0"/>
    <n v="1.2356120000000001E-3"/>
    <x v="0"/>
  </r>
  <r>
    <n v="44"/>
    <n v="1"/>
    <n v="4"/>
    <n v="2"/>
    <n v="2"/>
    <n v="3"/>
    <n v="0"/>
    <n v="36"/>
    <n v="4"/>
    <n v="2"/>
    <n v="2"/>
    <n v="10834"/>
    <n v="0"/>
    <n v="10834"/>
    <n v="0.52200000000000002"/>
    <n v="2249"/>
    <n v="51"/>
    <n v="0.59399999999999997"/>
    <n v="0"/>
    <n v="0.99168999999999996"/>
    <n v="8.3099999999999997E-3"/>
    <s v="27.755284117315387"/>
    <s v="38.340941066060736"/>
    <s v="123.15554009572088"/>
    <s v="0.7772953014223176"/>
    <n v="714408933"/>
    <x v="1"/>
    <n v="0.99846387000000003"/>
    <x v="1"/>
  </r>
  <r>
    <n v="55"/>
    <n v="0"/>
    <n v="3"/>
    <n v="2"/>
    <n v="1"/>
    <n v="4"/>
    <n v="0"/>
    <n v="35"/>
    <n v="3"/>
    <n v="2"/>
    <n v="3"/>
    <n v="1872"/>
    <n v="1167"/>
    <n v="705"/>
    <n v="0.51700000000000002"/>
    <n v="2238"/>
    <n v="45"/>
    <n v="0.60699999999999998"/>
    <n v="0.623"/>
    <n v="1.9864000000000001E-4"/>
    <n v="0.99980000000000002"/>
    <s v="8.131771111747783"/>
    <n v="45.630725303732298"/>
    <s v="92.04837270978636"/>
    <s v="14.673999952465348"/>
    <n v="719238183"/>
    <x v="0"/>
    <n v="1.3649026000000001E-3"/>
    <x v="0"/>
  </r>
  <r>
    <n v="45"/>
    <n v="1"/>
    <n v="2"/>
    <n v="0"/>
    <n v="3"/>
    <n v="1"/>
    <n v="0"/>
    <n v="36"/>
    <n v="1"/>
    <n v="1"/>
    <n v="1"/>
    <n v="4718"/>
    <n v="1591"/>
    <n v="3127"/>
    <n v="0.92700000000000005"/>
    <n v="4598"/>
    <n v="80"/>
    <n v="1"/>
    <n v="0.33700000000000002"/>
    <s v="3.2291e-05"/>
    <n v="0.99997000000000003"/>
    <n v="60.211761877984202"/>
    <s v="34.70234745580307"/>
    <s v="202.46106652205432"/>
    <s v="10.332661794387077"/>
    <n v="714032883"/>
    <x v="0"/>
    <n v="3.3750932000000002E-4"/>
    <x v="0"/>
  </r>
  <r>
    <n v="45"/>
    <n v="1"/>
    <n v="5"/>
    <n v="3"/>
    <n v="1"/>
    <n v="3"/>
    <n v="0"/>
    <n v="25"/>
    <n v="1"/>
    <n v="3"/>
    <n v="3"/>
    <n v="25601"/>
    <n v="1384"/>
    <n v="24217"/>
    <n v="0.745"/>
    <n v="12896"/>
    <n v="100"/>
    <n v="0.85199999999999998"/>
    <n v="5.3999999999999999E-2"/>
    <n v="3.0361E-4"/>
    <n v="0.99970000000000003"/>
    <s v="41.56815978025342"/>
    <s v="6.421147775933056"/>
    <s v="31.60714339115425"/>
    <s v="10.14916114444265"/>
    <n v="710833908"/>
    <x v="0"/>
    <n v="3.8573547000000003E-4"/>
    <x v="0"/>
  </r>
  <r>
    <n v="51"/>
    <n v="0"/>
    <n v="2"/>
    <n v="6"/>
    <n v="2"/>
    <n v="4"/>
    <n v="0"/>
    <n v="39"/>
    <n v="5"/>
    <n v="2"/>
    <n v="4"/>
    <n v="2673"/>
    <n v="1275"/>
    <n v="1398"/>
    <n v="0.69099999999999995"/>
    <n v="4119"/>
    <n v="75"/>
    <n v="1.0269999999999999"/>
    <n v="0.47699999999999998"/>
    <n v="3.5893999999999998E-4"/>
    <n v="0.99963999999999997"/>
    <s v="6.240286780858157"/>
    <s v="41.86140146407328"/>
    <s v="5.505650869318181"/>
    <s v="11.447332799060478"/>
    <n v="712834533"/>
    <x v="0"/>
    <n v="3.2101269999999999E-4"/>
    <x v="0"/>
  </r>
  <r>
    <n v="37"/>
    <n v="0"/>
    <n v="4"/>
    <n v="0"/>
    <n v="1"/>
    <n v="4"/>
    <n v="0"/>
    <n v="36"/>
    <n v="6"/>
    <n v="3"/>
    <n v="1"/>
    <n v="1438.3"/>
    <n v="787"/>
    <n v="651.29999999999995"/>
    <n v="0.91400000000000003"/>
    <n v="4587"/>
    <n v="58"/>
    <n v="0.56799999999999995"/>
    <n v="0.54700000000000004"/>
    <n v="1.1061E-4"/>
    <n v="0.99988999999999995"/>
    <s v="10.52218393551023"/>
    <s v="57.89594361437711"/>
    <s v="4.331823801144526"/>
    <s v="9.376394923826682"/>
    <n v="710809083"/>
    <x v="0"/>
    <n v="6.4437179999999998E-4"/>
    <x v="0"/>
  </r>
  <r>
    <n v="56"/>
    <n v="1"/>
    <n v="2"/>
    <n v="2"/>
    <n v="2"/>
    <n v="1"/>
    <n v="0"/>
    <n v="51"/>
    <n v="1"/>
    <n v="3"/>
    <n v="1"/>
    <n v="1466"/>
    <n v="723"/>
    <n v="743"/>
    <n v="0.79300000000000004"/>
    <n v="5110"/>
    <n v="86"/>
    <n v="0.59299999999999997"/>
    <n v="0.49299999999999999"/>
    <n v="1.0848E-4"/>
    <n v="0.99988999999999995"/>
    <s v="38.942115659409566"/>
    <s v="16.937761114011206"/>
    <s v="8.868264469901328"/>
    <s v="15.167234757196807"/>
    <n v="811974483"/>
    <x v="0"/>
    <n v="5.5868360000000002E-4"/>
    <x v="0"/>
  </r>
  <r>
    <n v="40"/>
    <n v="0"/>
    <n v="1"/>
    <n v="3"/>
    <n v="2"/>
    <n v="4"/>
    <n v="0"/>
    <n v="36"/>
    <n v="4"/>
    <n v="3"/>
    <n v="2"/>
    <n v="1438.3"/>
    <n v="544"/>
    <n v="894.3"/>
    <n v="0.54300000000000004"/>
    <n v="2294"/>
    <n v="40"/>
    <n v="0.73899999999999999"/>
    <n v="0.378"/>
    <n v="0.99395"/>
    <n v="6.0499999999999998E-3"/>
    <s v="65.73579856133799"/>
    <s v="27.25985965357204"/>
    <s v="48.94911714101466"/>
    <s v="5.894476329377307"/>
    <n v="713096583"/>
    <x v="1"/>
    <n v="0.99820244000000002"/>
    <x v="1"/>
  </r>
  <r>
    <n v="47"/>
    <n v="0"/>
    <n v="4"/>
    <n v="2"/>
    <n v="2"/>
    <n v="4"/>
    <n v="0"/>
    <n v="39"/>
    <n v="3"/>
    <n v="3"/>
    <n v="6"/>
    <n v="1438.3"/>
    <n v="0"/>
    <n v="1438.3"/>
    <n v="0.85399999999999998"/>
    <n v="2295"/>
    <n v="51"/>
    <n v="0.54500000000000004"/>
    <n v="0"/>
    <n v="0.99939"/>
    <n v="6.0765000000000005E-4"/>
    <s v="34.890923371284806"/>
    <n v="0.27444048299175999"/>
    <s v="85.59947318451638"/>
    <s v="4.707380085991286"/>
    <n v="719512983"/>
    <x v="1"/>
    <n v="0.99763334000000004"/>
    <x v="1"/>
  </r>
  <r>
    <n v="50"/>
    <n v="0"/>
    <n v="2"/>
    <n v="0"/>
    <n v="0"/>
    <n v="4"/>
    <n v="0"/>
    <n v="36"/>
    <n v="3"/>
    <n v="2"/>
    <n v="3"/>
    <n v="3462"/>
    <n v="1817"/>
    <n v="1645"/>
    <n v="0.71699999999999997"/>
    <n v="4635"/>
    <n v="65"/>
    <n v="0.71099999999999997"/>
    <n v="0.52500000000000002"/>
    <n v="1.8611999999999999E-4"/>
    <n v="0.99980999999999998"/>
    <n v="86.014394353903896"/>
    <s v="11.275244813174078"/>
    <s v="66.85070282680137"/>
    <s v="20.571450619883198"/>
    <n v="717139608"/>
    <x v="0"/>
    <n v="3.2890364000000001E-4"/>
    <x v="0"/>
  </r>
  <r>
    <n v="36"/>
    <n v="0"/>
    <n v="4"/>
    <n v="5"/>
    <n v="2"/>
    <n v="5"/>
    <n v="3"/>
    <n v="21"/>
    <n v="3"/>
    <n v="1"/>
    <n v="2"/>
    <n v="34516"/>
    <n v="907"/>
    <n v="33609"/>
    <n v="0.57199999999999995"/>
    <n v="2298"/>
    <n v="55"/>
    <n v="0.71899999999999997"/>
    <n v="2.5999999999999999E-2"/>
    <s v="5.3664e-05"/>
    <n v="0.99995000000000001"/>
    <s v="18.86847391260364"/>
    <s v="1.6140069661142369"/>
    <s v="35.834090232182206"/>
    <s v="0.6891967838192342"/>
    <n v="713484483"/>
    <x v="0"/>
    <n v="9.1548029999999998E-4"/>
    <x v="0"/>
  </r>
  <r>
    <n v="50"/>
    <n v="1"/>
    <n v="1"/>
    <n v="2"/>
    <n v="2"/>
    <n v="3"/>
    <n v="0"/>
    <n v="44"/>
    <n v="3"/>
    <n v="3"/>
    <n v="2"/>
    <n v="3370"/>
    <n v="1133"/>
    <n v="2237"/>
    <n v="0.72199999999999998"/>
    <n v="4726"/>
    <n v="86"/>
    <n v="0.68600000000000005"/>
    <n v="0.33600000000000002"/>
    <n v="1.6882999999999999E-4"/>
    <n v="0.99983"/>
    <s v="15.242963932959558"/>
    <s v="32.02811685643303"/>
    <n v="35.3268552421371"/>
    <s v="16.317434651244646"/>
    <n v="799720158"/>
    <x v="0"/>
    <n v="3.2101269999999999E-4"/>
    <x v="0"/>
  </r>
  <r>
    <n v="49"/>
    <n v="0"/>
    <n v="3"/>
    <n v="2"/>
    <n v="3"/>
    <n v="5"/>
    <n v="0"/>
    <n v="44"/>
    <n v="5"/>
    <n v="2"/>
    <n v="1"/>
    <n v="2222"/>
    <n v="694"/>
    <n v="1528"/>
    <n v="0.90300000000000002"/>
    <n v="4372"/>
    <n v="65"/>
    <n v="0.71099999999999997"/>
    <n v="0.312"/>
    <s v="7.1226e-05"/>
    <n v="0.99992999999999999"/>
    <s v="11.741769461792131"/>
    <s v="84.91599874582474"/>
    <s v="17.890632002730545"/>
    <s v="10.12483198567587"/>
    <n v="814092858"/>
    <x v="0"/>
    <n v="5.4678856000000002E-4"/>
    <x v="0"/>
  </r>
  <r>
    <n v="51"/>
    <n v="1"/>
    <n v="1"/>
    <n v="6"/>
    <n v="1"/>
    <n v="2"/>
    <n v="0"/>
    <n v="36"/>
    <n v="3"/>
    <n v="2"/>
    <n v="4"/>
    <n v="22224"/>
    <n v="979"/>
    <n v="21245"/>
    <n v="1.2549999999999999"/>
    <n v="3346"/>
    <n v="69"/>
    <n v="1.1559999999999999"/>
    <n v="4.3999999999999997E-2"/>
    <n v="3.3691999999999999E-4"/>
    <n v="0.99965999999999999"/>
    <s v="1.1923203671931104"/>
    <s v="10.362880343091035"/>
    <s v="100.13953010404224"/>
    <s v="8.573100220662436"/>
    <n v="715421058"/>
    <x v="0"/>
    <n v="4.4787073000000002E-4"/>
    <x v="0"/>
  </r>
  <r>
    <n v="45"/>
    <n v="0"/>
    <n v="3"/>
    <n v="3"/>
    <n v="1"/>
    <n v="1"/>
    <n v="0"/>
    <n v="37"/>
    <n v="6"/>
    <n v="2"/>
    <n v="2"/>
    <n v="3399"/>
    <n v="0"/>
    <n v="3399"/>
    <n v="0.99099999999999999"/>
    <n v="5529"/>
    <n v="78"/>
    <n v="0.66"/>
    <n v="0"/>
    <n v="0.99136999999999997"/>
    <n v="8.6300000000000005E-3"/>
    <s v="28.340346443792683"/>
    <s v="4.460709866960615"/>
    <s v="54.91976983311736"/>
    <s v="2.9952942327194587"/>
    <n v="716486508"/>
    <x v="1"/>
    <n v="0.99507409999999996"/>
    <x v="1"/>
  </r>
  <r>
    <n v="48"/>
    <n v="1"/>
    <n v="2"/>
    <n v="1"/>
    <n v="2"/>
    <n v="1"/>
    <n v="0"/>
    <n v="42"/>
    <n v="6"/>
    <n v="3"/>
    <n v="2"/>
    <n v="2760"/>
    <n v="0"/>
    <n v="2760"/>
    <n v="0.57599999999999996"/>
    <n v="1759"/>
    <n v="34"/>
    <n v="0.214"/>
    <n v="0"/>
    <n v="0.99617"/>
    <n v="3.8263300000000002E-3"/>
    <s v="22.09338677924001"/>
    <s v="7.578573535254493"/>
    <s v="18.506566126620434"/>
    <s v="19.225363698397047"/>
    <n v="802243458"/>
    <x v="1"/>
    <n v="0.99856453999999994"/>
    <x v="1"/>
  </r>
  <r>
    <n v="47"/>
    <n v="0"/>
    <n v="2"/>
    <n v="6"/>
    <n v="1"/>
    <n v="4"/>
    <n v="0"/>
    <n v="42"/>
    <n v="1"/>
    <n v="3"/>
    <n v="3"/>
    <n v="1438.3"/>
    <n v="0"/>
    <n v="1438.3"/>
    <n v="0.67700000000000005"/>
    <n v="4624"/>
    <n v="73"/>
    <n v="0.58699999999999997"/>
    <n v="0"/>
    <n v="3.3251E-4"/>
    <n v="0.99966999999999995"/>
    <s v="59.52112192539645"/>
    <n v="39.574970042689003"/>
    <s v="4.445466203869998"/>
    <s v="18.568967765682075"/>
    <n v="816086508"/>
    <x v="0"/>
    <n v="7.387203E-4"/>
    <x v="0"/>
  </r>
  <r>
    <n v="50"/>
    <n v="0"/>
    <n v="0"/>
    <n v="1"/>
    <n v="2"/>
    <n v="4"/>
    <n v="0"/>
    <n v="38"/>
    <n v="4"/>
    <n v="3"/>
    <n v="3"/>
    <n v="2595"/>
    <n v="2353"/>
    <n v="242"/>
    <n v="0.92400000000000004"/>
    <n v="2526"/>
    <n v="41"/>
    <n v="0.57699999999999996"/>
    <n v="0.90700000000000003"/>
    <n v="0.99734999999999996"/>
    <n v="2.6540800000000001E-3"/>
    <s v="5.396635866519006"/>
    <s v="5.200553265217461"/>
    <s v="28.51019972458576"/>
    <s v="21.17909827135308"/>
    <n v="716510658"/>
    <x v="1"/>
    <n v="0.99517619999999996"/>
    <x v="1"/>
  </r>
  <r>
    <n v="45"/>
    <n v="1"/>
    <n v="3"/>
    <n v="0"/>
    <n v="0"/>
    <n v="1"/>
    <n v="0"/>
    <n v="37"/>
    <n v="1"/>
    <n v="3"/>
    <n v="2"/>
    <n v="2449"/>
    <n v="0"/>
    <n v="2449"/>
    <n v="0.70599999999999996"/>
    <n v="5497"/>
    <n v="88"/>
    <n v="0.63"/>
    <n v="0"/>
    <n v="1.8145999999999999E-4"/>
    <n v="0.99982000000000004"/>
    <s v="19.16126138996576"/>
    <s v="28.514110788917133"/>
    <s v="51.36705003915397"/>
    <s v="8.423293093576179"/>
    <n v="711874833"/>
    <x v="0"/>
    <n v="8.1829850000000003E-4"/>
    <x v="0"/>
  </r>
  <r>
    <n v="44"/>
    <n v="1"/>
    <n v="1"/>
    <n v="6"/>
    <n v="1"/>
    <n v="3"/>
    <n v="0"/>
    <n v="33"/>
    <n v="2"/>
    <n v="3"/>
    <n v="1"/>
    <n v="32222"/>
    <n v="0"/>
    <n v="32222"/>
    <n v="0.84399999999999997"/>
    <n v="14220"/>
    <n v="95"/>
    <n v="0.61"/>
    <n v="0"/>
    <n v="1.1192E-4"/>
    <n v="0.99988999999999995"/>
    <s v="9.943362836290229"/>
    <s v="87.29692779743726"/>
    <s v="31.153118292672115"/>
    <s v="8.057927053646308"/>
    <n v="710803983"/>
    <x v="0"/>
    <n v="7.8643485999999995E-4"/>
    <x v="0"/>
  </r>
  <r>
    <n v="45"/>
    <n v="1"/>
    <n v="2"/>
    <n v="0"/>
    <n v="1"/>
    <n v="2"/>
    <n v="0"/>
    <n v="38"/>
    <n v="4"/>
    <n v="6"/>
    <n v="4"/>
    <n v="16611"/>
    <n v="0"/>
    <n v="16611"/>
    <n v="0.95399999999999996"/>
    <n v="1960"/>
    <n v="48"/>
    <n v="0.6"/>
    <n v="0"/>
    <n v="3.9606E-4"/>
    <n v="0.99960000000000004"/>
    <s v="13.906710611934612"/>
    <s v="28.38778934729161"/>
    <s v="16.27851670226112"/>
    <s v="14.061825618877169"/>
    <n v="804840033"/>
    <x v="0"/>
    <n v="4.1574695999999998E-3"/>
    <x v="0"/>
  </r>
  <r>
    <n v="52"/>
    <n v="0"/>
    <n v="2"/>
    <n v="6"/>
    <n v="2"/>
    <n v="1"/>
    <n v="0"/>
    <n v="46"/>
    <n v="4"/>
    <n v="2"/>
    <n v="3"/>
    <n v="4259"/>
    <n v="0"/>
    <n v="4259"/>
    <n v="0.59"/>
    <n v="4389"/>
    <n v="80"/>
    <n v="0.70199999999999996"/>
    <n v="0"/>
    <n v="2.1042000000000001E-4"/>
    <n v="0.99978999999999996"/>
    <s v="2.321746701675517"/>
    <s v="4.732181648599103"/>
    <s v="72.06166701391614"/>
    <s v="21.106985309838716"/>
    <n v="796196733"/>
    <x v="0"/>
    <n v="6.9517245999999998E-4"/>
    <x v="0"/>
  </r>
  <r>
    <n v="32"/>
    <n v="0"/>
    <n v="1"/>
    <n v="3"/>
    <n v="1"/>
    <n v="5"/>
    <n v="0"/>
    <n v="22"/>
    <n v="3"/>
    <n v="2"/>
    <n v="3"/>
    <n v="3413"/>
    <n v="2517"/>
    <n v="896"/>
    <n v="0.98399999999999999"/>
    <n v="4355"/>
    <n v="71"/>
    <n v="0.91900000000000004"/>
    <n v="0.73699999999999999"/>
    <n v="1.7468E-4"/>
    <n v="0.99983"/>
    <s v="26.499006718427317"/>
    <s v="90.94867814877487"/>
    <s v="34.43990555708137"/>
    <s v="15.073943960870103"/>
    <n v="710002833"/>
    <x v="0"/>
    <n v="3.4813132000000003E-4"/>
    <x v="0"/>
  </r>
  <r>
    <n v="48"/>
    <n v="0"/>
    <n v="2"/>
    <n v="2"/>
    <n v="1"/>
    <n v="4"/>
    <n v="0"/>
    <n v="37"/>
    <n v="4"/>
    <n v="2"/>
    <n v="1"/>
    <n v="3378"/>
    <n v="0"/>
    <n v="3378"/>
    <n v="0.57999999999999996"/>
    <n v="4761"/>
    <n v="81"/>
    <n v="0.88400000000000001"/>
    <n v="0"/>
    <s v="6.864e-05"/>
    <n v="0.99992999999999999"/>
    <s v="5.813269071635377"/>
    <s v="15.542622138075576"/>
    <s v="4.137146028925201"/>
    <s v="24.740820045063824"/>
    <n v="721305408"/>
    <x v="0"/>
    <n v="6.9517245999999998E-4"/>
    <x v="0"/>
  </r>
  <r>
    <n v="58"/>
    <n v="0"/>
    <n v="2"/>
    <n v="3"/>
    <n v="1"/>
    <n v="4"/>
    <n v="0"/>
    <n v="53"/>
    <n v="3"/>
    <n v="0"/>
    <n v="2"/>
    <n v="1944"/>
    <n v="0"/>
    <n v="1944"/>
    <n v="0.61299999999999999"/>
    <n v="2412"/>
    <n v="40"/>
    <n v="0.48099999999999998"/>
    <n v="0"/>
    <n v="0.95194999999999996"/>
    <n v="4.8050000000000002E-2"/>
    <s v="18.39633548571177"/>
    <s v="57.66673776070196"/>
    <s v="5.845467564271395"/>
    <s v="20.26104722199536"/>
    <n v="807136758"/>
    <x v="1"/>
    <n v="0.39789644000000002"/>
    <x v="0"/>
  </r>
  <r>
    <n v="59"/>
    <n v="0"/>
    <n v="1"/>
    <n v="3"/>
    <n v="2"/>
    <n v="4"/>
    <n v="0"/>
    <n v="50"/>
    <n v="1"/>
    <n v="0"/>
    <n v="3"/>
    <n v="4085"/>
    <n v="0"/>
    <n v="4085"/>
    <n v="0.78700000000000003"/>
    <n v="7597"/>
    <n v="71"/>
    <n v="0.69"/>
    <n v="0"/>
    <n v="0.96901999999999999"/>
    <n v="3.0980000000000001E-2"/>
    <s v="1.7902783895665084"/>
    <s v="12.397478880688674"/>
    <s v="28.444518914208544"/>
    <s v="1.6870753347938212"/>
    <n v="718297683"/>
    <x v="1"/>
    <n v="0.99509144000000005"/>
    <x v="1"/>
  </r>
  <r>
    <n v="44"/>
    <n v="1"/>
    <n v="2"/>
    <n v="4"/>
    <n v="1"/>
    <n v="2"/>
    <n v="0"/>
    <n v="34"/>
    <n v="6"/>
    <n v="3"/>
    <n v="4"/>
    <n v="23026"/>
    <n v="2517"/>
    <n v="20509"/>
    <n v="1.032"/>
    <n v="4909"/>
    <n v="52"/>
    <n v="0.625"/>
    <n v="0.109"/>
    <n v="0.99836000000000003"/>
    <n v="1.64342E-3"/>
    <s v="18.040978696582552"/>
    <n v="19.596048690818101"/>
    <s v="140.7376928394422"/>
    <s v="6.166384513728367"/>
    <n v="789412458"/>
    <x v="1"/>
    <n v="0.98996969999999995"/>
    <x v="1"/>
  </r>
  <r>
    <n v="52"/>
    <n v="1"/>
    <n v="0"/>
    <n v="3"/>
    <n v="2"/>
    <n v="0"/>
    <n v="0"/>
    <n v="39"/>
    <n v="5"/>
    <n v="3"/>
    <n v="3"/>
    <n v="34516"/>
    <n v="216"/>
    <n v="34300"/>
    <n v="0.55600000000000005"/>
    <n v="2395"/>
    <n v="47"/>
    <n v="0.30599999999999999"/>
    <n v="6.0000000000000001E-3"/>
    <n v="0.99604999999999999"/>
    <n v="3.9458200000000001E-3"/>
    <s v="30.911564233213483"/>
    <s v="32.62850761426268"/>
    <s v="3.9636941100273457"/>
    <s v="10.44384836663879"/>
    <n v="720815208"/>
    <x v="1"/>
    <n v="0.99873226999999998"/>
    <x v="1"/>
  </r>
  <r>
    <n v="51"/>
    <n v="0"/>
    <n v="1"/>
    <n v="3"/>
    <n v="2"/>
    <n v="4"/>
    <n v="0"/>
    <n v="45"/>
    <n v="3"/>
    <n v="3"/>
    <n v="3"/>
    <n v="2918"/>
    <n v="2049"/>
    <n v="869"/>
    <n v="0.501"/>
    <n v="3818"/>
    <n v="61"/>
    <n v="0.60499999999999998"/>
    <n v="0.70199999999999996"/>
    <n v="2.7604000000000002E-4"/>
    <n v="0.99972000000000005"/>
    <s v="46.32620681195669"/>
    <s v="10.285646032729357"/>
    <s v="27.660429689814297"/>
    <s v="12.098813768465654"/>
    <n v="717414933"/>
    <x v="0"/>
    <n v="3.5672840999999999E-4"/>
    <x v="0"/>
  </r>
  <r>
    <n v="56"/>
    <n v="1"/>
    <n v="2"/>
    <n v="2"/>
    <n v="1"/>
    <n v="1"/>
    <n v="0"/>
    <n v="45"/>
    <n v="5"/>
    <n v="2"/>
    <n v="1"/>
    <n v="1438.3"/>
    <n v="0"/>
    <n v="1438.3"/>
    <n v="0.91300000000000003"/>
    <n v="4323"/>
    <n v="77"/>
    <n v="0.57099999999999995"/>
    <n v="0"/>
    <s v="6.864e-05"/>
    <n v="0.99992999999999999"/>
    <s v="23.040348294899403"/>
    <s v="21.55031328027662"/>
    <s v="46.39025718823742"/>
    <s v="4.836570024748308"/>
    <n v="709368483"/>
    <x v="0"/>
    <n v="7.4129109999999997E-4"/>
    <x v="0"/>
  </r>
  <r>
    <n v="42"/>
    <n v="1"/>
    <n v="3"/>
    <n v="5"/>
    <n v="1"/>
    <n v="1"/>
    <n v="0"/>
    <n v="32"/>
    <n v="3"/>
    <n v="3"/>
    <n v="2"/>
    <n v="13103"/>
    <n v="1809"/>
    <n v="11294"/>
    <n v="0.72399999999999998"/>
    <n v="4323"/>
    <n v="72"/>
    <n v="0.5"/>
    <n v="0.13800000000000001"/>
    <n v="1.9191E-4"/>
    <n v="0.99980999999999998"/>
    <s v="39.48535824464409"/>
    <s v="31.71811220591827"/>
    <s v="16.231851511987045"/>
    <s v="10.004851708224056"/>
    <n v="719109783"/>
    <x v="0"/>
    <n v="3.5747702000000001E-4"/>
    <x v="0"/>
  </r>
  <r>
    <n v="47"/>
    <n v="0"/>
    <n v="4"/>
    <n v="2"/>
    <n v="2"/>
    <n v="4"/>
    <n v="0"/>
    <n v="40"/>
    <n v="6"/>
    <n v="4"/>
    <n v="3"/>
    <n v="2473"/>
    <n v="0"/>
    <n v="2473"/>
    <n v="0.54700000000000004"/>
    <n v="2133"/>
    <n v="44"/>
    <n v="0.41899999999999998"/>
    <n v="0"/>
    <n v="0.99739999999999995"/>
    <n v="2.6004800000000001E-3"/>
    <s v="26.814020998893543"/>
    <s v="4.767235882868278"/>
    <s v="79.95602347221187"/>
    <s v="14.39318248845387"/>
    <n v="718975083"/>
    <x v="1"/>
    <n v="0.99873226999999998"/>
    <x v="1"/>
  </r>
  <r>
    <n v="26"/>
    <n v="1"/>
    <n v="0"/>
    <n v="0"/>
    <n v="3"/>
    <n v="4"/>
    <n v="0"/>
    <n v="13"/>
    <n v="6"/>
    <n v="1"/>
    <n v="2"/>
    <n v="5713"/>
    <n v="789"/>
    <n v="4924"/>
    <n v="0.67800000000000005"/>
    <n v="3323"/>
    <n v="61"/>
    <n v="0.52500000000000002"/>
    <n v="0.13800000000000001"/>
    <s v="4.595e-05"/>
    <n v="0.99995000000000001"/>
    <s v="17.373578272158042"/>
    <s v="28.71870482533872"/>
    <s v="2.715851822537104"/>
    <s v="4.293446680261019"/>
    <n v="718368333"/>
    <x v="0"/>
    <n v="5.8413829999999999E-4"/>
    <x v="0"/>
  </r>
  <r>
    <n v="45"/>
    <n v="0"/>
    <n v="2"/>
    <n v="1"/>
    <n v="0"/>
    <n v="1"/>
    <n v="0"/>
    <n v="36"/>
    <n v="5"/>
    <n v="3"/>
    <n v="3"/>
    <n v="2788"/>
    <n v="1826"/>
    <n v="962"/>
    <n v="0.52100000000000002"/>
    <n v="4437"/>
    <n v="67"/>
    <n v="0.59499999999999997"/>
    <n v="0.65500000000000003"/>
    <n v="4.3772E-4"/>
    <n v="0.99956"/>
    <s v="9.420350310990615"/>
    <s v="65.79971996314059"/>
    <s v="44.13133578261872"/>
    <s v="7.498880639268688"/>
    <n v="709365483"/>
    <x v="0"/>
    <n v="3.2914013999999999E-4"/>
    <x v="0"/>
  </r>
  <r>
    <n v="40"/>
    <n v="1"/>
    <n v="5"/>
    <n v="6"/>
    <n v="3"/>
    <n v="3"/>
    <n v="0"/>
    <n v="22"/>
    <n v="6"/>
    <n v="1"/>
    <n v="4"/>
    <n v="4042"/>
    <n v="1744"/>
    <n v="2298"/>
    <n v="0.58199999999999996"/>
    <n v="1471"/>
    <n v="37"/>
    <n v="0.54200000000000004"/>
    <n v="0.43099999999999999"/>
    <n v="1.7934E-4"/>
    <n v="0.99982000000000004"/>
    <s v="16.48567748575524"/>
    <n v="83.678523671852503"/>
    <s v="138.1770237344164"/>
    <s v="0.6374406423877749"/>
    <n v="788789658"/>
    <x v="0"/>
    <n v="1.0598798E-3"/>
    <x v="0"/>
  </r>
  <r>
    <n v="49"/>
    <n v="1"/>
    <n v="3"/>
    <n v="3"/>
    <n v="1"/>
    <n v="2"/>
    <n v="0"/>
    <n v="39"/>
    <n v="4"/>
    <n v="1"/>
    <n v="4"/>
    <n v="9264"/>
    <n v="629"/>
    <n v="8635"/>
    <n v="0.65900000000000003"/>
    <n v="4107"/>
    <n v="79"/>
    <n v="0.57999999999999996"/>
    <n v="6.8000000000000005E-2"/>
    <n v="1.5941999999999999E-4"/>
    <n v="0.99983999999999995"/>
    <s v="28.90426036899301"/>
    <s v="48.18715487943853"/>
    <s v="19.829829469539103"/>
    <s v="7.105656651748305"/>
    <n v="714138408"/>
    <x v="0"/>
    <n v="6.2181555999999999E-4"/>
    <x v="0"/>
  </r>
  <r>
    <n v="54"/>
    <n v="1"/>
    <n v="1"/>
    <n v="5"/>
    <n v="1"/>
    <n v="3"/>
    <n v="0"/>
    <n v="43"/>
    <n v="3"/>
    <n v="1"/>
    <n v="4"/>
    <n v="25882"/>
    <n v="1699"/>
    <n v="24183"/>
    <n v="0.42799999999999999"/>
    <n v="1736"/>
    <n v="48"/>
    <n v="0.371"/>
    <n v="6.6000000000000003E-2"/>
    <n v="1.5252000000000001E-4"/>
    <n v="0.99985000000000002"/>
    <s v="15.773075607790627"/>
    <s v="102.43480561995632"/>
    <s v="82.72133561618098"/>
    <s v="33.57373430456464"/>
    <n v="712604133"/>
    <x v="0"/>
    <n v="1.3718942999999999E-3"/>
    <x v="0"/>
  </r>
  <r>
    <n v="49"/>
    <n v="0"/>
    <n v="3"/>
    <n v="2"/>
    <n v="2"/>
    <n v="4"/>
    <n v="0"/>
    <n v="36"/>
    <n v="2"/>
    <n v="2"/>
    <n v="0"/>
    <n v="2802"/>
    <n v="2363"/>
    <n v="439"/>
    <n v="0.75"/>
    <n v="1295"/>
    <n v="40"/>
    <n v="0.6"/>
    <n v="0.84299999999999997"/>
    <s v="4.3568e-05"/>
    <n v="0.99995999999999996"/>
    <s v="25.959357034693348"/>
    <s v="0.5397996239805608"/>
    <s v="22.818949191589184"/>
    <s v="2.2289805598194388"/>
    <n v="716632758"/>
    <x v="0"/>
    <n v="1.30645E-3"/>
    <x v="0"/>
  </r>
  <r>
    <n v="47"/>
    <n v="0"/>
    <n v="3"/>
    <n v="6"/>
    <n v="2"/>
    <n v="1"/>
    <n v="0"/>
    <n v="42"/>
    <n v="1"/>
    <n v="5"/>
    <n v="3"/>
    <n v="14897"/>
    <n v="0"/>
    <n v="14897"/>
    <n v="0.48899999999999999"/>
    <n v="2164"/>
    <n v="53"/>
    <n v="0.60599999999999998"/>
    <n v="0"/>
    <n v="0.99741000000000002"/>
    <n v="2.5872500000000001E-3"/>
    <n v="23.84893537476"/>
    <s v="20.15885481508572"/>
    <s v="80.83692239509264"/>
    <s v="8.575489800676841"/>
    <n v="810271083"/>
    <x v="1"/>
    <n v="0.99781489999999995"/>
    <x v="1"/>
  </r>
  <r>
    <n v="60"/>
    <n v="0"/>
    <n v="2"/>
    <n v="2"/>
    <n v="1"/>
    <n v="4"/>
    <n v="0"/>
    <n v="36"/>
    <n v="1"/>
    <n v="2"/>
    <n v="2"/>
    <n v="3239"/>
    <n v="2356"/>
    <n v="883"/>
    <n v="0.621"/>
    <n v="4621"/>
    <n v="91"/>
    <n v="0.75"/>
    <n v="0.72699999999999998"/>
    <n v="1.1382E-4"/>
    <n v="0.99988999999999995"/>
    <s v="5.170268468586794"/>
    <s v="28.67474949635983"/>
    <n v="92.509799522257893"/>
    <s v="10.636555987707805"/>
    <n v="714566133"/>
    <x v="0"/>
    <n v="3.2101269999999999E-4"/>
    <x v="0"/>
  </r>
  <r>
    <n v="56"/>
    <n v="0"/>
    <n v="1"/>
    <n v="2"/>
    <n v="1"/>
    <n v="4"/>
    <n v="0"/>
    <n v="38"/>
    <n v="4"/>
    <n v="3"/>
    <n v="3"/>
    <n v="2578"/>
    <n v="2462"/>
    <n v="116"/>
    <n v="1.7070000000000001"/>
    <n v="1378"/>
    <n v="29"/>
    <n v="0.81200000000000006"/>
    <n v="0.95499999999999996"/>
    <n v="2.8394999999999999E-4"/>
    <n v="0.99972000000000005"/>
    <s v="22.456680072603334"/>
    <s v="31.261112794749597"/>
    <s v="40.62839377702623"/>
    <s v="0.3060405140028976"/>
    <n v="779249583"/>
    <x v="0"/>
    <n v="1.0254878999999999E-3"/>
    <x v="0"/>
  </r>
  <r>
    <n v="51"/>
    <n v="0"/>
    <n v="2"/>
    <n v="2"/>
    <n v="2"/>
    <n v="1"/>
    <n v="0"/>
    <n v="43"/>
    <n v="3"/>
    <n v="1"/>
    <n v="3"/>
    <n v="2180"/>
    <n v="1865"/>
    <n v="315"/>
    <n v="0.748"/>
    <n v="4348"/>
    <n v="77"/>
    <n v="0.51"/>
    <n v="0.85599999999999998"/>
    <s v="9.2637e-05"/>
    <n v="0.99990999999999997"/>
    <s v="9.009402806427907"/>
    <n v="95.174918974699594"/>
    <s v="123.03382172474043"/>
    <s v="6.179693976480907"/>
    <n v="789523683"/>
    <x v="0"/>
    <n v="3.4439339999999999E-4"/>
    <x v="0"/>
  </r>
  <r>
    <n v="56"/>
    <n v="0"/>
    <n v="2"/>
    <n v="2"/>
    <n v="2"/>
    <n v="4"/>
    <n v="0"/>
    <n v="36"/>
    <n v="4"/>
    <n v="6"/>
    <n v="1"/>
    <n v="5816"/>
    <n v="716"/>
    <n v="5100"/>
    <n v="0.92300000000000004"/>
    <n v="3534"/>
    <n v="73"/>
    <n v="1.147"/>
    <n v="0.123"/>
    <s v="8.5631e-05"/>
    <n v="0.99990999999999997"/>
    <s v="47.99163542941648"/>
    <s v="40.31667291986994"/>
    <s v="41.68688311787545"/>
    <s v="25.68324563304806"/>
    <n v="708426483"/>
    <x v="0"/>
    <n v="5.7288585000000005E-4"/>
    <x v="0"/>
  </r>
  <r>
    <n v="50"/>
    <n v="1"/>
    <n v="3"/>
    <n v="4"/>
    <n v="2"/>
    <n v="3"/>
    <n v="0"/>
    <n v="40"/>
    <n v="5"/>
    <n v="2"/>
    <n v="2"/>
    <n v="31383"/>
    <n v="1688"/>
    <n v="29695"/>
    <n v="0.76500000000000001"/>
    <n v="1721"/>
    <n v="56"/>
    <n v="0.75"/>
    <n v="5.3999999999999999E-2"/>
    <n v="1.3897000000000001E-4"/>
    <n v="0.99985999999999997"/>
    <s v="52.328234318924245"/>
    <n v="30.460104853613"/>
    <s v="47.01702683639066"/>
    <s v="20.57302461098637"/>
    <n v="772782708"/>
    <x v="0"/>
    <n v="5.2834940000000003E-4"/>
    <x v="0"/>
  </r>
  <r>
    <n v="42"/>
    <n v="0"/>
    <n v="5"/>
    <n v="0"/>
    <n v="2"/>
    <n v="4"/>
    <n v="0"/>
    <n v="28"/>
    <n v="4"/>
    <n v="3"/>
    <n v="2"/>
    <n v="3044"/>
    <n v="1865"/>
    <n v="1179"/>
    <n v="0.85199999999999998"/>
    <n v="4854"/>
    <n v="85"/>
    <n v="1.024"/>
    <n v="0.61299999999999999"/>
    <n v="1.8054E-4"/>
    <n v="0.99982000000000004"/>
    <s v="16.814182835766886"/>
    <s v="92.29745428749416"/>
    <s v="61.488675825514015"/>
    <s v="4.713346388861517"/>
    <n v="770753733"/>
    <x v="0"/>
    <n v="3.2101269999999999E-4"/>
    <x v="0"/>
  </r>
  <r>
    <n v="64"/>
    <n v="1"/>
    <n v="0"/>
    <n v="2"/>
    <n v="2"/>
    <n v="4"/>
    <n v="0"/>
    <n v="36"/>
    <n v="3"/>
    <n v="2"/>
    <n v="4"/>
    <n v="3196"/>
    <n v="0"/>
    <n v="3196"/>
    <n v="0.57799999999999996"/>
    <n v="3412"/>
    <n v="72"/>
    <n v="0.67400000000000004"/>
    <n v="0"/>
    <n v="2.8024000000000001E-4"/>
    <n v="0.99972000000000005"/>
    <s v="11.638797013992797"/>
    <s v="43.02131170947055"/>
    <s v="8.331231056453632"/>
    <s v="24.406304925836725"/>
    <n v="719655258"/>
    <x v="0"/>
    <n v="6.9517245999999998E-4"/>
    <x v="0"/>
  </r>
  <r>
    <n v="40"/>
    <n v="0"/>
    <n v="5"/>
    <n v="6"/>
    <n v="1"/>
    <n v="1"/>
    <n v="0"/>
    <n v="24"/>
    <n v="1"/>
    <n v="1"/>
    <n v="2"/>
    <n v="2803"/>
    <n v="1747"/>
    <n v="1056"/>
    <n v="0.95399999999999996"/>
    <n v="5089"/>
    <n v="71"/>
    <n v="1.0289999999999999"/>
    <n v="0.623"/>
    <s v="6.2502e-05"/>
    <n v="0.99994000000000005"/>
    <s v="17.562906840043965"/>
    <s v="73.63626556180232"/>
    <s v="153.22767520822413"/>
    <s v="7.001327633271429"/>
    <n v="788848458"/>
    <x v="0"/>
    <n v="3.221314E-4"/>
    <x v="0"/>
  </r>
  <r>
    <n v="27"/>
    <n v="0"/>
    <n v="0"/>
    <n v="2"/>
    <n v="0"/>
    <n v="5"/>
    <n v="0"/>
    <n v="36"/>
    <n v="5"/>
    <n v="1"/>
    <n v="0"/>
    <n v="13439"/>
    <n v="2003"/>
    <n v="11436"/>
    <n v="0.93600000000000005"/>
    <n v="4715"/>
    <n v="86"/>
    <n v="0.72"/>
    <n v="0.14899999999999999"/>
    <s v="1.7434e-05"/>
    <n v="0.99997999999999998"/>
    <s v="9.178068727400271"/>
    <s v="42.41428839090682"/>
    <s v="4.897907037320801"/>
    <s v="10.791486537403864"/>
    <n v="716170308"/>
    <x v="0"/>
    <n v="3.3750932000000002E-4"/>
    <x v="0"/>
  </r>
  <r>
    <n v="44"/>
    <n v="0"/>
    <n v="4"/>
    <n v="3"/>
    <n v="2"/>
    <n v="4"/>
    <n v="0"/>
    <n v="35"/>
    <n v="2"/>
    <n v="5"/>
    <n v="3"/>
    <n v="1552"/>
    <n v="1375"/>
    <n v="177"/>
    <n v="0.995"/>
    <n v="5064"/>
    <n v="80"/>
    <n v="0.90500000000000003"/>
    <n v="0.88600000000000001"/>
    <n v="3.4446999999999999E-4"/>
    <n v="0.99965999999999999"/>
    <s v="3.708192219031516"/>
    <s v="1.6300579938977535"/>
    <s v="69.14558485888766"/>
    <n v="9.8524435029925197"/>
    <n v="709824633"/>
    <x v="0"/>
    <n v="3.221314E-4"/>
    <x v="0"/>
  </r>
  <r>
    <n v="42"/>
    <n v="1"/>
    <n v="2"/>
    <n v="5"/>
    <n v="1"/>
    <n v="2"/>
    <n v="0"/>
    <n v="30"/>
    <n v="1"/>
    <n v="2"/>
    <n v="3"/>
    <n v="3086"/>
    <n v="0"/>
    <n v="3086"/>
    <n v="0.80800000000000005"/>
    <n v="4129"/>
    <n v="81"/>
    <n v="0.88400000000000001"/>
    <n v="0"/>
    <n v="1.9683E-4"/>
    <n v="0.99980000000000002"/>
    <s v="57.90221582440287"/>
    <s v="18.088053738142715"/>
    <s v="88.15881117799012"/>
    <s v="5.682292539718955"/>
    <n v="708307533"/>
    <x v="0"/>
    <n v="6.9517245999999998E-4"/>
    <x v="0"/>
  </r>
  <r>
    <n v="50"/>
    <n v="1"/>
    <n v="3"/>
    <n v="3"/>
    <n v="2"/>
    <n v="1"/>
    <n v="0"/>
    <n v="31"/>
    <n v="5"/>
    <n v="3"/>
    <n v="3"/>
    <n v="9949"/>
    <n v="1597"/>
    <n v="8352"/>
    <n v="0.65900000000000003"/>
    <n v="3776"/>
    <n v="83"/>
    <n v="0.59599999999999997"/>
    <n v="0.161"/>
    <n v="3.0516000000000001E-4"/>
    <n v="0.99968999999999997"/>
    <s v="6.940508485218975"/>
    <s v="21.79309646235784"/>
    <s v="36.19155701763124"/>
    <s v="2.934556849113024"/>
    <n v="708558408"/>
    <x v="0"/>
    <n v="3.2914013999999999E-4"/>
    <x v="0"/>
  </r>
  <r>
    <n v="34"/>
    <n v="0"/>
    <n v="2"/>
    <n v="3"/>
    <n v="2"/>
    <n v="1"/>
    <n v="0"/>
    <n v="36"/>
    <n v="2"/>
    <n v="3"/>
    <n v="1"/>
    <n v="1677"/>
    <n v="0"/>
    <n v="1677"/>
    <n v="0.7"/>
    <n v="4035"/>
    <n v="87"/>
    <n v="0.89100000000000001"/>
    <n v="0"/>
    <n v="1.0545E-4"/>
    <n v="0.99988999999999995"/>
    <s v="30.531643730374213"/>
    <s v="47.55718573377824"/>
    <s v="129.89168213475222"/>
    <s v="18.458729226813485"/>
    <n v="708928008"/>
    <x v="0"/>
    <n v="6.9517245999999998E-4"/>
    <x v="0"/>
  </r>
  <r>
    <n v="35"/>
    <n v="0"/>
    <n v="2"/>
    <n v="1"/>
    <n v="1"/>
    <n v="1"/>
    <n v="0"/>
    <n v="27"/>
    <n v="6"/>
    <n v="1"/>
    <n v="0"/>
    <n v="1953"/>
    <n v="1554"/>
    <n v="399"/>
    <n v="0.58099999999999996"/>
    <n v="4598"/>
    <n v="71"/>
    <n v="0.65100000000000002"/>
    <n v="0.79600000000000004"/>
    <s v="2.94e-05"/>
    <n v="0.99997000000000003"/>
    <s v="29.16880734554729"/>
    <s v="19.88315300447649"/>
    <n v="4.3265295924235898E-2"/>
    <s v="15.51309365882446"/>
    <n v="719267283"/>
    <x v="0"/>
    <n v="3.2101269999999999E-4"/>
    <x v="0"/>
  </r>
  <r>
    <n v="39"/>
    <n v="0"/>
    <n v="2"/>
    <n v="2"/>
    <n v="1"/>
    <n v="1"/>
    <n v="0"/>
    <n v="26"/>
    <n v="5"/>
    <n v="1"/>
    <n v="2"/>
    <n v="2575"/>
    <n v="1424"/>
    <n v="1151"/>
    <n v="0.54300000000000004"/>
    <n v="1487"/>
    <n v="33"/>
    <n v="0.73699999999999999"/>
    <n v="0.55300000000000005"/>
    <s v="5.5077e-05"/>
    <n v="0.99994000000000005"/>
    <s v="11.71536501440537"/>
    <s v="33.60000337154908"/>
    <s v="85.71443307854187"/>
    <s v="9.780470634743123"/>
    <n v="712826208"/>
    <x v="0"/>
    <n v="1.0337284E-3"/>
    <x v="0"/>
  </r>
  <r>
    <n v="41"/>
    <n v="0"/>
    <n v="5"/>
    <n v="2"/>
    <n v="1"/>
    <n v="4"/>
    <n v="0"/>
    <n v="28"/>
    <n v="2"/>
    <n v="3"/>
    <n v="1"/>
    <n v="2665"/>
    <n v="1936"/>
    <n v="729"/>
    <n v="0.75700000000000001"/>
    <n v="4500"/>
    <n v="71"/>
    <n v="0.97199999999999998"/>
    <n v="0.72599999999999998"/>
    <n v="1.1199E-4"/>
    <n v="0.99988999999999995"/>
    <s v="31.48320365246577"/>
    <s v="52.09383678894317"/>
    <s v="138.7171452935668"/>
    <s v="7.737305739110349"/>
    <n v="771356508"/>
    <x v="0"/>
    <n v="3.2101269999999999E-4"/>
    <x v="0"/>
  </r>
  <r>
    <n v="62"/>
    <n v="0"/>
    <n v="0"/>
    <n v="3"/>
    <n v="3"/>
    <n v="4"/>
    <n v="0"/>
    <n v="51"/>
    <n v="4"/>
    <n v="2"/>
    <n v="3"/>
    <n v="5210"/>
    <n v="0"/>
    <n v="5210"/>
    <n v="0.64"/>
    <n v="2162"/>
    <n v="36"/>
    <n v="0.161"/>
    <n v="0"/>
    <n v="0.99378"/>
    <n v="6.2199999999999998E-3"/>
    <s v="7.577625344511087"/>
    <s v="9.668571959720088"/>
    <s v="105.33869891963992"/>
    <s v="9.860516088384468"/>
    <n v="713388108"/>
    <x v="1"/>
    <n v="0.99873226999999998"/>
    <x v="1"/>
  </r>
  <r>
    <n v="44"/>
    <n v="0"/>
    <n v="3"/>
    <n v="5"/>
    <n v="3"/>
    <n v="4"/>
    <n v="0"/>
    <n v="36"/>
    <n v="6"/>
    <n v="2"/>
    <n v="4"/>
    <n v="1713"/>
    <n v="0"/>
    <n v="1713"/>
    <n v="0.67800000000000005"/>
    <n v="3999"/>
    <n v="66"/>
    <n v="1.0620000000000001"/>
    <n v="0"/>
    <n v="3.4841000000000001E-4"/>
    <n v="0.99965000000000004"/>
    <s v="28.07288480258621"/>
    <s v="79.32028572271841"/>
    <s v="102.8470339816338"/>
    <s v="14.965277839402445"/>
    <n v="712723608"/>
    <x v="0"/>
    <n v="7.4965424999999997E-4"/>
    <x v="0"/>
  </r>
  <r>
    <n v="49"/>
    <n v="0"/>
    <n v="4"/>
    <n v="2"/>
    <n v="1"/>
    <n v="4"/>
    <n v="0"/>
    <n v="42"/>
    <n v="2"/>
    <n v="4"/>
    <n v="3"/>
    <n v="2575"/>
    <n v="2517"/>
    <n v="58"/>
    <n v="0.31"/>
    <n v="1874"/>
    <n v="40"/>
    <n v="0.73899999999999999"/>
    <n v="0.97699999999999998"/>
    <n v="0.99739999999999995"/>
    <n v="2.6004800000000001E-3"/>
    <s v="28.68683662448512"/>
    <s v="71.40933311529939"/>
    <s v="72.82050630816165"/>
    <s v="12.388742778305712"/>
    <n v="741517458"/>
    <x v="1"/>
    <n v="0.99550444000000005"/>
    <x v="1"/>
  </r>
  <r>
    <n v="46"/>
    <n v="1"/>
    <n v="3"/>
    <n v="2"/>
    <n v="0"/>
    <n v="1"/>
    <n v="0"/>
    <n v="27"/>
    <n v="5"/>
    <n v="2"/>
    <n v="3"/>
    <n v="10931"/>
    <n v="2297"/>
    <n v="8634"/>
    <n v="0.63900000000000001"/>
    <n v="4802"/>
    <n v="73"/>
    <n v="0.872"/>
    <n v="0.21"/>
    <n v="1.9864000000000001E-4"/>
    <n v="0.99980000000000002"/>
    <s v="45.72938209490277"/>
    <s v="48.49658245919076"/>
    <s v="109.5747906561625"/>
    <s v="4.891043056546363"/>
    <n v="778696608"/>
    <x v="0"/>
    <n v="3.2101269999999999E-4"/>
    <x v="0"/>
  </r>
  <r>
    <n v="41"/>
    <n v="1"/>
    <n v="4"/>
    <n v="5"/>
    <n v="0"/>
    <n v="2"/>
    <n v="3"/>
    <n v="36"/>
    <n v="4"/>
    <n v="2"/>
    <n v="3"/>
    <n v="33771"/>
    <n v="0"/>
    <n v="33771"/>
    <n v="0.79100000000000004"/>
    <n v="3819"/>
    <n v="75"/>
    <n v="0.82899999999999996"/>
    <n v="0"/>
    <n v="1.8652E-4"/>
    <n v="0.99980999999999998"/>
    <s v="27.38423359019894"/>
    <s v="4.014443379203156"/>
    <s v="51.20279397635394"/>
    <s v="3.4146048493313885"/>
    <n v="719730258"/>
    <x v="0"/>
    <n v="6.9517245999999998E-4"/>
    <x v="0"/>
  </r>
  <r>
    <n v="55"/>
    <n v="0"/>
    <n v="4"/>
    <n v="3"/>
    <n v="1"/>
    <n v="4"/>
    <n v="0"/>
    <n v="36"/>
    <n v="4"/>
    <n v="2"/>
    <n v="3"/>
    <n v="1477"/>
    <n v="0"/>
    <n v="1477"/>
    <n v="0.71899999999999997"/>
    <n v="2419"/>
    <n v="49"/>
    <n v="0.53100000000000003"/>
    <n v="0"/>
    <n v="0.99490000000000001"/>
    <n v="5.1000000000000004E-3"/>
    <s v="18.45043844213384"/>
    <s v="51.82900048836021"/>
    <s v="87.67449318602291"/>
    <s v="8.936127690572556"/>
    <n v="719519058"/>
    <x v="1"/>
    <n v="0.99846387000000003"/>
    <x v="1"/>
  </r>
  <r>
    <n v="55"/>
    <n v="0"/>
    <n v="2"/>
    <n v="6"/>
    <n v="1"/>
    <n v="4"/>
    <n v="0"/>
    <n v="36"/>
    <n v="5"/>
    <n v="2"/>
    <n v="3"/>
    <n v="2629"/>
    <n v="1476"/>
    <n v="1153"/>
    <n v="0.53700000000000003"/>
    <n v="1725"/>
    <n v="41"/>
    <n v="0.41399999999999998"/>
    <n v="0.56100000000000005"/>
    <n v="2.1042000000000001E-4"/>
    <n v="0.99978999999999996"/>
    <s v="40.87058952684718"/>
    <s v="12.685279610837508"/>
    <s v="41.459258350361125"/>
    <s v="0.6515144882816483"/>
    <n v="716378658"/>
    <x v="0"/>
    <n v="1.1982243E-3"/>
    <x v="0"/>
  </r>
  <r>
    <n v="40"/>
    <n v="1"/>
    <n v="4"/>
    <n v="2"/>
    <n v="1"/>
    <n v="2"/>
    <n v="3"/>
    <n v="25"/>
    <n v="5"/>
    <n v="3"/>
    <n v="2"/>
    <n v="28822"/>
    <n v="2517"/>
    <n v="26305"/>
    <n v="0.49199999999999999"/>
    <n v="1504"/>
    <n v="35"/>
    <n v="0.29599999999999999"/>
    <n v="8.6999999999999994E-2"/>
    <n v="1.7045E-4"/>
    <n v="0.99983"/>
    <s v="0.9939810247836036"/>
    <s v="44.34000725103287"/>
    <s v="23.141780170699448"/>
    <s v="20.39348313121242"/>
    <n v="794632308"/>
    <x v="0"/>
    <n v="1.2668552E-3"/>
    <x v="0"/>
  </r>
  <r>
    <n v="33"/>
    <n v="0"/>
    <n v="2"/>
    <n v="1"/>
    <n v="2"/>
    <n v="4"/>
    <n v="0"/>
    <n v="26"/>
    <n v="2"/>
    <n v="3"/>
    <n v="2"/>
    <n v="1438.3"/>
    <n v="0"/>
    <n v="1438.3"/>
    <n v="0.61299999999999999"/>
    <n v="4196"/>
    <n v="87"/>
    <n v="0.89100000000000001"/>
    <n v="0"/>
    <n v="2.6027999999999999E-4"/>
    <n v="0.99973999999999996"/>
    <s v="14.02269410193338"/>
    <s v="30.008213154110194"/>
    <s v="113.69394585174676"/>
    <s v="9.411655282246924"/>
    <n v="736893108"/>
    <x v="0"/>
    <n v="6.9517245999999998E-4"/>
    <x v="0"/>
  </r>
  <r>
    <n v="43"/>
    <n v="0"/>
    <n v="2"/>
    <n v="4"/>
    <n v="2"/>
    <n v="1"/>
    <n v="0"/>
    <n v="36"/>
    <n v="4"/>
    <n v="1"/>
    <n v="3"/>
    <n v="2283"/>
    <n v="0"/>
    <n v="2283"/>
    <n v="0.89900000000000002"/>
    <n v="4088"/>
    <n v="66"/>
    <n v="0.88600000000000001"/>
    <n v="0"/>
    <n v="1.0900000000000001E-4"/>
    <n v="0.99988999999999995"/>
    <s v="33.07126796795191"/>
    <n v="2.2286703289740499"/>
    <s v="5.9840496002822725"/>
    <s v="7.930843909172341"/>
    <n v="717022533"/>
    <x v="0"/>
    <n v="7.6884776000000002E-4"/>
    <x v="0"/>
  </r>
  <r>
    <n v="37"/>
    <n v="0"/>
    <n v="1"/>
    <n v="2"/>
    <n v="1"/>
    <n v="4"/>
    <n v="0"/>
    <n v="36"/>
    <n v="3"/>
    <n v="3"/>
    <n v="3"/>
    <n v="3992"/>
    <n v="1289"/>
    <n v="2703"/>
    <n v="1.008"/>
    <n v="2181"/>
    <n v="32"/>
    <n v="0.6"/>
    <n v="0.32300000000000001"/>
    <n v="2.8394999999999999E-4"/>
    <n v="0.99972000000000005"/>
    <s v="17.91442419575993"/>
    <s v="6.372810975386846"/>
    <s v="55.017524979318495"/>
    <s v="17.83162461584356"/>
    <n v="717105258"/>
    <x v="0"/>
    <n v="1.3649026000000001E-3"/>
    <x v="0"/>
  </r>
  <r>
    <n v="47"/>
    <n v="1"/>
    <n v="4"/>
    <n v="0"/>
    <n v="1"/>
    <n v="3"/>
    <n v="0"/>
    <n v="33"/>
    <n v="3"/>
    <n v="1"/>
    <n v="3"/>
    <n v="8854"/>
    <n v="2382"/>
    <n v="6472"/>
    <n v="0.67"/>
    <n v="4768"/>
    <n v="81"/>
    <n v="0.92900000000000005"/>
    <n v="0.26900000000000002"/>
    <s v="9.4455e-05"/>
    <n v="0.99990999999999997"/>
    <s v="21.162577722942014"/>
    <s v="17.983146199733376"/>
    <s v="14.423706254429382"/>
    <s v="6.3838309851469495"/>
    <n v="770667408"/>
    <x v="0"/>
    <n v="3.2101269999999999E-4"/>
    <x v="0"/>
  </r>
  <r>
    <n v="61"/>
    <n v="1"/>
    <n v="0"/>
    <n v="5"/>
    <n v="2"/>
    <n v="1"/>
    <n v="0"/>
    <n v="49"/>
    <n v="1"/>
    <n v="2"/>
    <n v="3"/>
    <n v="2228"/>
    <n v="1480"/>
    <n v="748"/>
    <n v="0.53300000000000003"/>
    <n v="4431"/>
    <n v="71"/>
    <n v="0.65100000000000002"/>
    <n v="0.66400000000000003"/>
    <n v="1.6891000000000001E-4"/>
    <n v="0.99983"/>
    <s v="23.366293939980565"/>
    <s v="26.05124547320997"/>
    <n v="87.921150208369497"/>
    <s v="5.478599661090964"/>
    <n v="708224133"/>
    <x v="0"/>
    <n v="3.2101269999999999E-4"/>
    <x v="0"/>
  </r>
  <r>
    <n v="55"/>
    <n v="1"/>
    <n v="2"/>
    <n v="2"/>
    <n v="1"/>
    <n v="2"/>
    <n v="0"/>
    <n v="44"/>
    <n v="6"/>
    <n v="6"/>
    <n v="3"/>
    <n v="6054"/>
    <n v="1103"/>
    <n v="4951"/>
    <n v="0.61299999999999999"/>
    <n v="3998"/>
    <n v="80"/>
    <n v="0.73899999999999999"/>
    <n v="0.182"/>
    <n v="2.3881E-4"/>
    <n v="0.99975999999999998"/>
    <s v="8.532752122107603"/>
    <s v="5.470788480684444"/>
    <s v="42.29305356199308"/>
    <s v="2.3628588667947352"/>
    <n v="712225008"/>
    <x v="0"/>
    <n v="3.2101269999999999E-4"/>
    <x v="0"/>
  </r>
  <r>
    <n v="38"/>
    <n v="1"/>
    <n v="4"/>
    <n v="6"/>
    <n v="2"/>
    <n v="0"/>
    <n v="0"/>
    <n v="31"/>
    <n v="3"/>
    <n v="2"/>
    <n v="3"/>
    <n v="34516"/>
    <n v="0"/>
    <n v="34516"/>
    <n v="0.60399999999999998"/>
    <n v="15611"/>
    <n v="127"/>
    <n v="0.69299999999999995"/>
    <n v="0"/>
    <n v="2.2068000000000001E-4"/>
    <n v="0.99978"/>
    <s v="9.523014860140348"/>
    <s v="12.20130560090736"/>
    <s v="36.183173049497945"/>
    <s v="12.311269562048723"/>
    <n v="710923533"/>
    <x v="0"/>
    <n v="7.5047980000000002E-4"/>
    <x v="0"/>
  </r>
  <r>
    <n v="44"/>
    <n v="0"/>
    <n v="4"/>
    <n v="0"/>
    <n v="1"/>
    <n v="4"/>
    <n v="0"/>
    <n v="36"/>
    <n v="6"/>
    <n v="3"/>
    <n v="2"/>
    <n v="1438.3"/>
    <n v="0"/>
    <n v="1438.3"/>
    <n v="0.65100000000000002"/>
    <n v="4257"/>
    <n v="89"/>
    <n v="0.64800000000000002"/>
    <n v="0"/>
    <n v="1.8340000000000001E-4"/>
    <n v="0.99982000000000004"/>
    <s v="18.974195100781834"/>
    <n v="4.2390150625193996"/>
    <s v="126.13364055571698"/>
    <s v="1.8989976225099687"/>
    <n v="709022883"/>
    <x v="0"/>
    <n v="7.1276520000000004E-4"/>
    <x v="0"/>
  </r>
  <r>
    <n v="49"/>
    <n v="0"/>
    <n v="4"/>
    <n v="2"/>
    <n v="2"/>
    <n v="4"/>
    <n v="0"/>
    <n v="40"/>
    <n v="4"/>
    <n v="2"/>
    <n v="2"/>
    <n v="2712"/>
    <n v="1686"/>
    <n v="1026"/>
    <n v="0.79100000000000004"/>
    <n v="4678"/>
    <n v="74"/>
    <n v="0.64400000000000002"/>
    <n v="0.622"/>
    <n v="1.1937E-4"/>
    <n v="0.99987999999999999"/>
    <s v="31.24474230691636"/>
    <s v="15.470974890084824"/>
    <s v="45.38084985559992"/>
    <s v="2.6459102786331115"/>
    <n v="719549508"/>
    <x v="0"/>
    <n v="3.2914013999999999E-4"/>
    <x v="0"/>
  </r>
  <r>
    <n v="50"/>
    <n v="0"/>
    <n v="1"/>
    <n v="2"/>
    <n v="3"/>
    <n v="5"/>
    <n v="0"/>
    <n v="36"/>
    <n v="1"/>
    <n v="1"/>
    <n v="3"/>
    <n v="10417"/>
    <n v="2290"/>
    <n v="8127"/>
    <n v="1.1220000000000001"/>
    <n v="4871"/>
    <n v="75"/>
    <n v="1.0269999999999999"/>
    <n v="0.22"/>
    <s v="8.6952e-05"/>
    <n v="0.99990999999999997"/>
    <s v="23.880281376111448"/>
    <s v="17.748976028834853"/>
    <s v="17.642913365191376"/>
    <s v="6.135728997779226"/>
    <n v="708995283"/>
    <x v="0"/>
    <n v="3.3750932000000002E-4"/>
    <x v="0"/>
  </r>
  <r>
    <n v="39"/>
    <n v="0"/>
    <n v="1"/>
    <n v="2"/>
    <n v="2"/>
    <n v="4"/>
    <n v="0"/>
    <n v="30"/>
    <n v="5"/>
    <n v="6"/>
    <n v="2"/>
    <n v="2669"/>
    <n v="2397"/>
    <n v="272"/>
    <n v="0.80700000000000005"/>
    <n v="3847"/>
    <n v="65"/>
    <n v="0.58499999999999996"/>
    <n v="0.89800000000000002"/>
    <n v="1.3328E-4"/>
    <n v="0.99987000000000004"/>
    <s v="3.170599560899805"/>
    <s v="44.41210943045586"/>
    <s v="125.9703906731486"/>
    <s v="4.959905091596292"/>
    <n v="792795933"/>
    <x v="0"/>
    <n v="3.3723077000000001E-4"/>
    <x v="0"/>
  </r>
  <r>
    <n v="49"/>
    <n v="0"/>
    <n v="1"/>
    <n v="6"/>
    <n v="1"/>
    <n v="4"/>
    <n v="3"/>
    <n v="40"/>
    <n v="2"/>
    <n v="3"/>
    <n v="2"/>
    <n v="13411"/>
    <n v="1736"/>
    <n v="11675"/>
    <n v="0.84099999999999997"/>
    <n v="12493"/>
    <n v="113"/>
    <n v="0.73799999999999999"/>
    <n v="0.129"/>
    <n v="1.6767999999999999E-4"/>
    <n v="0.99983"/>
    <s v="10.960774600470792"/>
    <s v="32.37680308463575"/>
    <s v="17.21685561789952"/>
    <s v="11.698883061567164"/>
    <n v="714128283"/>
    <x v="0"/>
    <n v="3.6856539999999998E-4"/>
    <x v="0"/>
  </r>
  <r>
    <n v="45"/>
    <n v="1"/>
    <n v="3"/>
    <n v="2"/>
    <n v="0"/>
    <n v="2"/>
    <n v="0"/>
    <n v="36"/>
    <n v="6"/>
    <n v="3"/>
    <n v="2"/>
    <n v="19629"/>
    <n v="0"/>
    <n v="19629"/>
    <n v="0.76600000000000001"/>
    <n v="4073"/>
    <n v="79"/>
    <n v="0.88100000000000001"/>
    <n v="0"/>
    <n v="1.8665000000000001E-4"/>
    <n v="0.99980999999999998"/>
    <s v="7.870622573231206"/>
    <s v="23.32693970665111"/>
    <s v="33.61623624015879"/>
    <s v="8.480845321534838"/>
    <n v="718697583"/>
    <x v="0"/>
    <n v="6.9517245999999998E-4"/>
    <x v="0"/>
  </r>
  <r>
    <n v="50"/>
    <n v="0"/>
    <n v="3"/>
    <n v="3"/>
    <n v="2"/>
    <n v="4"/>
    <n v="0"/>
    <n v="36"/>
    <n v="4"/>
    <n v="3"/>
    <n v="1"/>
    <n v="1986"/>
    <n v="1614"/>
    <n v="372"/>
    <n v="0.55400000000000005"/>
    <n v="4442"/>
    <n v="64"/>
    <n v="0.73"/>
    <n v="0.81299999999999994"/>
    <n v="1.0943E-4"/>
    <n v="0.99988999999999995"/>
    <s v="26.721643872178635"/>
    <s v="1.4884238016782414"/>
    <s v="75.92446486470682"/>
    <s v="17.018317661294272"/>
    <n v="710656683"/>
    <x v="0"/>
    <n v="3.3750320000000002E-4"/>
    <x v="0"/>
  </r>
  <r>
    <n v="55"/>
    <n v="1"/>
    <n v="3"/>
    <n v="5"/>
    <n v="2"/>
    <n v="0"/>
    <n v="0"/>
    <n v="48"/>
    <n v="5"/>
    <n v="2"/>
    <n v="2"/>
    <n v="3088"/>
    <n v="1743"/>
    <n v="1345"/>
    <n v="0.76600000000000001"/>
    <n v="3906"/>
    <n v="68"/>
    <n v="0.65900000000000003"/>
    <n v="0.56399999999999995"/>
    <n v="1.2144E-4"/>
    <n v="0.99987999999999999"/>
    <s v="2.623330014504985"/>
    <s v="57.209083748748434"/>
    <s v="58.38268341926757"/>
    <s v="12.21028497612782"/>
    <n v="739828308"/>
    <x v="0"/>
    <n v="3.2101269999999999E-4"/>
    <x v="0"/>
  </r>
  <r>
    <n v="52"/>
    <n v="1"/>
    <n v="0"/>
    <n v="2"/>
    <n v="2"/>
    <n v="2"/>
    <n v="0"/>
    <n v="46"/>
    <n v="4"/>
    <n v="2"/>
    <n v="4"/>
    <n v="10817"/>
    <n v="1142"/>
    <n v="9675"/>
    <n v="0.72199999999999998"/>
    <n v="3889"/>
    <n v="60"/>
    <n v="0.81799999999999995"/>
    <n v="0.106"/>
    <n v="2.8024000000000001E-4"/>
    <n v="0.99972000000000005"/>
    <s v="9.516336152033594"/>
    <s v="30.586818930684245"/>
    <s v="172.04254336662578"/>
    <n v="8.6260597623572105E-2"/>
    <n v="785055108"/>
    <x v="0"/>
    <n v="3.6248067000000002E-4"/>
    <x v="0"/>
  </r>
  <r>
    <n v="46"/>
    <n v="1"/>
    <n v="2"/>
    <n v="3"/>
    <n v="2"/>
    <n v="1"/>
    <n v="0"/>
    <n v="32"/>
    <n v="1"/>
    <n v="2"/>
    <n v="2"/>
    <n v="2000"/>
    <n v="1739"/>
    <n v="261"/>
    <n v="0.82099999999999995"/>
    <n v="7694"/>
    <n v="85"/>
    <n v="0.7"/>
    <n v="0.87"/>
    <n v="1.1065000000000001E-4"/>
    <n v="0.99988999999999995"/>
    <n v="4.4821299414438E-2"/>
    <s v="9.001557710707598"/>
    <s v="28.24360639638116"/>
    <s v="15.642085309736878"/>
    <n v="788931558"/>
    <x v="0"/>
    <n v="3.6856539999999998E-4"/>
    <x v="0"/>
  </r>
  <r>
    <n v="49"/>
    <n v="0"/>
    <n v="3"/>
    <n v="6"/>
    <n v="1"/>
    <n v="4"/>
    <n v="0"/>
    <n v="36"/>
    <n v="5"/>
    <n v="2"/>
    <n v="4"/>
    <n v="2964"/>
    <n v="2043"/>
    <n v="921"/>
    <n v="0.69199999999999995"/>
    <n v="4345"/>
    <n v="69"/>
    <n v="0.46800000000000003"/>
    <n v="0.68899999999999995"/>
    <n v="3.7246000000000002E-4"/>
    <n v="0.99963000000000002"/>
    <s v="37.21125357809269"/>
    <s v="34.50670198841317"/>
    <s v="72.34725474773666"/>
    <s v="21.390482129612504"/>
    <n v="717262833"/>
    <x v="0"/>
    <n v="3.5747702000000001E-4"/>
    <x v="0"/>
  </r>
  <r>
    <n v="40"/>
    <n v="0"/>
    <n v="3"/>
    <n v="6"/>
    <n v="2"/>
    <n v="4"/>
    <n v="0"/>
    <n v="28"/>
    <n v="3"/>
    <n v="1"/>
    <n v="4"/>
    <n v="1647"/>
    <n v="1198"/>
    <n v="449"/>
    <n v="0.76"/>
    <n v="4272"/>
    <n v="76"/>
    <n v="0.81"/>
    <n v="0.72699999999999998"/>
    <n v="1.8024999999999999E-4"/>
    <n v="0.99982000000000004"/>
    <s v="30.06399889082131"/>
    <n v="52.239371009088003"/>
    <s v="90.45891523884482"/>
    <s v="8.694072295209436"/>
    <n v="717222033"/>
    <x v="0"/>
    <n v="3.2101269999999999E-4"/>
    <x v="0"/>
  </r>
  <r>
    <n v="45"/>
    <n v="0"/>
    <n v="2"/>
    <n v="5"/>
    <n v="2"/>
    <n v="4"/>
    <n v="0"/>
    <n v="37"/>
    <n v="3"/>
    <n v="2"/>
    <n v="2"/>
    <n v="8924"/>
    <n v="0"/>
    <n v="8924"/>
    <n v="0.54700000000000004"/>
    <n v="1720"/>
    <n v="42"/>
    <n v="0.4"/>
    <n v="0"/>
    <n v="0.99153000000000002"/>
    <n v="8.4700000000000001E-3"/>
    <s v="45.09238862729468"/>
    <n v="23.140948182067"/>
    <s v="22.07496364166211"/>
    <s v="1.8282197117793897"/>
    <n v="716271183"/>
    <x v="1"/>
    <n v="0.99860470000000001"/>
    <x v="1"/>
  </r>
  <r>
    <n v="58"/>
    <n v="1"/>
    <n v="1"/>
    <n v="3"/>
    <n v="1"/>
    <n v="3"/>
    <n v="0"/>
    <n v="50"/>
    <n v="1"/>
    <n v="1"/>
    <n v="3"/>
    <n v="34516"/>
    <n v="1341"/>
    <n v="33175"/>
    <n v="0.81200000000000006"/>
    <n v="13988"/>
    <n v="127"/>
    <n v="0.78900000000000003"/>
    <n v="3.9E-2"/>
    <s v="8.453e-05"/>
    <n v="0.99992000000000003"/>
    <s v="20.21507539655548"/>
    <s v="17.369750226255185"/>
    <s v="81.67203607164404"/>
    <s v="16.57893621751154"/>
    <n v="711328458"/>
    <x v="0"/>
    <n v="3.8573547000000003E-4"/>
    <x v="0"/>
  </r>
  <r>
    <n v="49"/>
    <n v="1"/>
    <n v="4"/>
    <n v="5"/>
    <n v="1"/>
    <n v="4"/>
    <n v="0"/>
    <n v="39"/>
    <n v="6"/>
    <n v="1"/>
    <n v="4"/>
    <n v="7232"/>
    <n v="1830"/>
    <n v="5402"/>
    <n v="1.002"/>
    <n v="4337"/>
    <n v="71"/>
    <n v="0.54300000000000004"/>
    <n v="0.253"/>
    <n v="1.7042000000000001E-4"/>
    <n v="0.99983"/>
    <s v="10.150497645807691"/>
    <s v="1.1802166625276085"/>
    <s v="111.62775014289096"/>
    <s v="8.979409995401722"/>
    <n v="713971608"/>
    <x v="0"/>
    <n v="3.4605444000000002E-4"/>
    <x v="0"/>
  </r>
  <r>
    <n v="49"/>
    <n v="0"/>
    <n v="3"/>
    <n v="2"/>
    <n v="3"/>
    <n v="4"/>
    <n v="0"/>
    <n v="36"/>
    <n v="4"/>
    <n v="3"/>
    <n v="3"/>
    <n v="2705"/>
    <n v="1681"/>
    <n v="1024"/>
    <n v="0.57699999999999996"/>
    <n v="4265"/>
    <n v="87"/>
    <n v="0.77600000000000002"/>
    <n v="0.621"/>
    <n v="3.1389999999999999E-4"/>
    <n v="0.99968999999999997"/>
    <s v="44.11514337757563"/>
    <s v="45.17887002885473"/>
    <s v="68.30943332810128"/>
    <s v="18.182893679222392"/>
    <n v="716402508"/>
    <x v="0"/>
    <n v="3.2101269999999999E-4"/>
    <x v="0"/>
  </r>
  <r>
    <n v="46"/>
    <n v="1"/>
    <n v="4"/>
    <n v="5"/>
    <n v="1"/>
    <n v="3"/>
    <n v="0"/>
    <n v="33"/>
    <n v="1"/>
    <n v="2"/>
    <n v="1"/>
    <n v="13490"/>
    <n v="1567"/>
    <n v="11923"/>
    <n v="0.79500000000000004"/>
    <n v="13159"/>
    <n v="105"/>
    <n v="0.75"/>
    <n v="0.11600000000000001"/>
    <s v="7.4017e-05"/>
    <n v="0.99992999999999999"/>
    <s v="46.31299087744843"/>
    <s v="6.419048066988832"/>
    <s v="46.16556452637471"/>
    <n v="6.8160587411976906E-2"/>
    <n v="719094333"/>
    <x v="0"/>
    <n v="3.4656386999999997E-4"/>
    <x v="0"/>
  </r>
  <r>
    <n v="48"/>
    <n v="1"/>
    <n v="3"/>
    <n v="2"/>
    <n v="0"/>
    <n v="1"/>
    <n v="0"/>
    <n v="43"/>
    <n v="2"/>
    <n v="3"/>
    <n v="3"/>
    <n v="9104"/>
    <n v="145"/>
    <n v="8959"/>
    <n v="0.76500000000000001"/>
    <n v="2563"/>
    <n v="34"/>
    <n v="0.41699999999999998"/>
    <n v="1.6E-2"/>
    <n v="0.99682999999999999"/>
    <n v="3.1745800000000002E-3"/>
    <s v="9.358241318201957"/>
    <s v="17.431853281841423"/>
    <s v="2.2531781008712666"/>
    <s v="18.939965374622748"/>
    <n v="807379833"/>
    <x v="1"/>
    <n v="0.99876772999999996"/>
    <x v="1"/>
  </r>
  <r>
    <n v="53"/>
    <n v="1"/>
    <n v="2"/>
    <n v="2"/>
    <n v="1"/>
    <n v="3"/>
    <n v="0"/>
    <n v="41"/>
    <n v="3"/>
    <n v="3"/>
    <n v="2"/>
    <n v="11669"/>
    <n v="2227"/>
    <n v="9442"/>
    <n v="0.622"/>
    <n v="720"/>
    <n v="23"/>
    <n v="0.35299999999999998"/>
    <n v="0.191"/>
    <n v="0.99446999999999997"/>
    <n v="5.5300000000000002E-3"/>
    <s v="1.194017875778162"/>
    <s v="28.529467656318484"/>
    <s v="136.8551761187471"/>
    <n v="8.4232392763264894"/>
    <n v="720201033"/>
    <x v="1"/>
    <n v="0.99532556999999999"/>
    <x v="1"/>
  </r>
  <r>
    <n v="40"/>
    <n v="1"/>
    <n v="2"/>
    <n v="2"/>
    <n v="2"/>
    <n v="0"/>
    <n v="0"/>
    <n v="33"/>
    <n v="3"/>
    <n v="1"/>
    <n v="2"/>
    <n v="20891"/>
    <n v="1213"/>
    <n v="19678"/>
    <n v="0.71699999999999997"/>
    <n v="14641"/>
    <n v="117"/>
    <n v="0.77300000000000002"/>
    <n v="5.8000000000000003E-2"/>
    <s v="5.5077e-05"/>
    <n v="0.99994000000000005"/>
    <s v="11.187773321368011"/>
    <n v="73.502280607268005"/>
    <s v="77.62666097521792"/>
    <s v="8.388480609856868"/>
    <n v="758802333"/>
    <x v="0"/>
    <n v="3.8573547000000003E-4"/>
    <x v="0"/>
  </r>
  <r>
    <n v="36"/>
    <n v="1"/>
    <n v="2"/>
    <n v="2"/>
    <n v="1"/>
    <n v="2"/>
    <n v="0"/>
    <n v="28"/>
    <n v="4"/>
    <n v="3"/>
    <n v="2"/>
    <n v="1911"/>
    <n v="1217"/>
    <n v="694"/>
    <n v="0.36299999999999999"/>
    <n v="1965"/>
    <n v="49"/>
    <n v="0.25600000000000001"/>
    <n v="0.63700000000000001"/>
    <n v="1.7987E-4"/>
    <n v="0.99982000000000004"/>
    <s v="41.612120848832255"/>
    <s v="13.668784866279664"/>
    <s v="21.446058608866856"/>
    <s v="18.800233863493453"/>
    <n v="709405758"/>
    <x v="0"/>
    <n v="1.0954237999999999E-3"/>
    <x v="0"/>
  </r>
  <r>
    <n v="49"/>
    <n v="0"/>
    <n v="3"/>
    <n v="2"/>
    <n v="1"/>
    <n v="4"/>
    <n v="0"/>
    <n v="43"/>
    <n v="2"/>
    <n v="1"/>
    <n v="1"/>
    <n v="7037"/>
    <n v="0"/>
    <n v="7037"/>
    <n v="0.752"/>
    <n v="7678"/>
    <n v="93"/>
    <n v="0.69099999999999995"/>
    <n v="0"/>
    <s v="3.4465e-05"/>
    <n v="0.99997000000000003"/>
    <s v="53.40342456393981"/>
    <s v="8.002613059797321"/>
    <s v="62.41458493942069"/>
    <s v="0.1864576018144269"/>
    <n v="770190258"/>
    <x v="0"/>
    <n v="7.9810305E-4"/>
    <x v="0"/>
  </r>
  <r>
    <n v="36"/>
    <n v="0"/>
    <n v="2"/>
    <n v="5"/>
    <n v="1"/>
    <n v="4"/>
    <n v="0"/>
    <n v="30"/>
    <n v="2"/>
    <n v="1"/>
    <n v="2"/>
    <n v="5070"/>
    <n v="0"/>
    <n v="5070"/>
    <n v="0.53600000000000003"/>
    <n v="4644"/>
    <n v="85"/>
    <n v="0.77100000000000002"/>
    <n v="0"/>
    <s v="5.663e-05"/>
    <n v="0.99994000000000005"/>
    <s v="28.76015989533103"/>
    <s v="6.574734026890481"/>
    <s v="113.87001941507664"/>
    <s v="14.175446464484256"/>
    <n v="798238008"/>
    <x v="0"/>
    <n v="6.9517245999999998E-4"/>
    <x v="0"/>
  </r>
  <r>
    <n v="38"/>
    <n v="1"/>
    <n v="2"/>
    <n v="0"/>
    <n v="1"/>
    <n v="3"/>
    <n v="0"/>
    <n v="24"/>
    <n v="4"/>
    <n v="1"/>
    <n v="5"/>
    <n v="17162"/>
    <n v="773"/>
    <n v="16389"/>
    <n v="1.238"/>
    <n v="2457"/>
    <n v="54"/>
    <n v="1"/>
    <n v="4.4999999999999998E-2"/>
    <n v="2.6585999999999998E-4"/>
    <n v="0.99973000000000001"/>
    <s v="7.012919428799063"/>
    <s v="84.09419583389534"/>
    <s v="40.31989477912356"/>
    <s v="1.0561093316428192"/>
    <n v="770882508"/>
    <x v="0"/>
    <n v="9.6807744999999996E-4"/>
    <x v="0"/>
  </r>
  <r>
    <n v="34"/>
    <n v="0"/>
    <n v="4"/>
    <n v="2"/>
    <n v="2"/>
    <n v="1"/>
    <n v="0"/>
    <n v="28"/>
    <n v="5"/>
    <n v="2"/>
    <n v="3"/>
    <n v="2472"/>
    <n v="1899"/>
    <n v="573"/>
    <n v="0.77"/>
    <n v="4408"/>
    <n v="86"/>
    <n v="0.79200000000000004"/>
    <n v="0.76800000000000002"/>
    <n v="2.0076999999999999E-4"/>
    <n v="0.99980000000000002"/>
    <s v="5.117783511409834"/>
    <s v="92.36898670266557"/>
    <s v="97.48321742033184"/>
    <s v="6.223642950975655"/>
    <n v="783070833"/>
    <x v="0"/>
    <n v="3.2101269999999999E-4"/>
    <x v="0"/>
  </r>
  <r>
    <n v="39"/>
    <n v="0"/>
    <n v="3"/>
    <n v="2"/>
    <n v="3"/>
    <n v="4"/>
    <n v="0"/>
    <n v="26"/>
    <n v="2"/>
    <n v="2"/>
    <n v="1"/>
    <n v="5325"/>
    <n v="2488"/>
    <n v="2837"/>
    <n v="0.92600000000000005"/>
    <n v="13674"/>
    <n v="101"/>
    <n v="0.83599999999999997"/>
    <n v="0.46700000000000003"/>
    <s v="7.1226e-05"/>
    <n v="0.99992999999999999"/>
    <s v="6.619270311585651"/>
    <s v="76.38314637765262"/>
    <n v="127.795469719693"/>
    <n v="8.2991188245355598"/>
    <n v="718579833"/>
    <x v="0"/>
    <n v="3.9377974E-4"/>
    <x v="0"/>
  </r>
  <r>
    <n v="50"/>
    <n v="0"/>
    <n v="1"/>
    <n v="0"/>
    <n v="2"/>
    <n v="4"/>
    <n v="0"/>
    <n v="45"/>
    <n v="4"/>
    <n v="2"/>
    <n v="4"/>
    <n v="4785"/>
    <n v="1965"/>
    <n v="2820"/>
    <n v="0.8"/>
    <n v="3651"/>
    <n v="59"/>
    <n v="0.55300000000000005"/>
    <n v="0.41099999999999998"/>
    <n v="2.9800999999999997E-4"/>
    <n v="0.99970000000000003"/>
    <s v="13.951929256024249"/>
    <n v="3.4115398394083201"/>
    <s v="67.54973222791665"/>
    <s v="2.358991334885695"/>
    <n v="820060758"/>
    <x v="0"/>
    <n v="3.9492500000000002E-4"/>
    <x v="0"/>
  </r>
  <r>
    <n v="47"/>
    <n v="0"/>
    <n v="2"/>
    <n v="3"/>
    <n v="1"/>
    <n v="4"/>
    <n v="0"/>
    <n v="37"/>
    <n v="6"/>
    <n v="1"/>
    <n v="1"/>
    <n v="2946"/>
    <n v="2338"/>
    <n v="608"/>
    <n v="0.57999999999999996"/>
    <n v="4717"/>
    <n v="70"/>
    <n v="0.628"/>
    <n v="0.79400000000000004"/>
    <s v="3.2288e-05"/>
    <n v="0.99997000000000003"/>
    <s v="55.60536164569993"/>
    <s v="20.454794780881425"/>
    <s v="80.49483920341115"/>
    <s v="26.496794732835717"/>
    <n v="781930233"/>
    <x v="0"/>
    <n v="3.2914013999999999E-4"/>
    <x v="0"/>
  </r>
  <r>
    <n v="52"/>
    <n v="0"/>
    <n v="2"/>
    <n v="2"/>
    <n v="1"/>
    <n v="4"/>
    <n v="0"/>
    <n v="45"/>
    <n v="4"/>
    <n v="3"/>
    <n v="1"/>
    <n v="2261"/>
    <n v="1127"/>
    <n v="1134"/>
    <n v="0.81399999999999995"/>
    <n v="4456"/>
    <n v="68"/>
    <n v="0.78900000000000003"/>
    <n v="0.498"/>
    <n v="1.0848E-4"/>
    <n v="0.99988999999999995"/>
    <s v="26.67805484717592"/>
    <s v="31.66047045458795"/>
    <s v="28.831841425611024"/>
    <s v="3.2013333148738035"/>
    <n v="757634583"/>
    <x v="0"/>
    <n v="3.2101269999999999E-4"/>
    <x v="0"/>
  </r>
  <r>
    <n v="53"/>
    <n v="1"/>
    <n v="1"/>
    <n v="6"/>
    <n v="2"/>
    <n v="0"/>
    <n v="0"/>
    <n v="45"/>
    <n v="6"/>
    <n v="2"/>
    <n v="3"/>
    <n v="10001"/>
    <n v="0"/>
    <n v="10001"/>
    <n v="0.67600000000000005"/>
    <n v="4167"/>
    <n v="74"/>
    <n v="0.64400000000000002"/>
    <n v="0"/>
    <n v="1.9751E-4"/>
    <n v="0.99980000000000002"/>
    <s v="13.87862163758156"/>
    <s v="7.405760267592435"/>
    <s v="7.441459759807699"/>
    <s v="0.6585622851844478"/>
    <n v="711067383"/>
    <x v="0"/>
    <n v="7.1276520000000004E-4"/>
    <x v="0"/>
  </r>
  <r>
    <n v="44"/>
    <n v="0"/>
    <n v="4"/>
    <n v="6"/>
    <n v="3"/>
    <n v="1"/>
    <n v="1"/>
    <n v="31"/>
    <n v="2"/>
    <n v="2"/>
    <n v="3"/>
    <n v="23981"/>
    <n v="2135"/>
    <n v="21846"/>
    <n v="0.749"/>
    <n v="7885"/>
    <n v="86"/>
    <n v="0.56399999999999995"/>
    <n v="8.8999999999999996E-2"/>
    <n v="2.5423999999999998E-4"/>
    <n v="0.99975000000000003"/>
    <s v="27.16643949389248"/>
    <s v="43.184964720826514"/>
    <s v="1.878608688726904"/>
    <s v="11.531614740181077"/>
    <n v="718189908"/>
    <x v="0"/>
    <n v="3.8873720999999998E-4"/>
    <x v="0"/>
  </r>
  <r>
    <n v="40"/>
    <n v="1"/>
    <n v="2"/>
    <n v="6"/>
    <n v="2"/>
    <n v="2"/>
    <n v="0"/>
    <n v="27"/>
    <n v="6"/>
    <n v="2"/>
    <n v="3"/>
    <n v="12283"/>
    <n v="0"/>
    <n v="12283"/>
    <n v="0.41299999999999998"/>
    <n v="1993"/>
    <n v="41"/>
    <n v="0.32300000000000001"/>
    <n v="0"/>
    <n v="0.99526999999999999"/>
    <n v="4.7289599999999999E-3"/>
    <s v="2.2518777679282183"/>
    <s v="16.560553792988767"/>
    <n v="94.134695669848796"/>
    <s v="27.778968842414272"/>
    <n v="713314533"/>
    <x v="1"/>
    <n v="0.99866544999999995"/>
    <x v="1"/>
  </r>
  <r>
    <n v="52"/>
    <n v="1"/>
    <n v="0"/>
    <n v="2"/>
    <n v="2"/>
    <n v="3"/>
    <n v="0"/>
    <n v="43"/>
    <n v="4"/>
    <n v="3"/>
    <n v="3"/>
    <n v="8133"/>
    <n v="1942"/>
    <n v="6191"/>
    <n v="0.57199999999999995"/>
    <n v="3310"/>
    <n v="76"/>
    <n v="0.58299999999999996"/>
    <n v="0.23899999999999999"/>
    <n v="2.5960000000000002E-4"/>
    <n v="0.99973999999999996"/>
    <s v="26.94546953539301"/>
    <s v="96.01149446583564"/>
    <s v="58.24567843342716"/>
    <s v="2.332738196096904"/>
    <n v="719525358"/>
    <x v="0"/>
    <n v="3.2914013999999999E-4"/>
    <x v="0"/>
  </r>
  <r>
    <n v="57"/>
    <n v="1"/>
    <n v="2"/>
    <n v="2"/>
    <n v="2"/>
    <n v="0"/>
    <n v="3"/>
    <n v="51"/>
    <n v="6"/>
    <n v="3"/>
    <n v="4"/>
    <n v="34516"/>
    <n v="1417"/>
    <n v="33099"/>
    <n v="0.96599999999999997"/>
    <n v="4303"/>
    <n v="77"/>
    <n v="0.63800000000000001"/>
    <n v="4.1000000000000002E-2"/>
    <n v="4.6626000000000003E-4"/>
    <n v="0.99953000000000003"/>
    <s v="4.489899876367351"/>
    <s v="52.93052608836543"/>
    <s v="23.344159625964284"/>
    <s v="7.183240095073239"/>
    <n v="717708783"/>
    <x v="0"/>
    <n v="3.8516849999999998E-4"/>
    <x v="0"/>
  </r>
  <r>
    <n v="65"/>
    <n v="1"/>
    <n v="0"/>
    <n v="6"/>
    <n v="2"/>
    <n v="1"/>
    <n v="0"/>
    <n v="54"/>
    <n v="5"/>
    <n v="1"/>
    <n v="4"/>
    <n v="9383"/>
    <n v="829"/>
    <n v="8554"/>
    <n v="0.51500000000000001"/>
    <n v="5783"/>
    <n v="73"/>
    <n v="0.622"/>
    <n v="8.7999999999999995E-2"/>
    <n v="1.4907000000000001E-4"/>
    <n v="0.99985000000000002"/>
    <s v="5.079014377671076"/>
    <s v="53.65791084195686"/>
    <s v="89.77489264492361"/>
    <s v="12.354964466250449"/>
    <n v="717965808"/>
    <x v="0"/>
    <n v="8.9836810000000001E-4"/>
    <x v="0"/>
  </r>
  <r>
    <n v="46"/>
    <n v="1"/>
    <n v="3"/>
    <n v="5"/>
    <n v="1"/>
    <n v="2"/>
    <n v="0"/>
    <n v="36"/>
    <n v="4"/>
    <n v="3"/>
    <n v="3"/>
    <n v="11117"/>
    <n v="0"/>
    <n v="11117"/>
    <n v="0.81399999999999995"/>
    <n v="3099"/>
    <n v="69"/>
    <n v="0.81599999999999995"/>
    <n v="0"/>
    <n v="3.2275000000000001E-4"/>
    <n v="0.99968000000000001"/>
    <s v="32.42092162445433"/>
    <s v="22.775389195063376"/>
    <s v="150.53061654272386"/>
    <s v="18.548170294810745"/>
    <n v="710505483"/>
    <x v="0"/>
    <n v="8.1548570000000004E-4"/>
    <x v="0"/>
  </r>
  <r>
    <n v="37"/>
    <n v="1"/>
    <n v="3"/>
    <n v="2"/>
    <n v="1"/>
    <n v="2"/>
    <n v="0"/>
    <n v="28"/>
    <n v="2"/>
    <n v="3"/>
    <n v="2"/>
    <n v="6407"/>
    <n v="478"/>
    <n v="5929"/>
    <n v="1.022"/>
    <n v="9322"/>
    <n v="77"/>
    <n v="0.83299999999999996"/>
    <n v="7.4999999999999997E-2"/>
    <n v="0.99467000000000005"/>
    <n v="5.3299999999999997E-3"/>
    <s v="24.41314758341649"/>
    <s v="22.432215842684315"/>
    <s v="20.77357222955613"/>
    <s v="7.496037352657372"/>
    <n v="711838008"/>
    <x v="1"/>
    <n v="0.99493575000000001"/>
    <x v="1"/>
  </r>
  <r>
    <n v="47"/>
    <n v="1"/>
    <n v="3"/>
    <n v="3"/>
    <n v="2"/>
    <n v="2"/>
    <n v="0"/>
    <n v="39"/>
    <n v="2"/>
    <n v="1"/>
    <n v="1"/>
    <n v="2843"/>
    <n v="1752"/>
    <n v="1091"/>
    <n v="0.624"/>
    <n v="3738"/>
    <n v="77"/>
    <n v="0.60399999999999998"/>
    <n v="0.61599999999999999"/>
    <s v="3.3505e-05"/>
    <n v="0.99997000000000003"/>
    <s v="8.152519654337143"/>
    <s v="51.05530837135155"/>
    <s v="64.34772164642145"/>
    <n v="8.7593803554895295"/>
    <n v="710630583"/>
    <x v="0"/>
    <n v="3.2914013999999999E-4"/>
    <x v="0"/>
  </r>
  <r>
    <n v="40"/>
    <n v="1"/>
    <n v="3"/>
    <n v="6"/>
    <n v="0"/>
    <n v="2"/>
    <n v="0"/>
    <n v="24"/>
    <n v="2"/>
    <n v="3"/>
    <n v="3"/>
    <n v="20466"/>
    <n v="1138"/>
    <n v="19328"/>
    <n v="0.86799999999999999"/>
    <n v="15121"/>
    <n v="97"/>
    <n v="0.54"/>
    <n v="5.6000000000000001E-2"/>
    <n v="3.4503000000000002E-4"/>
    <n v="0.99965000000000004"/>
    <s v="3.562244972018912"/>
    <s v="63.34139255205146"/>
    <s v="17.906490526548097"/>
    <s v="3.5879704101287127"/>
    <n v="711003483"/>
    <x v="0"/>
    <n v="3.9550033E-4"/>
    <x v="0"/>
  </r>
  <r>
    <n v="42"/>
    <n v="0"/>
    <n v="3"/>
    <n v="4"/>
    <n v="1"/>
    <n v="4"/>
    <n v="0"/>
    <n v="36"/>
    <n v="4"/>
    <n v="3"/>
    <n v="2"/>
    <n v="4328"/>
    <n v="1749"/>
    <n v="2579"/>
    <n v="0.80600000000000005"/>
    <n v="4593"/>
    <n v="72"/>
    <n v="1"/>
    <n v="0.40400000000000003"/>
    <n v="2.1961999999999999E-4"/>
    <n v="0.99978"/>
    <s v="45.88471735988843"/>
    <s v="36.65498652244842"/>
    <s v="79.62048727383824"/>
    <s v="3.7588623619939416"/>
    <n v="713432508"/>
    <x v="0"/>
    <n v="3.2101269999999999E-4"/>
    <x v="0"/>
  </r>
  <r>
    <n v="41"/>
    <n v="0"/>
    <n v="4"/>
    <n v="4"/>
    <n v="2"/>
    <n v="4"/>
    <n v="0"/>
    <n v="36"/>
    <n v="5"/>
    <n v="4"/>
    <n v="1"/>
    <n v="2968"/>
    <n v="1873"/>
    <n v="1095"/>
    <n v="1.1100000000000001"/>
    <n v="5171"/>
    <n v="85"/>
    <n v="0.88900000000000001"/>
    <n v="0.63100000000000001"/>
    <n v="1.6178000000000001E-4"/>
    <n v="0.99983999999999995"/>
    <s v="21.550606890273528"/>
    <s v="41.14297720286159"/>
    <s v="70.41763172493633"/>
    <s v="1.6962476300255716"/>
    <n v="708254733"/>
    <x v="0"/>
    <n v="3.221314E-4"/>
    <x v="0"/>
  </r>
  <r>
    <n v="40"/>
    <n v="1"/>
    <n v="3"/>
    <n v="5"/>
    <n v="0"/>
    <n v="3"/>
    <n v="0"/>
    <n v="25"/>
    <n v="4"/>
    <n v="3"/>
    <n v="4"/>
    <n v="11721"/>
    <n v="1175"/>
    <n v="10546"/>
    <n v="0.77900000000000003"/>
    <n v="4187"/>
    <n v="73"/>
    <n v="0.82499999999999996"/>
    <n v="0.1"/>
    <n v="5.5051999999999998E-4"/>
    <n v="0.99944999999999995"/>
    <s v="11.02237964478566"/>
    <s v="5.985011693081131"/>
    <s v="82.54776947694357"/>
    <s v="13.740748761327298"/>
    <n v="713586858"/>
    <x v="0"/>
    <n v="3.2101269999999999E-4"/>
    <x v="0"/>
  </r>
  <r>
    <n v="34"/>
    <n v="1"/>
    <n v="4"/>
    <n v="4"/>
    <n v="2"/>
    <n v="3"/>
    <n v="0"/>
    <n v="26"/>
    <n v="3"/>
    <n v="3"/>
    <n v="2"/>
    <n v="5100"/>
    <n v="1786"/>
    <n v="3314"/>
    <n v="1.06"/>
    <n v="2375"/>
    <n v="63"/>
    <n v="0.57499999999999996"/>
    <n v="0.35"/>
    <n v="2.2196E-4"/>
    <n v="0.99978"/>
    <s v="20.13623749263849"/>
    <s v="56.04724206346686"/>
    <s v="64.80065176793961"/>
    <s v="17.129446143729826"/>
    <n v="720267033"/>
    <x v="0"/>
    <n v="4.2245854000000002E-4"/>
    <x v="0"/>
  </r>
  <r>
    <n v="39"/>
    <n v="0"/>
    <n v="2"/>
    <n v="3"/>
    <n v="2"/>
    <n v="4"/>
    <n v="0"/>
    <n v="36"/>
    <n v="4"/>
    <n v="2"/>
    <n v="3"/>
    <n v="5245"/>
    <n v="802"/>
    <n v="4443"/>
    <n v="0.504"/>
    <n v="3648"/>
    <n v="74"/>
    <n v="0.57399999999999995"/>
    <n v="0.153"/>
    <n v="1.861E-4"/>
    <n v="0.99980999999999998"/>
    <n v="29.571986581138901"/>
    <s v="30.69983176369002"/>
    <s v="31.540584385037462"/>
    <s v="16.50999173120104"/>
    <n v="716822583"/>
    <x v="0"/>
    <n v="5.2322453000000003E-4"/>
    <x v="0"/>
  </r>
  <r>
    <n v="56"/>
    <n v="1"/>
    <n v="2"/>
    <n v="5"/>
    <n v="1"/>
    <n v="3"/>
    <n v="0"/>
    <n v="45"/>
    <n v="4"/>
    <n v="2"/>
    <n v="2"/>
    <n v="11102"/>
    <n v="1946"/>
    <n v="9156"/>
    <n v="0.625"/>
    <n v="1448"/>
    <n v="36"/>
    <n v="1"/>
    <n v="0.17499999999999999"/>
    <n v="1.1703E-4"/>
    <n v="0.99987999999999999"/>
    <s v="2.2269464031139785"/>
    <s v="65.05254173805048"/>
    <s v="182.9917166952254"/>
    <s v="9.700218451479811"/>
    <n v="789187908"/>
    <x v="0"/>
    <n v="9.8706899999999992E-4"/>
    <x v="0"/>
  </r>
  <r>
    <n v="48"/>
    <n v="1"/>
    <n v="3"/>
    <n v="2"/>
    <n v="1"/>
    <n v="2"/>
    <n v="0"/>
    <n v="38"/>
    <n v="6"/>
    <n v="1"/>
    <n v="0"/>
    <n v="5649"/>
    <n v="748"/>
    <n v="4901"/>
    <n v="1.077"/>
    <n v="4683"/>
    <n v="72"/>
    <n v="0.94599999999999995"/>
    <n v="0.13200000000000001"/>
    <s v="2.1081e-05"/>
    <n v="0.99997999999999998"/>
    <s v="65.57888809426979"/>
    <s v="50.49873946180024"/>
    <s v="38.29344954291703"/>
    <s v="6.327691972738355"/>
    <n v="780383358"/>
    <x v="0"/>
    <n v="5.7288585000000005E-4"/>
    <x v="0"/>
  </r>
  <r>
    <n v="40"/>
    <n v="1"/>
    <n v="3"/>
    <n v="3"/>
    <n v="0"/>
    <n v="2"/>
    <n v="0"/>
    <n v="36"/>
    <n v="3"/>
    <n v="1"/>
    <n v="2"/>
    <n v="16268"/>
    <n v="2517"/>
    <n v="13751"/>
    <n v="0.65200000000000002"/>
    <n v="15925"/>
    <n v="124"/>
    <n v="0.82399999999999995"/>
    <n v="0.155"/>
    <s v="5.5559e-05"/>
    <n v="0.99994000000000005"/>
    <n v="57.9355512466148"/>
    <n v="74.074685507719906"/>
    <s v="28.469502451885795"/>
    <s v="7.689699777153789"/>
    <n v="709398708"/>
    <x v="0"/>
    <n v="3.7453471999999999E-4"/>
    <x v="0"/>
  </r>
  <r>
    <n v="55"/>
    <n v="0"/>
    <n v="2"/>
    <n v="6"/>
    <n v="2"/>
    <n v="4"/>
    <n v="0"/>
    <n v="43"/>
    <n v="6"/>
    <n v="1"/>
    <n v="5"/>
    <n v="5353"/>
    <n v="1594"/>
    <n v="3759"/>
    <n v="0.97299999999999998"/>
    <n v="4456"/>
    <n v="79"/>
    <n v="0.83699999999999997"/>
    <n v="0.29799999999999999"/>
    <n v="3.0057E-4"/>
    <n v="0.99970000000000003"/>
    <s v="21.55579592616081"/>
    <s v="8.990422580047928"/>
    <s v="132.30505381056383"/>
    <s v="7.157843544194655"/>
    <n v="709562358"/>
    <x v="0"/>
    <n v="3.3750932000000002E-4"/>
    <x v="0"/>
  </r>
  <r>
    <n v="47"/>
    <n v="0"/>
    <n v="3"/>
    <n v="6"/>
    <n v="1"/>
    <n v="4"/>
    <n v="0"/>
    <n v="42"/>
    <n v="1"/>
    <n v="2"/>
    <n v="3"/>
    <n v="3669"/>
    <n v="2517"/>
    <n v="1152"/>
    <n v="0.83"/>
    <n v="13931"/>
    <n v="112"/>
    <n v="0.83599999999999997"/>
    <n v="0.68600000000000005"/>
    <n v="2.1834E-4"/>
    <n v="0.99978"/>
    <s v="21.10198613437757"/>
    <s v="70.99252981659123"/>
    <s v="108.86797022737888"/>
    <s v="9.086021326386636"/>
    <n v="807971658"/>
    <x v="0"/>
    <n v="3.7453471999999999E-4"/>
    <x v="0"/>
  </r>
  <r>
    <n v="48"/>
    <n v="0"/>
    <n v="4"/>
    <n v="2"/>
    <n v="1"/>
    <n v="4"/>
    <n v="0"/>
    <n v="21"/>
    <n v="4"/>
    <n v="6"/>
    <n v="0"/>
    <n v="1930"/>
    <n v="0"/>
    <n v="1930"/>
    <n v="0.81499999999999995"/>
    <n v="5033"/>
    <n v="87"/>
    <n v="0.58199999999999996"/>
    <n v="0"/>
    <s v="5.4933e-05"/>
    <n v="0.99995000000000001"/>
    <s v="14.262985861707527"/>
    <s v="17.795707982466375"/>
    <s v="12.58337471265726"/>
    <s v="14.46202918062788"/>
    <n v="710542983"/>
    <x v="0"/>
    <n v="7.387203E-4"/>
    <x v="0"/>
  </r>
  <r>
    <n v="42"/>
    <n v="1"/>
    <n v="3"/>
    <n v="2"/>
    <n v="2"/>
    <n v="3"/>
    <n v="3"/>
    <n v="31"/>
    <n v="2"/>
    <n v="2"/>
    <n v="3"/>
    <n v="34516"/>
    <n v="2120"/>
    <n v="32396"/>
    <n v="0.9"/>
    <n v="14626"/>
    <n v="97"/>
    <n v="0.64400000000000002"/>
    <n v="6.0999999999999999E-2"/>
    <n v="1.7949E-4"/>
    <n v="0.99982000000000004"/>
    <s v="14.549533294068134"/>
    <s v="10.583399535098264"/>
    <s v="56.28559556618122"/>
    <s v="35.652319421338646"/>
    <n v="789289383"/>
    <x v="0"/>
    <n v="4.1582222999999999E-4"/>
    <x v="0"/>
  </r>
  <r>
    <n v="57"/>
    <n v="1"/>
    <n v="3"/>
    <n v="4"/>
    <n v="2"/>
    <n v="3"/>
    <n v="0"/>
    <n v="50"/>
    <n v="3"/>
    <n v="1"/>
    <n v="1"/>
    <n v="34516"/>
    <n v="2293"/>
    <n v="32223"/>
    <n v="0.79900000000000004"/>
    <n v="14287"/>
    <n v="114"/>
    <n v="0.754"/>
    <n v="6.6000000000000003E-2"/>
    <s v="4.0554e-05"/>
    <n v="0.99995999999999996"/>
    <s v="11.91388419801377"/>
    <s v="23.312753629638888"/>
    <s v="21.458389174595837"/>
    <s v="8.704569736785245"/>
    <n v="751166508"/>
    <x v="0"/>
    <n v="3.8573547000000003E-4"/>
    <x v="0"/>
  </r>
  <r>
    <n v="49"/>
    <n v="0"/>
    <n v="1"/>
    <n v="2"/>
    <n v="1"/>
    <n v="4"/>
    <n v="0"/>
    <n v="36"/>
    <n v="2"/>
    <n v="3"/>
    <n v="2"/>
    <n v="3423"/>
    <n v="2186"/>
    <n v="1237"/>
    <n v="0.67100000000000004"/>
    <n v="14037"/>
    <n v="120"/>
    <n v="0.875"/>
    <n v="0.63900000000000001"/>
    <n v="1.6882999999999999E-4"/>
    <n v="0.99983"/>
    <s v="34.890176520358864"/>
    <s v="8.345553879609934"/>
    <s v="64.35047847124191"/>
    <s v="24.24510701858205"/>
    <n v="718060983"/>
    <x v="0"/>
    <n v="3.4656386999999997E-4"/>
    <x v="0"/>
  </r>
  <r>
    <n v="36"/>
    <n v="1"/>
    <n v="2"/>
    <n v="2"/>
    <n v="1"/>
    <n v="3"/>
    <n v="0"/>
    <n v="28"/>
    <n v="5"/>
    <n v="3"/>
    <n v="3"/>
    <n v="5634"/>
    <n v="1996"/>
    <n v="3638"/>
    <n v="1.589"/>
    <n v="2366"/>
    <n v="49"/>
    <n v="0.69"/>
    <n v="0.35399999999999998"/>
    <n v="3.0250999999999998E-4"/>
    <n v="0.99970000000000003"/>
    <s v="18.182481232794878"/>
    <s v="12.82296784819163"/>
    <s v="32.76180245653998"/>
    <s v="1.2036474204769718"/>
    <n v="720871383"/>
    <x v="0"/>
    <n v="9.0581370000000002E-4"/>
    <x v="0"/>
  </r>
  <r>
    <n v="35"/>
    <n v="1"/>
    <n v="1"/>
    <n v="1"/>
    <n v="2"/>
    <n v="3"/>
    <n v="0"/>
    <n v="27"/>
    <n v="3"/>
    <n v="2"/>
    <n v="2"/>
    <n v="2904"/>
    <n v="2517"/>
    <n v="387"/>
    <n v="0.624"/>
    <n v="2653"/>
    <n v="46"/>
    <n v="0.58599999999999997"/>
    <n v="0.86699999999999999"/>
    <n v="0.99356999999999995"/>
    <n v="6.43E-3"/>
    <s v="36.848558851851614"/>
    <s v="65.66830319120626"/>
    <s v="15.41447345503153"/>
    <s v="1.7472932361045797"/>
    <n v="708536283"/>
    <x v="1"/>
    <n v="0.99548570000000003"/>
    <x v="1"/>
  </r>
  <r>
    <n v="44"/>
    <n v="0"/>
    <n v="2"/>
    <n v="6"/>
    <n v="2"/>
    <n v="4"/>
    <n v="1"/>
    <n v="30"/>
    <n v="1"/>
    <n v="3"/>
    <n v="3"/>
    <n v="15365"/>
    <n v="630"/>
    <n v="14735"/>
    <n v="0.80700000000000005"/>
    <n v="7890"/>
    <n v="91"/>
    <n v="0.68500000000000005"/>
    <n v="4.1000000000000002E-2"/>
    <n v="3.8307E-4"/>
    <n v="0.99961999999999995"/>
    <s v="8.265340731279528"/>
    <s v="51.09082048896648"/>
    <s v="99.49399051028428"/>
    <s v="11.500076526331087"/>
    <n v="770705208"/>
    <x v="0"/>
    <n v="6.9627179999999999E-4"/>
    <x v="0"/>
  </r>
  <r>
    <n v="45"/>
    <n v="1"/>
    <n v="4"/>
    <n v="3"/>
    <n v="1"/>
    <n v="3"/>
    <n v="0"/>
    <n v="35"/>
    <n v="5"/>
    <n v="2"/>
    <n v="3"/>
    <n v="9852"/>
    <n v="2277"/>
    <n v="7575"/>
    <n v="0.83099999999999996"/>
    <n v="3813"/>
    <n v="71"/>
    <n v="0.61399999999999999"/>
    <n v="0.23100000000000001"/>
    <n v="1.9516999999999999E-4"/>
    <n v="0.99980000000000002"/>
    <s v="23.790680121860888"/>
    <s v="29.940425362758056"/>
    <s v="29.93748112330976"/>
    <s v="30.994678858519716"/>
    <n v="709279608"/>
    <x v="0"/>
    <n v="3.2914013999999999E-4"/>
    <x v="0"/>
  </r>
  <r>
    <n v="48"/>
    <n v="1"/>
    <n v="4"/>
    <n v="0"/>
    <n v="1"/>
    <n v="3"/>
    <n v="0"/>
    <n v="32"/>
    <n v="5"/>
    <n v="2"/>
    <n v="3"/>
    <n v="25190"/>
    <n v="0"/>
    <n v="25190"/>
    <n v="0.46700000000000003"/>
    <n v="1533"/>
    <n v="41"/>
    <n v="0.32300000000000001"/>
    <n v="0"/>
    <n v="0.99490000000000001"/>
    <n v="5.1000000000000004E-3"/>
    <s v="20.971943437515275"/>
    <n v="11.6846928208136"/>
    <s v="80.00514731425599"/>
    <s v="12.749625168084984"/>
    <n v="712050933"/>
    <x v="1"/>
    <n v="0.99856453999999994"/>
    <x v="1"/>
  </r>
  <r>
    <n v="55"/>
    <n v="0"/>
    <n v="2"/>
    <n v="2"/>
    <n v="1"/>
    <n v="5"/>
    <n v="0"/>
    <n v="41"/>
    <n v="1"/>
    <n v="1"/>
    <n v="1"/>
    <n v="3591"/>
    <n v="1760"/>
    <n v="1831"/>
    <n v="0.50700000000000001"/>
    <n v="13289"/>
    <n v="121"/>
    <n v="0.754"/>
    <n v="0.49"/>
    <s v="3.3214e-05"/>
    <n v="0.99997000000000003"/>
    <s v="26.11134897350432"/>
    <s v="8.092064402733769"/>
    <s v="29.289153908291308"/>
    <s v="16.747457992523195"/>
    <n v="713462508"/>
    <x v="0"/>
    <n v="3.4656386999999997E-4"/>
    <x v="0"/>
  </r>
  <r>
    <n v="53"/>
    <n v="1"/>
    <n v="4"/>
    <n v="6"/>
    <n v="2"/>
    <n v="2"/>
    <n v="0"/>
    <n v="42"/>
    <n v="3"/>
    <n v="3"/>
    <n v="4"/>
    <n v="8386"/>
    <n v="2375"/>
    <n v="6011"/>
    <n v="0.53900000000000003"/>
    <n v="4101"/>
    <n v="67"/>
    <n v="0.71799999999999997"/>
    <n v="0.28299999999999997"/>
    <n v="5.9480000000000004E-4"/>
    <n v="0.99941000000000002"/>
    <s v="40.50011840044896"/>
    <s v="25.993093004036467"/>
    <s v="16.707572501298852"/>
    <s v="1.7407200313852085"/>
    <n v="720578058"/>
    <x v="0"/>
    <n v="3.3051142000000002E-4"/>
    <x v="0"/>
  </r>
  <r>
    <n v="50"/>
    <n v="0"/>
    <n v="2"/>
    <n v="2"/>
    <n v="1"/>
    <n v="1"/>
    <n v="0"/>
    <n v="40"/>
    <n v="3"/>
    <n v="1"/>
    <n v="4"/>
    <n v="7191"/>
    <n v="0"/>
    <n v="7191"/>
    <n v="0.56499999999999995"/>
    <n v="1654"/>
    <n v="30"/>
    <n v="0.57899999999999996"/>
    <n v="0"/>
    <n v="0.99370999999999998"/>
    <n v="6.2899999999999996E-3"/>
    <s v="45.38455356499234"/>
    <s v="79.84639728394836"/>
    <s v="30.56508664088257"/>
    <s v="17.12037723136622"/>
    <n v="772574283"/>
    <x v="1"/>
    <n v="0.99820969999999998"/>
    <x v="1"/>
  </r>
  <r>
    <n v="39"/>
    <n v="1"/>
    <n v="1"/>
    <n v="5"/>
    <n v="2"/>
    <n v="3"/>
    <n v="0"/>
    <n v="36"/>
    <n v="1"/>
    <n v="1"/>
    <n v="3"/>
    <n v="34458"/>
    <n v="846"/>
    <n v="33612"/>
    <n v="0.81699999999999995"/>
    <n v="8271"/>
    <n v="94"/>
    <n v="0.88"/>
    <n v="2.5000000000000001E-2"/>
    <s v="8.9404e-05"/>
    <n v="0.99990999999999997"/>
    <s v="13.256784091628766"/>
    <s v="1.652169359502147"/>
    <s v="5.702050990741655"/>
    <s v="10.244128384999964"/>
    <n v="715300683"/>
    <x v="0"/>
    <n v="6.25722E-4"/>
    <x v="0"/>
  </r>
  <r>
    <n v="44"/>
    <n v="0"/>
    <n v="2"/>
    <n v="2"/>
    <n v="0"/>
    <n v="1"/>
    <n v="0"/>
    <n v="36"/>
    <n v="1"/>
    <n v="1"/>
    <n v="2"/>
    <n v="3107"/>
    <n v="1995"/>
    <n v="1112"/>
    <n v="0.66800000000000004"/>
    <n v="7535"/>
    <n v="87"/>
    <n v="0.67300000000000004"/>
    <n v="0.64200000000000002"/>
    <s v="5.5077e-05"/>
    <n v="0.99994000000000005"/>
    <s v="43.04602331603178"/>
    <s v="4.022045010236648"/>
    <s v="80.33964063235803"/>
    <s v="12.213820103219714"/>
    <n v="721008933"/>
    <x v="0"/>
    <n v="3.6856539999999998E-4"/>
    <x v="0"/>
  </r>
  <r>
    <n v="26"/>
    <n v="1"/>
    <n v="0"/>
    <n v="2"/>
    <n v="1"/>
    <n v="4"/>
    <n v="0"/>
    <n v="36"/>
    <n v="5"/>
    <n v="2"/>
    <n v="4"/>
    <n v="9916"/>
    <n v="0"/>
    <n v="9916"/>
    <n v="0.79300000000000004"/>
    <n v="3477"/>
    <n v="65"/>
    <n v="0.66700000000000004"/>
    <n v="0"/>
    <n v="2.8024000000000001E-4"/>
    <n v="0.99972000000000005"/>
    <s v="19.206155613236803"/>
    <s v="32.62501379315327"/>
    <s v="31.415327113146027"/>
    <s v="3.870874105138292"/>
    <n v="720118908"/>
    <x v="0"/>
    <n v="7.6807226000000001E-4"/>
    <x v="0"/>
  </r>
  <r>
    <n v="49"/>
    <n v="1"/>
    <n v="5"/>
    <n v="5"/>
    <n v="1"/>
    <n v="1"/>
    <n v="0"/>
    <n v="44"/>
    <n v="2"/>
    <n v="3"/>
    <n v="4"/>
    <n v="3893"/>
    <n v="0"/>
    <n v="3893"/>
    <n v="0.66200000000000003"/>
    <n v="1866"/>
    <n v="37"/>
    <n v="0.94699999999999995"/>
    <n v="0"/>
    <n v="0.99817999999999996"/>
    <n v="1.82139E-3"/>
    <s v="6.320103055795681"/>
    <s v="42.03571031866254"/>
    <n v="88.108291748099901"/>
    <s v="13.514322425768796"/>
    <n v="804673308"/>
    <x v="1"/>
    <n v="0.99779605999999998"/>
    <x v="1"/>
  </r>
  <r>
    <n v="39"/>
    <n v="0"/>
    <n v="2"/>
    <n v="3"/>
    <n v="1"/>
    <n v="4"/>
    <n v="0"/>
    <n v="32"/>
    <n v="5"/>
    <n v="3"/>
    <n v="1"/>
    <n v="3086"/>
    <n v="2213"/>
    <n v="873"/>
    <n v="0.69499999999999995"/>
    <n v="4684"/>
    <n v="81"/>
    <n v="0.8"/>
    <n v="0.71699999999999997"/>
    <n v="1.0545E-4"/>
    <n v="0.99988999999999995"/>
    <s v="12.547448487733828"/>
    <s v="47.59012214009983"/>
    <s v="17.57877385243214"/>
    <s v="13.48672590900386"/>
    <n v="720667383"/>
    <x v="0"/>
    <n v="3.2101269999999999E-4"/>
    <x v="0"/>
  </r>
  <r>
    <n v="50"/>
    <n v="0"/>
    <n v="3"/>
    <n v="5"/>
    <n v="2"/>
    <n v="5"/>
    <n v="0"/>
    <n v="36"/>
    <n v="2"/>
    <n v="3"/>
    <n v="3"/>
    <n v="3187"/>
    <n v="986"/>
    <n v="2201"/>
    <n v="0.61499999999999999"/>
    <n v="2381"/>
    <n v="47"/>
    <n v="0.51600000000000001"/>
    <n v="0.309"/>
    <n v="0.99690999999999996"/>
    <n v="3.08778E-3"/>
    <s v="14.58130458345398"/>
    <n v="33.639518684734902"/>
    <s v="38.45288245598938"/>
    <s v="16.859523069963764"/>
    <n v="711669258"/>
    <x v="1"/>
    <n v="0.99664116000000003"/>
    <x v="1"/>
  </r>
  <r>
    <n v="45"/>
    <n v="0"/>
    <n v="4"/>
    <n v="6"/>
    <n v="1"/>
    <n v="4"/>
    <n v="0"/>
    <n v="36"/>
    <n v="6"/>
    <n v="1"/>
    <n v="4"/>
    <n v="2051"/>
    <n v="0"/>
    <n v="2051"/>
    <n v="0.98899999999999999"/>
    <n v="4355"/>
    <n v="87"/>
    <n v="0.97699999999999998"/>
    <n v="0"/>
    <n v="1.8217999999999999E-4"/>
    <n v="0.99982000000000004"/>
    <s v="4.858383396492326"/>
    <s v="39.34459286665728"/>
    <s v="97.59326872141622"/>
    <s v="10.075436166642788"/>
    <n v="716251608"/>
    <x v="0"/>
    <n v="7.1297199999999998E-4"/>
    <x v="0"/>
  </r>
  <r>
    <n v="48"/>
    <n v="0"/>
    <n v="3"/>
    <n v="0"/>
    <n v="0"/>
    <n v="4"/>
    <n v="0"/>
    <n v="36"/>
    <n v="4"/>
    <n v="3"/>
    <n v="3"/>
    <n v="2335"/>
    <n v="1845"/>
    <n v="490"/>
    <n v="0.53700000000000003"/>
    <n v="1362"/>
    <n v="33"/>
    <n v="0.26900000000000002"/>
    <n v="0.79"/>
    <n v="3.0519E-4"/>
    <n v="0.99968999999999997"/>
    <s v="46.18566174445808"/>
    <s v="46.066006258119806"/>
    <s v="110.80780065392882"/>
    <s v="2.3746220630225108"/>
    <n v="716522583"/>
    <x v="0"/>
    <n v="1.1982243E-3"/>
    <x v="0"/>
  </r>
  <r>
    <n v="65"/>
    <n v="1"/>
    <n v="0"/>
    <n v="6"/>
    <n v="2"/>
    <n v="1"/>
    <n v="0"/>
    <n v="36"/>
    <n v="5"/>
    <n v="2"/>
    <n v="3"/>
    <n v="2163"/>
    <n v="932"/>
    <n v="1231"/>
    <n v="1.127"/>
    <n v="2229"/>
    <n v="57"/>
    <n v="0.83899999999999997"/>
    <n v="0.43099999999999999"/>
    <n v="1.8056999999999999E-4"/>
    <n v="0.99982000000000004"/>
    <s v="4.104815675026022"/>
    <s v="54.37964469996837"/>
    <s v="51.32753497546426"/>
    <s v="2.874005254419075"/>
    <n v="708480333"/>
    <x v="0"/>
    <n v="5.4760922999999996E-4"/>
    <x v="0"/>
  </r>
  <r>
    <n v="51"/>
    <n v="0"/>
    <n v="1"/>
    <n v="3"/>
    <n v="1"/>
    <n v="4"/>
    <n v="0"/>
    <n v="40"/>
    <n v="4"/>
    <n v="1"/>
    <n v="1"/>
    <n v="5158"/>
    <n v="2190"/>
    <n v="2968"/>
    <n v="0.42599999999999999"/>
    <n v="1229"/>
    <n v="34"/>
    <n v="0.47799999999999998"/>
    <n v="0.42499999999999999"/>
    <s v="3.0307e-05"/>
    <n v="0.99997000000000003"/>
    <s v="14.634502086988649"/>
    <s v="18.897056112386604"/>
    <s v="217.71793572940888"/>
    <s v="10.738074376863262"/>
    <n v="717787533"/>
    <x v="0"/>
    <n v="1.2315542E-3"/>
    <x v="0"/>
  </r>
  <r>
    <n v="53"/>
    <n v="0"/>
    <n v="3"/>
    <n v="0"/>
    <n v="1"/>
    <n v="4"/>
    <n v="0"/>
    <n v="44"/>
    <n v="6"/>
    <n v="2"/>
    <n v="3"/>
    <n v="4646"/>
    <n v="1730"/>
    <n v="2916"/>
    <n v="0.68300000000000005"/>
    <n v="1774"/>
    <n v="37"/>
    <n v="0.85"/>
    <n v="0.372"/>
    <n v="1.9312999999999999E-4"/>
    <n v="0.99980999999999998"/>
    <s v="12.079304872483355"/>
    <s v="24.338440892853395"/>
    <s v="69.30952918848585"/>
    <s v="10.552083810634246"/>
    <n v="716341833"/>
    <x v="0"/>
    <n v="9.8706899999999992E-4"/>
    <x v="0"/>
  </r>
  <r>
    <n v="42"/>
    <n v="0"/>
    <n v="4"/>
    <n v="6"/>
    <n v="2"/>
    <n v="4"/>
    <n v="3"/>
    <n v="32"/>
    <n v="6"/>
    <n v="3"/>
    <n v="2"/>
    <n v="13719"/>
    <n v="1384"/>
    <n v="12335"/>
    <n v="1.2010000000000001"/>
    <n v="3774"/>
    <n v="63"/>
    <n v="0.65800000000000003"/>
    <n v="0.10100000000000001"/>
    <n v="1.8736E-4"/>
    <n v="0.99980999999999998"/>
    <s v="23.11969588883633"/>
    <s v="11.32835300270066"/>
    <n v="79.858848676453903"/>
    <s v="11.719866134374533"/>
    <n v="780382008"/>
    <x v="0"/>
    <n v="3.5702356000000003E-4"/>
    <x v="0"/>
  </r>
  <r>
    <n v="43"/>
    <n v="1"/>
    <n v="1"/>
    <n v="0"/>
    <n v="1"/>
    <n v="2"/>
    <n v="0"/>
    <n v="36"/>
    <n v="3"/>
    <n v="3"/>
    <n v="2"/>
    <n v="13840"/>
    <n v="1079"/>
    <n v="12761"/>
    <n v="0.94699999999999995"/>
    <n v="4190"/>
    <n v="74"/>
    <n v="0.80500000000000005"/>
    <n v="7.8E-2"/>
    <n v="1.6415000000000001E-4"/>
    <n v="0.99983999999999995"/>
    <s v="31.466888924705305"/>
    <s v="26.19008717100692"/>
    <s v="1.263392763436111"/>
    <n v="5.1177682979194703"/>
    <n v="712169883"/>
    <x v="0"/>
    <n v="3.5627351999999998E-4"/>
    <x v="0"/>
  </r>
  <r>
    <n v="44"/>
    <n v="1"/>
    <n v="4"/>
    <n v="2"/>
    <n v="1"/>
    <n v="3"/>
    <n v="0"/>
    <n v="36"/>
    <n v="3"/>
    <n v="1"/>
    <n v="3"/>
    <n v="20485"/>
    <n v="0"/>
    <n v="20485"/>
    <n v="0.751"/>
    <n v="3024"/>
    <n v="51"/>
    <n v="1.04"/>
    <n v="0"/>
    <s v="9.7154e-05"/>
    <n v="0.99990000000000001"/>
    <s v="3.8381341646858553"/>
    <s v="60.57683665319675"/>
    <s v="31.39013570602527"/>
    <s v="3.321563609088237"/>
    <n v="717549408"/>
    <x v="0"/>
    <n v="2.7806736000000002E-3"/>
    <x v="0"/>
  </r>
  <r>
    <n v="46"/>
    <n v="0"/>
    <n v="3"/>
    <n v="0"/>
    <n v="2"/>
    <n v="4"/>
    <n v="0"/>
    <n v="42"/>
    <n v="3"/>
    <n v="2"/>
    <n v="4"/>
    <n v="7616"/>
    <n v="1251"/>
    <n v="6365"/>
    <n v="0.58099999999999996"/>
    <n v="2006"/>
    <n v="52"/>
    <n v="0.40500000000000003"/>
    <n v="0.16400000000000001"/>
    <n v="3.2945000000000001E-4"/>
    <n v="0.99966999999999995"/>
    <s v="33.621948975882006"/>
    <s v="29.317547023803915"/>
    <s v="1.787098396072908"/>
    <s v="27.288355221198728"/>
    <n v="827691858"/>
    <x v="0"/>
    <n v="9.9232370000000006E-4"/>
    <x v="0"/>
  </r>
  <r>
    <n v="45"/>
    <n v="0"/>
    <n v="4"/>
    <n v="2"/>
    <n v="2"/>
    <n v="4"/>
    <n v="0"/>
    <n v="36"/>
    <n v="6"/>
    <n v="3"/>
    <n v="2"/>
    <n v="3342"/>
    <n v="2517"/>
    <n v="825"/>
    <n v="0.77100000000000002"/>
    <n v="1139"/>
    <n v="30"/>
    <n v="0.76500000000000001"/>
    <n v="0.753"/>
    <n v="1.8864000000000001E-4"/>
    <n v="0.99980999999999998"/>
    <n v="9.8296067804292395"/>
    <s v="67.63153014272784"/>
    <n v="73.383800361489506"/>
    <s v="11.196703785747829"/>
    <n v="708421833"/>
    <x v="0"/>
    <n v="1.0739613999999999E-3"/>
    <x v="0"/>
  </r>
  <r>
    <n v="51"/>
    <n v="0"/>
    <n v="3"/>
    <n v="3"/>
    <n v="1"/>
    <n v="4"/>
    <n v="0"/>
    <n v="39"/>
    <n v="2"/>
    <n v="1"/>
    <n v="1"/>
    <n v="3803"/>
    <n v="2437"/>
    <n v="1366"/>
    <n v="0.80900000000000005"/>
    <n v="14397"/>
    <n v="117"/>
    <n v="0.746"/>
    <n v="0.64100000000000001"/>
    <s v="3.3505e-05"/>
    <n v="0.99997000000000003"/>
    <s v="26.86999814193729"/>
    <s v="0.6581237310952623"/>
    <s v="2.1486956939207635"/>
    <n v="8.9295781484594592"/>
    <n v="718383183"/>
    <x v="0"/>
    <n v="3.4656386999999997E-4"/>
    <x v="0"/>
  </r>
  <r>
    <n v="41"/>
    <n v="0"/>
    <n v="2"/>
    <n v="1"/>
    <n v="1"/>
    <n v="5"/>
    <n v="3"/>
    <n v="28"/>
    <n v="1"/>
    <n v="3"/>
    <n v="3"/>
    <n v="32250"/>
    <n v="1289"/>
    <n v="30961"/>
    <n v="0.70299999999999996"/>
    <n v="15785"/>
    <n v="100"/>
    <n v="0.78600000000000003"/>
    <n v="0.04"/>
    <n v="3.9552000000000001E-4"/>
    <n v="0.99960000000000004"/>
    <s v="29.742846439987197"/>
    <s v="32.163926961418035"/>
    <s v="33.59879524820564"/>
    <s v="11.351674632486311"/>
    <n v="719368533"/>
    <x v="0"/>
    <n v="3.8573547000000003E-4"/>
    <x v="0"/>
  </r>
  <r>
    <n v="50"/>
    <n v="1"/>
    <n v="2"/>
    <n v="5"/>
    <n v="2"/>
    <n v="4"/>
    <n v="0"/>
    <n v="40"/>
    <n v="4"/>
    <n v="3"/>
    <n v="5"/>
    <n v="2419"/>
    <n v="2380"/>
    <n v="39"/>
    <n v="0.69499999999999995"/>
    <n v="4099"/>
    <n v="73"/>
    <n v="0.65900000000000003"/>
    <n v="0.98399999999999999"/>
    <n v="9.1777000000000004E-4"/>
    <n v="0.99907999999999997"/>
    <n v="15.510186030423201"/>
    <s v="0.6290625817037114"/>
    <s v="51.79558666287967"/>
    <n v="8.3361930825652308"/>
    <n v="778327908"/>
    <x v="0"/>
    <n v="2.4990048000000001E-2"/>
    <x v="0"/>
  </r>
  <r>
    <n v="53"/>
    <n v="0"/>
    <n v="5"/>
    <n v="2"/>
    <n v="2"/>
    <n v="1"/>
    <n v="0"/>
    <n v="41"/>
    <n v="2"/>
    <n v="1"/>
    <n v="3"/>
    <n v="9815"/>
    <n v="1699"/>
    <n v="8116"/>
    <n v="0.62"/>
    <n v="7962"/>
    <n v="89"/>
    <n v="0.56100000000000005"/>
    <n v="0.17299999999999999"/>
    <s v="9.5638e-05"/>
    <n v="0.99990000000000001"/>
    <s v="15.023645174388072"/>
    <s v="50.86426370476445"/>
    <s v="132.5834321481785"/>
    <s v="9.988291719425314"/>
    <n v="719272458"/>
    <x v="0"/>
    <n v="3.7789578000000003E-4"/>
    <x v="0"/>
  </r>
  <r>
    <n v="38"/>
    <n v="1"/>
    <n v="1"/>
    <n v="2"/>
    <n v="1"/>
    <n v="2"/>
    <n v="0"/>
    <n v="31"/>
    <n v="6"/>
    <n v="3"/>
    <n v="3"/>
    <n v="7475"/>
    <n v="1473"/>
    <n v="6002"/>
    <n v="0.77500000000000002"/>
    <n v="1592"/>
    <n v="30"/>
    <n v="0.42899999999999999"/>
    <n v="0.19700000000000001"/>
    <n v="2.8394999999999999E-4"/>
    <n v="0.99972000000000005"/>
    <s v="10.837104557087782"/>
    <s v="40.95566215563675"/>
    <n v="76.448307479641699"/>
    <s v="17.456166153078566"/>
    <n v="773288958"/>
    <x v="0"/>
    <n v="1.1982243E-3"/>
    <x v="0"/>
  </r>
  <r>
    <n v="63"/>
    <n v="0"/>
    <n v="1"/>
    <n v="5"/>
    <n v="2"/>
    <n v="5"/>
    <n v="0"/>
    <n v="55"/>
    <n v="4"/>
    <n v="3"/>
    <n v="1"/>
    <n v="16312"/>
    <n v="520"/>
    <n v="15792"/>
    <n v="0.80600000000000005"/>
    <n v="4366"/>
    <n v="68"/>
    <n v="0.65900000000000003"/>
    <n v="3.2000000000000001E-2"/>
    <n v="1.0469E-4"/>
    <n v="0.99990000000000001"/>
    <s v="33.23463795338303"/>
    <s v="41.12460979407821"/>
    <s v="57.09837137638167"/>
    <s v="17.970861479692246"/>
    <n v="719294433"/>
    <x v="0"/>
    <n v="7.4965424999999997E-4"/>
    <x v="0"/>
  </r>
  <r>
    <n v="34"/>
    <n v="0"/>
    <n v="2"/>
    <n v="6"/>
    <n v="2"/>
    <n v="4"/>
    <n v="0"/>
    <n v="36"/>
    <n v="3"/>
    <n v="3"/>
    <n v="2"/>
    <n v="2791"/>
    <n v="2160"/>
    <n v="631"/>
    <n v="0.82499999999999996"/>
    <n v="2214"/>
    <n v="56"/>
    <n v="0.6"/>
    <n v="0.77400000000000002"/>
    <n v="1.9771E-4"/>
    <n v="0.99980000000000002"/>
    <n v="40.649145656756602"/>
    <s v="81.82052161748041"/>
    <n v="76.684202331262398"/>
    <s v="25.15058648022312"/>
    <n v="713997183"/>
    <x v="0"/>
    <n v="6.2689406E-4"/>
    <x v="0"/>
  </r>
  <r>
    <n v="58"/>
    <n v="0"/>
    <n v="1"/>
    <n v="6"/>
    <n v="1"/>
    <n v="4"/>
    <n v="0"/>
    <n v="46"/>
    <n v="6"/>
    <n v="3"/>
    <n v="3"/>
    <n v="3035"/>
    <n v="1779"/>
    <n v="1256"/>
    <n v="0.85099999999999998"/>
    <n v="4999"/>
    <n v="83"/>
    <n v="0.93"/>
    <n v="0.58599999999999997"/>
    <n v="3.1210999999999999E-4"/>
    <n v="0.99968999999999997"/>
    <s v="0.2717897418321794"/>
    <s v="61.29091988691548"/>
    <s v="16.843297888186022"/>
    <s v="2.3791096832491734"/>
    <n v="720389283"/>
    <x v="0"/>
    <n v="3.2101269999999999E-4"/>
    <x v="0"/>
  </r>
  <r>
    <n v="35"/>
    <n v="1"/>
    <n v="4"/>
    <n v="3"/>
    <n v="2"/>
    <n v="3"/>
    <n v="0"/>
    <n v="26"/>
    <n v="2"/>
    <n v="1"/>
    <n v="1"/>
    <n v="24250"/>
    <n v="0"/>
    <n v="24250"/>
    <n v="0.753"/>
    <n v="12593"/>
    <n v="99"/>
    <n v="0.76800000000000002"/>
    <n v="0"/>
    <s v="3.3863e-05"/>
    <n v="0.99997000000000003"/>
    <s v="43.52216474873344"/>
    <s v="65.97412507446619"/>
    <s v="126.45987420046164"/>
    <s v="0.9418473704127648"/>
    <n v="711465333"/>
    <x v="0"/>
    <n v="7.9810305E-4"/>
    <x v="0"/>
  </r>
  <r>
    <n v="45"/>
    <n v="0"/>
    <n v="2"/>
    <n v="3"/>
    <n v="2"/>
    <n v="5"/>
    <n v="0"/>
    <n v="34"/>
    <n v="4"/>
    <n v="3"/>
    <n v="2"/>
    <n v="3024"/>
    <n v="1835"/>
    <n v="1189"/>
    <n v="0.79300000000000004"/>
    <n v="14220"/>
    <n v="108"/>
    <n v="0.66200000000000003"/>
    <n v="0.60699999999999998"/>
    <n v="1.7485999999999999E-4"/>
    <n v="0.99983"/>
    <s v="0.7831538654980545"/>
    <s v="4.096505213197454"/>
    <s v="9.912185894458652"/>
    <s v="7.844998491595482"/>
    <n v="709937583"/>
    <x v="0"/>
    <n v="3.4656386999999997E-4"/>
    <x v="0"/>
  </r>
  <r>
    <n v="61"/>
    <n v="1"/>
    <n v="0"/>
    <n v="4"/>
    <n v="1"/>
    <n v="5"/>
    <n v="0"/>
    <n v="53"/>
    <n v="6"/>
    <n v="2"/>
    <n v="3"/>
    <n v="14434"/>
    <n v="1927"/>
    <n v="12507"/>
    <n v="2.6749999999999998"/>
    <n v="1731"/>
    <n v="32"/>
    <n v="3.5710000000000002"/>
    <n v="0.13400000000000001"/>
    <n v="1.9330000000000001E-4"/>
    <n v="0.99980999999999998"/>
    <s v="17.05404152759422"/>
    <s v="74.37676564183158"/>
    <s v="12.867294523024755"/>
    <s v="10.541156114433694"/>
    <n v="713989233"/>
    <x v="0"/>
    <n v="9.8706899999999992E-4"/>
    <x v="0"/>
  </r>
  <r>
    <n v="37"/>
    <n v="1"/>
    <n v="0"/>
    <n v="4"/>
    <n v="2"/>
    <n v="3"/>
    <n v="0"/>
    <n v="27"/>
    <n v="5"/>
    <n v="2"/>
    <n v="3"/>
    <n v="15326"/>
    <n v="0"/>
    <n v="15326"/>
    <n v="1.159"/>
    <n v="2990"/>
    <n v="55"/>
    <n v="0.96399999999999997"/>
    <n v="0"/>
    <n v="1.9330000000000001E-4"/>
    <n v="0.99980999999999998"/>
    <s v="53.27362081188539"/>
    <s v="28.528847073545524"/>
    <s v="39.78882732777138"/>
    <s v="13.491189174168014"/>
    <n v="711251133"/>
    <x v="0"/>
    <n v="1.1927481E-3"/>
    <x v="0"/>
  </r>
  <r>
    <n v="45"/>
    <n v="1"/>
    <n v="3"/>
    <n v="3"/>
    <n v="0"/>
    <n v="3"/>
    <n v="0"/>
    <n v="26"/>
    <n v="3"/>
    <n v="2"/>
    <n v="2"/>
    <n v="18410"/>
    <n v="974"/>
    <n v="17436"/>
    <n v="0.85699999999999998"/>
    <n v="3778"/>
    <n v="83"/>
    <n v="0.69399999999999995"/>
    <n v="5.2999999999999999E-2"/>
    <n v="1.1482E-4"/>
    <n v="0.99988999999999995"/>
    <s v="69.13487692396716"/>
    <s v="80.73736592363119"/>
    <n v="192.738078174729"/>
    <s v="3.3138483709522357"/>
    <n v="778710783"/>
    <x v="0"/>
    <n v="4.2598305000000002E-4"/>
    <x v="0"/>
  </r>
  <r>
    <n v="62"/>
    <n v="0"/>
    <n v="0"/>
    <n v="3"/>
    <n v="2"/>
    <n v="5"/>
    <n v="3"/>
    <n v="51"/>
    <n v="3"/>
    <n v="1"/>
    <n v="4"/>
    <n v="33371"/>
    <n v="0"/>
    <n v="33371"/>
    <n v="0.64900000000000002"/>
    <n v="3638"/>
    <n v="67"/>
    <n v="0.63400000000000001"/>
    <n v="0"/>
    <n v="1.1913000000000001E-4"/>
    <n v="0.99987999999999999"/>
    <s v="32.56951111115301"/>
    <s v="34.189392643598424"/>
    <s v="136.31959399143682"/>
    <n v="9.9839093097603904"/>
    <n v="717389433"/>
    <x v="0"/>
    <n v="7.686247E-4"/>
    <x v="0"/>
  </r>
  <r>
    <n v="45"/>
    <n v="1"/>
    <n v="4"/>
    <n v="2"/>
    <n v="1"/>
    <n v="1"/>
    <n v="0"/>
    <n v="36"/>
    <n v="5"/>
    <n v="3"/>
    <n v="4"/>
    <n v="4112"/>
    <n v="0"/>
    <n v="4112"/>
    <n v="0.77700000000000002"/>
    <n v="2949"/>
    <n v="54"/>
    <n v="1.25"/>
    <n v="0"/>
    <n v="5.4115000000000001E-4"/>
    <n v="0.99946000000000002"/>
    <s v="13.286138927535244"/>
    <s v="60.614159113754255"/>
    <s v="40.16450367695794"/>
    <s v="11.531713768019475"/>
    <n v="708740808"/>
    <x v="0"/>
    <n v="1.5938265E-3"/>
    <x v="0"/>
  </r>
  <r>
    <n v="41"/>
    <n v="1"/>
    <n v="2"/>
    <n v="2"/>
    <n v="2"/>
    <n v="1"/>
    <n v="3"/>
    <n v="30"/>
    <n v="5"/>
    <n v="2"/>
    <n v="3"/>
    <n v="17706"/>
    <n v="1081"/>
    <n v="16625"/>
    <n v="1.087"/>
    <n v="3680"/>
    <n v="81"/>
    <n v="0.72299999999999998"/>
    <n v="6.0999999999999999E-2"/>
    <n v="1.7296999999999999E-4"/>
    <n v="0.99983"/>
    <s v="2.745986927839851"/>
    <s v="60.67742889229751"/>
    <s v="157.14625953195412"/>
    <s v="13.779737670213748"/>
    <n v="771749733"/>
    <x v="0"/>
    <n v="3.756586E-4"/>
    <x v="0"/>
  </r>
  <r>
    <n v="49"/>
    <n v="0"/>
    <n v="2"/>
    <n v="6"/>
    <n v="1"/>
    <n v="4"/>
    <n v="0"/>
    <n v="36"/>
    <n v="5"/>
    <n v="3"/>
    <n v="3"/>
    <n v="1438.3"/>
    <n v="863"/>
    <n v="575.29999999999995"/>
    <n v="0.60499999999999998"/>
    <n v="4482"/>
    <n v="67"/>
    <n v="0.91400000000000003"/>
    <n v="0.6"/>
    <n v="3.3251E-4"/>
    <n v="0.99966999999999995"/>
    <s v="6.767818936874298"/>
    <s v="10.529473791991634"/>
    <n v="37.633218676123697"/>
    <s v="24.793790150852224"/>
    <n v="715128408"/>
    <x v="0"/>
    <n v="4.8967317000000001E-4"/>
    <x v="0"/>
  </r>
  <r>
    <n v="58"/>
    <n v="1"/>
    <n v="2"/>
    <n v="6"/>
    <n v="2"/>
    <n v="2"/>
    <n v="0"/>
    <n v="48"/>
    <n v="2"/>
    <n v="1"/>
    <n v="2"/>
    <n v="2236"/>
    <n v="710"/>
    <n v="1526"/>
    <n v="0.434"/>
    <n v="2562"/>
    <n v="38"/>
    <n v="0.46200000000000002"/>
    <n v="0.318"/>
    <n v="0.98375000000000001"/>
    <n v="1.6250000000000001E-2"/>
    <n v="45.924946274958401"/>
    <s v="2.9100033372527787"/>
    <n v="62.846824001631703"/>
    <s v="13.769933107682366"/>
    <n v="711613308"/>
    <x v="1"/>
    <n v="0.99790789999999996"/>
    <x v="1"/>
  </r>
  <r>
    <n v="47"/>
    <n v="1"/>
    <n v="2"/>
    <n v="5"/>
    <n v="1"/>
    <n v="3"/>
    <n v="0"/>
    <n v="41"/>
    <n v="1"/>
    <n v="2"/>
    <n v="1"/>
    <n v="13356"/>
    <n v="1497"/>
    <n v="11859"/>
    <n v="0.753"/>
    <n v="8963"/>
    <n v="105"/>
    <n v="0.69399999999999995"/>
    <n v="0.112"/>
    <s v="7.0576e-05"/>
    <n v="0.99992999999999999"/>
    <s v="30.72256552995911"/>
    <s v="8.407813733109124"/>
    <s v="89.29588741534654"/>
    <n v="4.3292391584582797"/>
    <n v="718756533"/>
    <x v="0"/>
    <n v="3.6856539999999998E-4"/>
    <x v="0"/>
  </r>
  <r>
    <n v="48"/>
    <n v="0"/>
    <n v="2"/>
    <n v="5"/>
    <n v="1"/>
    <n v="5"/>
    <n v="0"/>
    <n v="38"/>
    <n v="1"/>
    <n v="3"/>
    <n v="3"/>
    <n v="2186"/>
    <n v="1017"/>
    <n v="1169"/>
    <n v="0.61699999999999999"/>
    <n v="4629"/>
    <n v="77"/>
    <n v="0.79100000000000004"/>
    <n v="0.46500000000000002"/>
    <n v="3.1104E-4"/>
    <n v="0.99968999999999997"/>
    <s v="10.967905969816895"/>
    <s v="12.65283736371637"/>
    <s v="92.90574098291496"/>
    <s v="11.91376670367878"/>
    <n v="714168183"/>
    <x v="0"/>
    <n v="3.2101269999999999E-4"/>
    <x v="0"/>
  </r>
  <r>
    <n v="41"/>
    <n v="0"/>
    <n v="1"/>
    <n v="3"/>
    <n v="2"/>
    <n v="4"/>
    <n v="0"/>
    <n v="36"/>
    <n v="4"/>
    <n v="3"/>
    <n v="2"/>
    <n v="2372"/>
    <n v="0"/>
    <n v="2372"/>
    <n v="0.59699999999999998"/>
    <n v="2499"/>
    <n v="41"/>
    <n v="0.46400000000000002"/>
    <n v="0"/>
    <n v="0.99395"/>
    <n v="6.0499999999999998E-3"/>
    <s v="11.176412605341044"/>
    <s v="27.67105575140424"/>
    <s v="0.6942301025039626"/>
    <s v="4.214880474761654"/>
    <n v="708416433"/>
    <x v="1"/>
    <n v="0.99873226999999998"/>
    <x v="1"/>
  </r>
  <r>
    <n v="53"/>
    <n v="1"/>
    <n v="1"/>
    <n v="5"/>
    <n v="1"/>
    <n v="0"/>
    <n v="0"/>
    <n v="45"/>
    <n v="5"/>
    <n v="1"/>
    <n v="3"/>
    <n v="9343"/>
    <n v="1286"/>
    <n v="8057"/>
    <n v="0.71199999999999997"/>
    <n v="1385"/>
    <n v="31"/>
    <n v="0.72199999999999998"/>
    <n v="0.13800000000000001"/>
    <s v="8.9404e-05"/>
    <n v="0.99990999999999997"/>
    <s v="49.22190406968101"/>
    <n v="14.297171346618001"/>
    <s v="53.91136976424078"/>
    <s v="11.985664079615391"/>
    <n v="715443708"/>
    <x v="0"/>
    <n v="1.0337284E-3"/>
    <x v="0"/>
  </r>
  <r>
    <n v="45"/>
    <n v="1"/>
    <n v="2"/>
    <n v="3"/>
    <n v="2"/>
    <n v="0"/>
    <n v="0"/>
    <n v="33"/>
    <n v="6"/>
    <n v="3"/>
    <n v="2"/>
    <n v="15490"/>
    <n v="0"/>
    <n v="15490"/>
    <n v="0.74199999999999999"/>
    <n v="2429"/>
    <n v="50"/>
    <n v="0.47099999999999997"/>
    <n v="0"/>
    <n v="0.99431000000000003"/>
    <n v="5.6899999999999997E-3"/>
    <s v="26.713588416895977"/>
    <s v="49.194461295258016"/>
    <s v="58.21098825132071"/>
    <s v="5.731634409135874"/>
    <n v="720234708"/>
    <x v="1"/>
    <n v="0.99846387000000003"/>
    <x v="1"/>
  </r>
  <r>
    <n v="49"/>
    <n v="1"/>
    <n v="1"/>
    <n v="3"/>
    <n v="1"/>
    <n v="2"/>
    <n v="1"/>
    <n v="36"/>
    <n v="2"/>
    <n v="2"/>
    <n v="3"/>
    <n v="6224"/>
    <n v="2201"/>
    <n v="4023"/>
    <n v="0.83199999999999996"/>
    <n v="7693"/>
    <n v="70"/>
    <n v="0.628"/>
    <n v="0.35399999999999998"/>
    <n v="2.0125000000000001E-4"/>
    <n v="0.99980000000000002"/>
    <s v="20.05120151064531"/>
    <s v="12.87015091567316"/>
    <s v="81.31766016662787"/>
    <s v="16.87639922460756"/>
    <n v="712879158"/>
    <x v="0"/>
    <n v="5.7260033999999998E-4"/>
    <x v="0"/>
  </r>
  <r>
    <n v="34"/>
    <n v="1"/>
    <n v="1"/>
    <n v="5"/>
    <n v="2"/>
    <n v="2"/>
    <n v="0"/>
    <n v="23"/>
    <n v="6"/>
    <n v="1"/>
    <n v="1"/>
    <n v="2033"/>
    <n v="1832"/>
    <n v="201"/>
    <n v="0.93799999999999994"/>
    <n v="4110"/>
    <n v="74"/>
    <n v="0.94699999999999995"/>
    <n v="0.90100000000000002"/>
    <s v="3.2055e-05"/>
    <n v="0.99997000000000003"/>
    <s v="20.354169869327205"/>
    <n v="8.8880364415682607"/>
    <s v="37.61140027416138"/>
    <s v="13.148260335348176"/>
    <n v="771928608"/>
    <x v="0"/>
    <n v="3.221314E-4"/>
    <x v="0"/>
  </r>
  <r>
    <n v="38"/>
    <n v="1"/>
    <n v="2"/>
    <n v="6"/>
    <n v="1"/>
    <n v="3"/>
    <n v="0"/>
    <n v="18"/>
    <n v="6"/>
    <n v="1"/>
    <n v="2"/>
    <n v="2172"/>
    <n v="1475"/>
    <n v="697"/>
    <n v="1.1579999999999999"/>
    <n v="2447"/>
    <n v="46"/>
    <n v="1.3"/>
    <n v="0.67900000000000005"/>
    <s v="6.054e-05"/>
    <n v="0.99994000000000005"/>
    <s v="41.66597885696529"/>
    <s v="29.51138312189636"/>
    <s v="47.40111141950708"/>
    <s v="20.18540206551544"/>
    <n v="794485158"/>
    <x v="0"/>
    <n v="1.0481173E-3"/>
    <x v="0"/>
  </r>
  <r>
    <n v="40"/>
    <n v="1"/>
    <n v="3"/>
    <n v="3"/>
    <n v="3"/>
    <n v="2"/>
    <n v="0"/>
    <n v="36"/>
    <n v="4"/>
    <n v="2"/>
    <n v="1"/>
    <n v="3624"/>
    <n v="1975"/>
    <n v="1649"/>
    <n v="0.70799999999999996"/>
    <n v="1469"/>
    <n v="23"/>
    <n v="1.091"/>
    <n v="0.54500000000000004"/>
    <s v="6.9242e-05"/>
    <n v="0.99992999999999999"/>
    <s v="2.1841034159893806"/>
    <s v="6.0719841091719085"/>
    <s v="11.130691148689651"/>
    <s v="10.910488902549632"/>
    <n v="717758583"/>
    <x v="0"/>
    <n v="9.8706899999999992E-4"/>
    <x v="0"/>
  </r>
  <r>
    <n v="56"/>
    <n v="1"/>
    <n v="1"/>
    <n v="2"/>
    <n v="1"/>
    <n v="0"/>
    <n v="0"/>
    <n v="48"/>
    <n v="6"/>
    <n v="3"/>
    <n v="4"/>
    <n v="2585"/>
    <n v="1207"/>
    <n v="1378"/>
    <n v="0.44"/>
    <n v="1590"/>
    <n v="33"/>
    <n v="0.32"/>
    <n v="0.46700000000000003"/>
    <n v="4.8434999999999998E-4"/>
    <n v="0.99951999999999996"/>
    <s v="14.589250151125372"/>
    <s v="18.936251704185796"/>
    <s v="12.985739178520504"/>
    <s v="4.969193117865385"/>
    <n v="713533983"/>
    <x v="0"/>
    <n v="1.1982243E-3"/>
    <x v="0"/>
  </r>
  <r>
    <n v="45"/>
    <n v="1"/>
    <n v="3"/>
    <n v="2"/>
    <n v="1"/>
    <n v="3"/>
    <n v="0"/>
    <n v="36"/>
    <n v="3"/>
    <n v="3"/>
    <n v="1"/>
    <n v="20274"/>
    <n v="2100"/>
    <n v="18174"/>
    <n v="0.58399999999999996"/>
    <n v="5274"/>
    <n v="66"/>
    <n v="0.61"/>
    <n v="0.104"/>
    <n v="1.1256000000000001E-4"/>
    <n v="0.99988999999999995"/>
    <s v="18.47969531768492"/>
    <s v="43.096408055023296"/>
    <s v="38.19159451336258"/>
    <s v="13.087107937377894"/>
    <n v="715118058"/>
    <x v="0"/>
    <n v="4.2510232999999999E-4"/>
    <x v="0"/>
  </r>
  <r>
    <n v="37"/>
    <n v="0"/>
    <n v="3"/>
    <n v="2"/>
    <n v="1"/>
    <n v="5"/>
    <n v="0"/>
    <n v="30"/>
    <n v="5"/>
    <n v="3"/>
    <n v="3"/>
    <n v="4554"/>
    <n v="780"/>
    <n v="3774"/>
    <n v="0.65800000000000003"/>
    <n v="4816"/>
    <n v="81"/>
    <n v="0.58799999999999997"/>
    <n v="0.17100000000000001"/>
    <n v="3.1389999999999999E-4"/>
    <n v="0.99968999999999997"/>
    <s v="31.334867274071183"/>
    <s v="60.03391431172325"/>
    <s v="21.306089678543536"/>
    <n v="1.9661538982591199E-2"/>
    <n v="756691608"/>
    <x v="0"/>
    <n v="5.3897389999999997E-4"/>
    <x v="0"/>
  </r>
  <r>
    <n v="57"/>
    <n v="1"/>
    <n v="2"/>
    <n v="5"/>
    <n v="3"/>
    <n v="3"/>
    <n v="0"/>
    <n v="48"/>
    <n v="4"/>
    <n v="1"/>
    <n v="3"/>
    <n v="30543"/>
    <n v="264"/>
    <n v="30279"/>
    <n v="0.88200000000000001"/>
    <n v="7784"/>
    <n v="63"/>
    <n v="0.70299999999999996"/>
    <n v="8.9999999999999993E-3"/>
    <n v="0.98960999999999999"/>
    <n v="1.039E-2"/>
    <s v="48.58979486831393"/>
    <s v="21.233432034133084"/>
    <n v="55.418931993830199"/>
    <s v="11.819801406514102"/>
    <n v="708197358"/>
    <x v="1"/>
    <n v="0.99531170000000002"/>
    <x v="1"/>
  </r>
  <r>
    <n v="49"/>
    <n v="0"/>
    <n v="1"/>
    <n v="3"/>
    <n v="1"/>
    <n v="4"/>
    <n v="0"/>
    <n v="42"/>
    <n v="1"/>
    <n v="3"/>
    <n v="1"/>
    <n v="2215"/>
    <n v="1347"/>
    <n v="868"/>
    <n v="0.65500000000000003"/>
    <n v="4656"/>
    <n v="72"/>
    <n v="0.63600000000000001"/>
    <n v="0.60799999999999998"/>
    <s v="9.8983e-05"/>
    <n v="0.99990000000000001"/>
    <s v="29.20703467253233"/>
    <s v="15.801946076469822"/>
    <s v="76.64399871700365"/>
    <s v="12.999816207617446"/>
    <n v="713872008"/>
    <x v="0"/>
    <n v="3.2914013999999999E-4"/>
    <x v="0"/>
  </r>
  <r>
    <n v="47"/>
    <n v="0"/>
    <n v="1"/>
    <n v="3"/>
    <n v="1"/>
    <n v="4"/>
    <n v="0"/>
    <n v="41"/>
    <n v="3"/>
    <n v="3"/>
    <n v="4"/>
    <n v="2709"/>
    <n v="2034"/>
    <n v="675"/>
    <n v="0.60599999999999998"/>
    <n v="4915"/>
    <n v="92"/>
    <n v="0.84"/>
    <n v="0.751"/>
    <n v="4.7085999999999997E-4"/>
    <n v="0.99953000000000003"/>
    <s v="82.80759049624943"/>
    <s v="22.34738856738109"/>
    <n v="8.3459467351780603"/>
    <s v="13.122966324758044"/>
    <n v="793336383"/>
    <x v="0"/>
    <n v="3.2101269999999999E-4"/>
    <x v="0"/>
  </r>
  <r>
    <n v="49"/>
    <n v="0"/>
    <n v="3"/>
    <n v="0"/>
    <n v="1"/>
    <n v="4"/>
    <n v="0"/>
    <n v="41"/>
    <n v="3"/>
    <n v="3"/>
    <n v="3"/>
    <n v="1603"/>
    <n v="749"/>
    <n v="854"/>
    <n v="0.73299999999999998"/>
    <n v="2644"/>
    <n v="43"/>
    <n v="0.48299999999999998"/>
    <n v="0.46700000000000003"/>
    <n v="0.99673999999999996"/>
    <n v="3.2649799999999998E-3"/>
    <s v="9.815678363366654"/>
    <s v="12.058741038166191"/>
    <s v="105.63159175189122"/>
    <s v="4.651766623948294"/>
    <n v="769575783"/>
    <x v="1"/>
    <n v="0.99762945999999997"/>
    <x v="1"/>
  </r>
  <r>
    <n v="31"/>
    <n v="0"/>
    <n v="0"/>
    <n v="3"/>
    <n v="2"/>
    <n v="4"/>
    <n v="0"/>
    <n v="23"/>
    <n v="4"/>
    <n v="2"/>
    <n v="3"/>
    <n v="2239"/>
    <n v="1256"/>
    <n v="983"/>
    <n v="0.60499999999999998"/>
    <n v="4986"/>
    <n v="83"/>
    <n v="0.97599999999999998"/>
    <n v="0.56100000000000005"/>
    <n v="1.5970000000000001E-4"/>
    <n v="0.99983999999999995"/>
    <s v="47.32204812227992"/>
    <n v="7.4548807083280604"/>
    <s v="49.11122963984428"/>
    <s v="6.293975980402869"/>
    <n v="778152108"/>
    <x v="0"/>
    <n v="3.2101269999999999E-4"/>
    <x v="0"/>
  </r>
  <r>
    <n v="32"/>
    <n v="1"/>
    <n v="0"/>
    <n v="4"/>
    <n v="1"/>
    <n v="2"/>
    <n v="0"/>
    <n v="26"/>
    <n v="6"/>
    <n v="2"/>
    <n v="3"/>
    <n v="5478"/>
    <n v="1491"/>
    <n v="3987"/>
    <n v="1.304"/>
    <n v="2456"/>
    <n v="55"/>
    <n v="0.57099999999999995"/>
    <n v="0.27200000000000002"/>
    <n v="1.9330000000000001E-4"/>
    <n v="0.99980999999999998"/>
    <s v="33.79754293821803"/>
    <s v="40.74869698587581"/>
    <n v="66.748066812893796"/>
    <s v="0.6713077028530499"/>
    <n v="802087683"/>
    <x v="0"/>
    <n v="5.1683652999999995E-4"/>
    <x v="0"/>
  </r>
  <r>
    <n v="48"/>
    <n v="0"/>
    <n v="3"/>
    <n v="6"/>
    <n v="0"/>
    <n v="4"/>
    <n v="0"/>
    <n v="36"/>
    <n v="5"/>
    <n v="2"/>
    <n v="1"/>
    <n v="2680"/>
    <n v="1871"/>
    <n v="809"/>
    <n v="0.95499999999999996"/>
    <n v="4592"/>
    <n v="78"/>
    <n v="0.90200000000000002"/>
    <n v="0.69799999999999995"/>
    <s v="7.8291e-05"/>
    <n v="0.99992000000000003"/>
    <s v="18.84987189849096"/>
    <s v="5.751316422399659"/>
    <s v="17.379948493160473"/>
    <s v="16.574672799260462"/>
    <n v="717621333"/>
    <x v="0"/>
    <n v="3.221314E-4"/>
    <x v="0"/>
  </r>
  <r>
    <n v="46"/>
    <n v="0"/>
    <n v="3"/>
    <n v="1"/>
    <n v="2"/>
    <n v="4"/>
    <n v="0"/>
    <n v="36"/>
    <n v="5"/>
    <n v="1"/>
    <n v="4"/>
    <n v="2201"/>
    <n v="651"/>
    <n v="1550"/>
    <n v="0.82499999999999996"/>
    <n v="3165"/>
    <n v="65"/>
    <n v="0.58499999999999996"/>
    <n v="0.29599999999999999"/>
    <n v="2.3729999999999999E-4"/>
    <n v="0.99975999999999998"/>
    <s v="19.772080262153505"/>
    <s v="39.23499838456847"/>
    <s v="6.317751995514167"/>
    <s v="1.4717043748839191"/>
    <n v="772794108"/>
    <x v="0"/>
    <n v="5.7241240000000004E-4"/>
    <x v="0"/>
  </r>
  <r>
    <n v="47"/>
    <n v="1"/>
    <n v="2"/>
    <n v="4"/>
    <n v="2"/>
    <n v="0"/>
    <n v="3"/>
    <n v="35"/>
    <n v="3"/>
    <n v="3"/>
    <n v="4"/>
    <n v="34516"/>
    <n v="1652"/>
    <n v="32864"/>
    <n v="0.75600000000000001"/>
    <n v="14738"/>
    <n v="113"/>
    <n v="0.76600000000000001"/>
    <n v="4.8000000000000001E-2"/>
    <n v="5.486E-4"/>
    <n v="0.99944999999999995"/>
    <s v="0.9484422543779232"/>
    <s v="26.18678028152605"/>
    <s v="38.13967733432323"/>
    <s v="5.604240851714819"/>
    <n v="710849208"/>
    <x v="0"/>
    <n v="3.8573547000000003E-4"/>
    <x v="0"/>
  </r>
  <r>
    <n v="55"/>
    <n v="0"/>
    <n v="5"/>
    <n v="6"/>
    <n v="2"/>
    <n v="4"/>
    <n v="0"/>
    <n v="36"/>
    <n v="4"/>
    <n v="2"/>
    <n v="3"/>
    <n v="1438.3"/>
    <n v="0"/>
    <n v="1438.3"/>
    <n v="0.57099999999999995"/>
    <n v="2244"/>
    <n v="54"/>
    <n v="0.92900000000000005"/>
    <n v="0"/>
    <n v="0.99541999999999997"/>
    <n v="4.5811899999999997E-3"/>
    <s v="22.18037882759973"/>
    <s v="40.46743804857298"/>
    <s v="36.36506221712937"/>
    <s v="10.978470392397748"/>
    <n v="712161858"/>
    <x v="1"/>
    <n v="0.99661010000000005"/>
    <x v="1"/>
  </r>
  <r>
    <n v="48"/>
    <n v="1"/>
    <n v="2"/>
    <n v="3"/>
    <n v="1"/>
    <n v="1"/>
    <n v="0"/>
    <n v="42"/>
    <n v="2"/>
    <n v="3"/>
    <n v="2"/>
    <n v="8786"/>
    <n v="1559"/>
    <n v="7227"/>
    <n v="0.90900000000000003"/>
    <n v="8575"/>
    <n v="92"/>
    <n v="0.73599999999999999"/>
    <n v="0.17699999999999999"/>
    <n v="1.7485999999999999E-4"/>
    <n v="0.99983"/>
    <s v="21.50978736280737"/>
    <s v="4.857670540715328"/>
    <s v="182.3801120123391"/>
    <n v="7.3646604613023303"/>
    <n v="786097158"/>
    <x v="0"/>
    <n v="3.8750382000000001E-4"/>
    <x v="0"/>
  </r>
  <r>
    <n v="53"/>
    <n v="1"/>
    <n v="5"/>
    <n v="5"/>
    <n v="3"/>
    <n v="3"/>
    <n v="0"/>
    <n v="47"/>
    <n v="2"/>
    <n v="3"/>
    <n v="2"/>
    <n v="2340"/>
    <n v="1612"/>
    <n v="728"/>
    <n v="0.69599999999999995"/>
    <n v="8851"/>
    <n v="88"/>
    <n v="0.83299999999999996"/>
    <n v="0.68899999999999995"/>
    <n v="1.9094000000000001E-4"/>
    <n v="0.99980999999999998"/>
    <s v="0.3574340717491061"/>
    <s v="1.7266037707792246"/>
    <s v="61.21752977748989"/>
    <s v="0.2518496942462365"/>
    <n v="768733533"/>
    <x v="0"/>
    <n v="3.6856539999999998E-4"/>
    <x v="0"/>
  </r>
  <r>
    <n v="65"/>
    <n v="1"/>
    <n v="1"/>
    <n v="6"/>
    <n v="2"/>
    <n v="4"/>
    <n v="0"/>
    <n v="36"/>
    <n v="3"/>
    <n v="4"/>
    <n v="4"/>
    <n v="2351"/>
    <n v="0"/>
    <n v="2351"/>
    <n v="0.88100000000000001"/>
    <n v="1593"/>
    <n v="35"/>
    <n v="0.59099999999999997"/>
    <n v="0"/>
    <n v="0.99844999999999995"/>
    <n v="1.5510000000000001E-3"/>
    <s v="33.72480775020008"/>
    <s v="9.754094846802992"/>
    <s v="56.12576355045811"/>
    <s v="13.038028918136632"/>
    <n v="715651833"/>
    <x v="1"/>
    <n v="0.99820969999999998"/>
    <x v="1"/>
  </r>
  <r>
    <n v="65"/>
    <n v="0"/>
    <n v="1"/>
    <n v="6"/>
    <n v="2"/>
    <n v="5"/>
    <n v="0"/>
    <n v="46"/>
    <n v="3"/>
    <n v="3"/>
    <n v="2"/>
    <n v="1438.3"/>
    <n v="0"/>
    <n v="1438.3"/>
    <n v="0.90700000000000003"/>
    <n v="4022"/>
    <n v="61"/>
    <n v="0.64900000000000002"/>
    <n v="0"/>
    <n v="1.8558E-4"/>
    <n v="0.99980999999999998"/>
    <s v="14.872743897375162"/>
    <s v="82.58164877763704"/>
    <s v="110.86890061981372"/>
    <s v="11.368335350596633"/>
    <n v="778747608"/>
    <x v="0"/>
    <n v="8.3385779999999997E-4"/>
    <x v="0"/>
  </r>
  <r>
    <n v="54"/>
    <n v="1"/>
    <n v="4"/>
    <n v="3"/>
    <n v="2"/>
    <n v="3"/>
    <n v="3"/>
    <n v="49"/>
    <n v="1"/>
    <n v="3"/>
    <n v="4"/>
    <n v="34516"/>
    <n v="214"/>
    <n v="34302"/>
    <n v="0"/>
    <n v="1201"/>
    <n v="22"/>
    <n v="0"/>
    <n v="6.0000000000000001E-3"/>
    <n v="0.99790000000000001"/>
    <n v="2.09822E-3"/>
    <s v="4.100221036410913"/>
    <n v="39.951805654895601"/>
    <s v="47.408342624563936"/>
    <s v="0.7958415387562051"/>
    <n v="815539233"/>
    <x v="1"/>
    <n v="0.99830662999999997"/>
    <x v="1"/>
  </r>
  <r>
    <n v="58"/>
    <n v="1"/>
    <n v="2"/>
    <n v="3"/>
    <n v="2"/>
    <n v="2"/>
    <n v="0"/>
    <n v="45"/>
    <n v="3"/>
    <n v="2"/>
    <n v="0"/>
    <n v="6385"/>
    <n v="1535"/>
    <n v="4850"/>
    <n v="1.1379999999999999"/>
    <n v="1612"/>
    <n v="47"/>
    <n v="0.88"/>
    <n v="0.24"/>
    <s v="4.0816e-05"/>
    <n v="0.99995999999999996"/>
    <n v="7.4681665980679296E-2"/>
    <s v="8.733617312486256"/>
    <n v="60.0311817847508"/>
    <s v="10.029050063565878"/>
    <n v="711019308"/>
    <x v="0"/>
    <n v="1.0249399E-3"/>
    <x v="0"/>
  </r>
  <r>
    <n v="50"/>
    <n v="0"/>
    <n v="1"/>
    <n v="2"/>
    <n v="1"/>
    <n v="5"/>
    <n v="0"/>
    <n v="44"/>
    <n v="5"/>
    <n v="2"/>
    <n v="2"/>
    <n v="5708"/>
    <n v="1884"/>
    <n v="3824"/>
    <n v="0.79100000000000004"/>
    <n v="4914"/>
    <n v="60"/>
    <n v="0.76500000000000001"/>
    <n v="0.33"/>
    <n v="1.0684E-4"/>
    <n v="0.99988999999999995"/>
    <s v="29.822821934821263"/>
    <s v="60.61170433934471"/>
    <s v="52.691658976569386"/>
    <s v="4.003018904148711"/>
    <n v="769720683"/>
    <x v="0"/>
    <n v="3.6248067000000002E-4"/>
    <x v="0"/>
  </r>
  <r>
    <n v="49"/>
    <n v="0"/>
    <n v="1"/>
    <n v="4"/>
    <n v="2"/>
    <n v="5"/>
    <n v="0"/>
    <n v="39"/>
    <n v="6"/>
    <n v="3"/>
    <n v="2"/>
    <n v="2880"/>
    <n v="1996"/>
    <n v="884"/>
    <n v="0.71899999999999997"/>
    <n v="4334"/>
    <n v="81"/>
    <n v="0.88400000000000001"/>
    <n v="0.69299999999999995"/>
    <n v="1.9866E-4"/>
    <n v="0.99980000000000002"/>
    <s v="32.95235216721022"/>
    <s v="56.59607694172705"/>
    <n v="89.510048905346096"/>
    <s v="8.754901606027584"/>
    <n v="716023533"/>
    <x v="0"/>
    <n v="3.2101269999999999E-4"/>
    <x v="0"/>
  </r>
  <r>
    <n v="54"/>
    <n v="0"/>
    <n v="1"/>
    <n v="0"/>
    <n v="2"/>
    <n v="4"/>
    <n v="0"/>
    <n v="48"/>
    <n v="3"/>
    <n v="1"/>
    <n v="4"/>
    <n v="2440"/>
    <n v="1083"/>
    <n v="1357"/>
    <n v="0.90700000000000003"/>
    <n v="3017"/>
    <n v="53"/>
    <n v="0.71"/>
    <n v="0.44400000000000001"/>
    <n v="1.4422E-4"/>
    <n v="0.99985999999999997"/>
    <s v="40.13287495967197"/>
    <s v="1.113058206965877"/>
    <s v="16.166948640564748"/>
    <s v="4.218798031993265"/>
    <n v="768687183"/>
    <x v="0"/>
    <n v="8.2316370000000004E-4"/>
    <x v="0"/>
  </r>
  <r>
    <n v="51"/>
    <n v="1"/>
    <n v="3"/>
    <n v="2"/>
    <n v="1"/>
    <n v="3"/>
    <n v="0"/>
    <n v="46"/>
    <n v="1"/>
    <n v="3"/>
    <n v="1"/>
    <n v="11765"/>
    <n v="1429"/>
    <n v="10336"/>
    <n v="0.81699999999999995"/>
    <n v="8914"/>
    <n v="99"/>
    <n v="0.76800000000000002"/>
    <n v="0.121"/>
    <n v="1.1256000000000001E-4"/>
    <n v="0.99988999999999995"/>
    <n v="48.855810955341802"/>
    <s v="143.02212283013995"/>
    <s v="57.07672608903534"/>
    <n v="8.4642373833107992E-3"/>
    <n v="808279158"/>
    <x v="0"/>
    <n v="3.6856539999999998E-4"/>
    <x v="0"/>
  </r>
  <r>
    <n v="47"/>
    <n v="0"/>
    <n v="1"/>
    <n v="2"/>
    <n v="1"/>
    <n v="5"/>
    <n v="0"/>
    <n v="34"/>
    <n v="3"/>
    <n v="2"/>
    <n v="2"/>
    <n v="3112"/>
    <n v="2023"/>
    <n v="1089"/>
    <n v="0.75700000000000001"/>
    <n v="4613"/>
    <n v="86"/>
    <n v="0.59299999999999997"/>
    <n v="0.65"/>
    <n v="1.0684E-4"/>
    <n v="0.99988999999999995"/>
    <s v="0.8904141429422889"/>
    <s v="40.70179635365675"/>
    <s v="38.99809002280446"/>
    <s v="10.990200722418123"/>
    <n v="788966958"/>
    <x v="0"/>
    <n v="3.2914013999999999E-4"/>
    <x v="0"/>
  </r>
  <r>
    <n v="38"/>
    <n v="1"/>
    <n v="4"/>
    <n v="5"/>
    <n v="3"/>
    <n v="3"/>
    <n v="3"/>
    <n v="36"/>
    <n v="2"/>
    <n v="1"/>
    <n v="2"/>
    <n v="34516"/>
    <n v="1132"/>
    <n v="33384"/>
    <n v="0.84"/>
    <n v="9389"/>
    <n v="106"/>
    <n v="0.79700000000000004"/>
    <n v="3.3000000000000002E-2"/>
    <s v="5.3664e-05"/>
    <n v="0.99995000000000001"/>
    <s v="8.138594962231014"/>
    <s v="55.54060752451127"/>
    <s v="24.995713591155504"/>
    <s v="5.215407340008447"/>
    <n v="714999483"/>
    <x v="0"/>
    <n v="4.1022256E-4"/>
    <x v="0"/>
  </r>
  <r>
    <n v="42"/>
    <n v="1"/>
    <n v="3"/>
    <n v="0"/>
    <n v="2"/>
    <n v="3"/>
    <n v="0"/>
    <n v="36"/>
    <n v="6"/>
    <n v="1"/>
    <n v="0"/>
    <n v="29535"/>
    <n v="895"/>
    <n v="28640"/>
    <n v="0.95199999999999996"/>
    <n v="3934"/>
    <n v="74"/>
    <n v="0.64400000000000002"/>
    <n v="0.03"/>
    <s v="2.0496e-05"/>
    <n v="0.99997999999999998"/>
    <s v="24.374545010340917"/>
    <s v="21.54755256726197"/>
    <s v="31.75999669887725"/>
    <s v="6.235540017726672"/>
    <n v="712332183"/>
    <x v="0"/>
    <n v="5.0588070000000002E-4"/>
    <x v="0"/>
  </r>
  <r>
    <n v="44"/>
    <n v="0"/>
    <n v="4"/>
    <n v="3"/>
    <n v="3"/>
    <n v="5"/>
    <n v="0"/>
    <n v="34"/>
    <n v="4"/>
    <n v="3"/>
    <n v="4"/>
    <n v="15944"/>
    <n v="0"/>
    <n v="15944"/>
    <n v="0.91900000000000004"/>
    <n v="9360"/>
    <n v="67"/>
    <n v="0.76300000000000001"/>
    <n v="0"/>
    <n v="0.99809999999999999"/>
    <n v="1.8962499999999999E-3"/>
    <s v="23.34280724165654"/>
    <s v="18.193533065318118"/>
    <s v="19.54542172656282"/>
    <s v="11.955427925034584"/>
    <n v="715020933"/>
    <x v="1"/>
    <n v="0.99414259999999999"/>
    <x v="1"/>
  </r>
  <r>
    <n v="36"/>
    <n v="0"/>
    <n v="4"/>
    <n v="6"/>
    <n v="1"/>
    <n v="5"/>
    <n v="0"/>
    <n v="31"/>
    <n v="5"/>
    <n v="2"/>
    <n v="0"/>
    <n v="15700"/>
    <n v="1276"/>
    <n v="14424"/>
    <n v="1.389"/>
    <n v="2229"/>
    <n v="48"/>
    <n v="0.77800000000000002"/>
    <n v="8.1000000000000003E-2"/>
    <s v="4.8401e-05"/>
    <n v="0.99995000000000001"/>
    <s v="3.925922907842424"/>
    <s v="0.1213956975731248"/>
    <s v="1.3272277664773746"/>
    <n v="1.36926862775956"/>
    <n v="805254708"/>
    <x v="0"/>
    <n v="1.1586330000000001E-3"/>
    <x v="0"/>
  </r>
  <r>
    <n v="40"/>
    <n v="1"/>
    <n v="3"/>
    <n v="2"/>
    <n v="1"/>
    <n v="3"/>
    <n v="3"/>
    <n v="36"/>
    <n v="6"/>
    <n v="3"/>
    <n v="0"/>
    <n v="34516"/>
    <n v="1002"/>
    <n v="33514"/>
    <n v="1.345"/>
    <n v="2579"/>
    <n v="68"/>
    <n v="0.7"/>
    <n v="2.9000000000000001E-2"/>
    <s v="6.2213e-05"/>
    <n v="0.99994000000000005"/>
    <s v="8.960789913476452"/>
    <n v="56.681086699919"/>
    <s v="51.79518880300121"/>
    <s v="3.337721155241427"/>
    <n v="720677733"/>
    <x v="0"/>
    <n v="4.3353309999999998E-4"/>
    <x v="0"/>
  </r>
  <r>
    <n v="57"/>
    <n v="0"/>
    <n v="3"/>
    <n v="3"/>
    <n v="2"/>
    <n v="4"/>
    <n v="0"/>
    <n v="46"/>
    <n v="1"/>
    <n v="2"/>
    <n v="2"/>
    <n v="2298"/>
    <n v="1540"/>
    <n v="758"/>
    <n v="0.70799999999999996"/>
    <n v="5154"/>
    <n v="81"/>
    <n v="0.97599999999999998"/>
    <n v="0.67"/>
    <n v="1.1482E-4"/>
    <n v="0.99988999999999995"/>
    <s v="13.240571859611595"/>
    <s v="3.915934818370367"/>
    <s v="63.17696540307601"/>
    <s v="9.466007679315796"/>
    <n v="713167383"/>
    <x v="0"/>
    <n v="3.2101269999999999E-4"/>
    <x v="0"/>
  </r>
  <r>
    <n v="30"/>
    <n v="0"/>
    <n v="0"/>
    <n v="2"/>
    <n v="0"/>
    <n v="5"/>
    <n v="0"/>
    <n v="13"/>
    <n v="5"/>
    <n v="1"/>
    <n v="2"/>
    <n v="7772"/>
    <n v="1890"/>
    <n v="5882"/>
    <n v="0.754"/>
    <n v="2585"/>
    <n v="75"/>
    <n v="0.82899999999999996"/>
    <n v="0.24299999999999999"/>
    <s v="4.7263e-05"/>
    <n v="0.99995000000000001"/>
    <s v="7.0535715796773895"/>
    <s v="41.89685256217454"/>
    <s v="35.61862292669622"/>
    <n v="29.722323747788302"/>
    <n v="779149683"/>
    <x v="0"/>
    <n v="3.9451056999999999E-4"/>
    <x v="0"/>
  </r>
  <r>
    <n v="45"/>
    <n v="0"/>
    <n v="3"/>
    <n v="3"/>
    <n v="0"/>
    <n v="4"/>
    <n v="0"/>
    <n v="33"/>
    <n v="3"/>
    <n v="3"/>
    <n v="2"/>
    <n v="9977"/>
    <n v="2088"/>
    <n v="7889"/>
    <n v="0.65"/>
    <n v="3530"/>
    <n v="61"/>
    <n v="0.74299999999999999"/>
    <n v="0.20899999999999999"/>
    <n v="1.8144999999999999E-4"/>
    <n v="0.99982000000000004"/>
    <s v="0.7409724512172208"/>
    <s v="17.002653979685743"/>
    <s v="92.99312822573371"/>
    <s v="9.269421639100646"/>
    <n v="779198133"/>
    <x v="0"/>
    <n v="3.479205E-4"/>
    <x v="0"/>
  </r>
  <r>
    <n v="39"/>
    <n v="0"/>
    <n v="3"/>
    <n v="5"/>
    <n v="2"/>
    <n v="5"/>
    <n v="3"/>
    <n v="35"/>
    <n v="2"/>
    <n v="2"/>
    <n v="3"/>
    <n v="33565"/>
    <n v="1627"/>
    <n v="31938"/>
    <n v="0.66"/>
    <n v="8360"/>
    <n v="94"/>
    <n v="0.84299999999999997"/>
    <n v="4.8000000000000001E-2"/>
    <n v="1.8455000000000001E-4"/>
    <n v="0.99982000000000004"/>
    <s v="21.736791261557336"/>
    <s v="28.13263911076084"/>
    <s v="180.81574883648165"/>
    <s v="2.8046572978270365"/>
    <n v="823539558"/>
    <x v="0"/>
    <n v="4.1022256E-4"/>
    <x v="0"/>
  </r>
  <r>
    <n v="54"/>
    <n v="0"/>
    <n v="2"/>
    <n v="1"/>
    <n v="2"/>
    <n v="4"/>
    <n v="0"/>
    <n v="42"/>
    <n v="3"/>
    <n v="4"/>
    <n v="3"/>
    <n v="1694"/>
    <n v="0"/>
    <n v="1694"/>
    <n v="0.35399999999999998"/>
    <n v="1930"/>
    <n v="41"/>
    <n v="0.51900000000000002"/>
    <n v="0"/>
    <n v="0.99811000000000005"/>
    <n v="1.88594E-3"/>
    <s v="11.740560217597375"/>
    <s v="109.31052110802246"/>
    <s v="11.819197991780902"/>
    <s v="13.02864069653326"/>
    <n v="711507783"/>
    <x v="1"/>
    <n v="0.99870276000000002"/>
    <x v="1"/>
  </r>
  <r>
    <n v="37"/>
    <n v="0"/>
    <n v="3"/>
    <n v="2"/>
    <n v="3"/>
    <n v="5"/>
    <n v="0"/>
    <n v="22"/>
    <n v="2"/>
    <n v="3"/>
    <n v="2"/>
    <n v="5674"/>
    <n v="0"/>
    <n v="5674"/>
    <n v="0.90600000000000003"/>
    <n v="1096"/>
    <n v="29"/>
    <n v="0.52600000000000002"/>
    <n v="0"/>
    <n v="0.99467000000000005"/>
    <n v="5.3299999999999997E-3"/>
    <s v="22.718681501854533"/>
    <s v="36.612988627036096"/>
    <s v="13.626497442343078"/>
    <s v="19.50564570564203"/>
    <n v="721178583"/>
    <x v="1"/>
    <n v="0.99877890000000003"/>
    <x v="1"/>
  </r>
  <r>
    <n v="52"/>
    <n v="1"/>
    <n v="1"/>
    <n v="6"/>
    <n v="0"/>
    <n v="3"/>
    <n v="0"/>
    <n v="42"/>
    <n v="4"/>
    <n v="4"/>
    <n v="2"/>
    <n v="5763"/>
    <n v="0"/>
    <n v="5763"/>
    <n v="0.61499999999999999"/>
    <n v="2310"/>
    <n v="48"/>
    <n v="0.71399999999999997"/>
    <n v="0"/>
    <n v="0.99556"/>
    <n v="4.4380299999999999E-3"/>
    <s v="55.56598060126823"/>
    <s v="64.35439688410791"/>
    <s v="15.287389761368054"/>
    <s v="28.635479819535337"/>
    <n v="778272408"/>
    <x v="1"/>
    <n v="0.99846690000000005"/>
    <x v="1"/>
  </r>
  <r>
    <n v="38"/>
    <n v="1"/>
    <n v="3"/>
    <n v="2"/>
    <n v="2"/>
    <n v="3"/>
    <n v="0"/>
    <n v="31"/>
    <n v="6"/>
    <n v="1"/>
    <n v="2"/>
    <n v="13637"/>
    <n v="0"/>
    <n v="13637"/>
    <n v="0.56599999999999995"/>
    <n v="3625"/>
    <n v="73"/>
    <n v="0.65900000000000003"/>
    <n v="0"/>
    <s v="5.7151e-05"/>
    <n v="0.99994000000000005"/>
    <s v="20.16312819964403"/>
    <s v="60.03267854267823"/>
    <s v="89.16340913122774"/>
    <s v="20.62024931779393"/>
    <n v="778523733"/>
    <x v="0"/>
    <n v="6.9517245999999998E-4"/>
    <x v="0"/>
  </r>
  <r>
    <n v="52"/>
    <n v="1"/>
    <n v="2"/>
    <n v="0"/>
    <n v="1"/>
    <n v="3"/>
    <n v="0"/>
    <n v="41"/>
    <n v="4"/>
    <n v="2"/>
    <n v="3"/>
    <n v="16207"/>
    <n v="922"/>
    <n v="15285"/>
    <n v="0.63500000000000001"/>
    <n v="3621"/>
    <n v="83"/>
    <n v="0.88600000000000001"/>
    <n v="5.7000000000000002E-2"/>
    <n v="1.8611999999999999E-4"/>
    <n v="0.99980999999999998"/>
    <s v="5.450213760682368"/>
    <s v="44.580919873297184"/>
    <s v="39.64592853548012"/>
    <s v="0.2836973266502167"/>
    <n v="721247883"/>
    <x v="0"/>
    <n v="4.5621609999999999E-4"/>
    <x v="0"/>
  </r>
  <r>
    <n v="46"/>
    <n v="1"/>
    <n v="4"/>
    <n v="2"/>
    <n v="2"/>
    <n v="3"/>
    <n v="0"/>
    <n v="33"/>
    <n v="5"/>
    <n v="1"/>
    <n v="1"/>
    <n v="2371"/>
    <n v="1748"/>
    <n v="623"/>
    <n v="0.66300000000000003"/>
    <n v="4460"/>
    <n v="78"/>
    <n v="1.0529999999999999"/>
    <n v="0.73699999999999999"/>
    <s v="3.4833e-05"/>
    <n v="0.99997000000000003"/>
    <s v="38.89189540268354"/>
    <s v="11.489874715723207"/>
    <s v="13.496071708247795"/>
    <s v="21.826300201907276"/>
    <n v="716176683"/>
    <x v="0"/>
    <n v="3.2101269999999999E-4"/>
    <x v="0"/>
  </r>
  <r>
    <n v="59"/>
    <n v="0"/>
    <n v="2"/>
    <n v="5"/>
    <n v="1"/>
    <n v="4"/>
    <n v="0"/>
    <n v="51"/>
    <n v="5"/>
    <n v="5"/>
    <n v="4"/>
    <n v="1438.3"/>
    <n v="0"/>
    <n v="1438.3"/>
    <n v="0.65600000000000003"/>
    <n v="2146"/>
    <n v="44"/>
    <n v="0.63"/>
    <n v="0"/>
    <n v="0.99831999999999999"/>
    <n v="1.68378E-3"/>
    <s v="4.571352806364053"/>
    <s v="26.064566496515745"/>
    <s v="24.672589166927477"/>
    <s v="13.789363884867212"/>
    <n v="712160058"/>
    <x v="1"/>
    <n v="0.99808169999999996"/>
    <x v="1"/>
  </r>
  <r>
    <n v="39"/>
    <n v="0"/>
    <n v="3"/>
    <n v="5"/>
    <n v="1"/>
    <n v="5"/>
    <n v="0"/>
    <n v="30"/>
    <n v="6"/>
    <n v="3"/>
    <n v="4"/>
    <n v="3023"/>
    <n v="1348"/>
    <n v="1675"/>
    <n v="0.35799999999999998"/>
    <n v="2219"/>
    <n v="44"/>
    <n v="0.63"/>
    <n v="0.44600000000000001"/>
    <n v="0.99819000000000002"/>
    <n v="1.8121700000000001E-3"/>
    <s v="33.93211479724955"/>
    <s v="19.870650933949683"/>
    <s v="41.83733808198896"/>
    <n v="17.8754869621749"/>
    <n v="712790358"/>
    <x v="1"/>
    <n v="0.99381679999999994"/>
    <x v="1"/>
  </r>
  <r>
    <n v="54"/>
    <n v="1"/>
    <n v="4"/>
    <n v="2"/>
    <n v="1"/>
    <n v="0"/>
    <n v="0"/>
    <n v="36"/>
    <n v="2"/>
    <n v="3"/>
    <n v="5"/>
    <n v="7684"/>
    <n v="0"/>
    <n v="7684"/>
    <n v="0.61"/>
    <n v="7667"/>
    <n v="68"/>
    <n v="0.78900000000000003"/>
    <n v="0"/>
    <n v="0.99892999999999998"/>
    <n v="1.06612E-3"/>
    <n v="54.441431832410402"/>
    <s v="22.88420672861526"/>
    <s v="42.83518629405937"/>
    <s v="4.491737656386138"/>
    <n v="716708583"/>
    <x v="1"/>
    <n v="0.99223570000000005"/>
    <x v="1"/>
  </r>
  <r>
    <n v="30"/>
    <n v="1"/>
    <n v="0"/>
    <n v="2"/>
    <n v="3"/>
    <n v="2"/>
    <n v="0"/>
    <n v="36"/>
    <n v="3"/>
    <n v="5"/>
    <n v="3"/>
    <n v="18513"/>
    <n v="2517"/>
    <n v="15996"/>
    <n v="0.52400000000000002"/>
    <n v="1567"/>
    <n v="33"/>
    <n v="0.94099999999999995"/>
    <n v="0.13600000000000001"/>
    <n v="2.8994999999999997E-4"/>
    <n v="0.99970999999999999"/>
    <s v="26.783034547600508"/>
    <s v="41.973531389165245"/>
    <s v="21.23871031924797"/>
    <s v="20.43997920227085"/>
    <n v="714131058"/>
    <x v="0"/>
    <n v="1.0648312999999999E-3"/>
    <x v="0"/>
  </r>
  <r>
    <n v="48"/>
    <n v="0"/>
    <n v="2"/>
    <n v="2"/>
    <n v="1"/>
    <n v="4"/>
    <n v="0"/>
    <n v="36"/>
    <n v="4"/>
    <n v="1"/>
    <n v="2"/>
    <n v="6362"/>
    <n v="1705"/>
    <n v="4657"/>
    <n v="0.64400000000000002"/>
    <n v="5169"/>
    <n v="84"/>
    <n v="0.47399999999999998"/>
    <n v="0.26800000000000002"/>
    <s v="5.5077e-05"/>
    <n v="0.99994000000000005"/>
    <n v="5.0836653939295999"/>
    <s v="32.09728347180157"/>
    <s v="26.034503234461667"/>
    <s v="8.606322372138568"/>
    <n v="709914858"/>
    <x v="0"/>
    <n v="3.5747702000000001E-4"/>
    <x v="0"/>
  </r>
  <r>
    <n v="40"/>
    <n v="1"/>
    <n v="5"/>
    <n v="3"/>
    <n v="2"/>
    <n v="0"/>
    <n v="0"/>
    <n v="31"/>
    <n v="1"/>
    <n v="1"/>
    <n v="3"/>
    <n v="34516"/>
    <n v="1427"/>
    <n v="33089"/>
    <n v="0.70599999999999996"/>
    <n v="3699"/>
    <n v="64"/>
    <n v="0.48799999999999999"/>
    <n v="4.1000000000000002E-2"/>
    <s v="9.2974e-05"/>
    <n v="0.99990999999999997"/>
    <s v="31.72248768293485"/>
    <s v="62.52807454493836"/>
    <s v="177.65040054056817"/>
    <s v="12.806652807976343"/>
    <n v="715463133"/>
    <x v="0"/>
    <n v="4.1831810000000002E-4"/>
    <x v="0"/>
  </r>
  <r>
    <n v="52"/>
    <n v="0"/>
    <n v="3"/>
    <n v="2"/>
    <n v="1"/>
    <n v="4"/>
    <n v="0"/>
    <n v="40"/>
    <n v="2"/>
    <n v="2"/>
    <n v="1"/>
    <n v="9230"/>
    <n v="1518"/>
    <n v="7712"/>
    <n v="0.77400000000000002"/>
    <n v="14082"/>
    <n v="99"/>
    <n v="0.83299999999999996"/>
    <n v="0.16400000000000001"/>
    <s v="7.1226e-05"/>
    <n v="0.99992999999999999"/>
    <s v="44.53514222749418"/>
    <s v="42.588390569142426"/>
    <s v="71.07215223370449"/>
    <s v="0.3737945481576276"/>
    <n v="717781608"/>
    <x v="0"/>
    <n v="3.4656386999999997E-4"/>
    <x v="0"/>
  </r>
  <r>
    <n v="53"/>
    <n v="1"/>
    <n v="2"/>
    <n v="2"/>
    <n v="2"/>
    <n v="3"/>
    <n v="0"/>
    <n v="36"/>
    <n v="5"/>
    <n v="3"/>
    <n v="2"/>
    <n v="5272"/>
    <n v="1515"/>
    <n v="3757"/>
    <n v="0.85699999999999998"/>
    <n v="1289"/>
    <n v="33"/>
    <n v="0.435"/>
    <n v="0.28699999999999998"/>
    <n v="1.7987E-4"/>
    <n v="0.99982000000000004"/>
    <s v="32.632915452487275"/>
    <s v="53.70783693840318"/>
    <s v="67.62010948735886"/>
    <s v="1.873628231439276"/>
    <n v="712876233"/>
    <x v="0"/>
    <n v="1.1982243E-3"/>
    <x v="0"/>
  </r>
  <r>
    <n v="51"/>
    <n v="0"/>
    <n v="1"/>
    <n v="2"/>
    <n v="2"/>
    <n v="4"/>
    <n v="0"/>
    <n v="41"/>
    <n v="4"/>
    <n v="2"/>
    <n v="3"/>
    <n v="8900"/>
    <n v="798"/>
    <n v="8102"/>
    <n v="0.64700000000000002"/>
    <n v="16737"/>
    <n v="88"/>
    <n v="0.66"/>
    <n v="0.09"/>
    <n v="1.7969000000000001E-4"/>
    <n v="0.99982000000000004"/>
    <s v="33.28393345311849"/>
    <s v="13.352911925660749"/>
    <s v="84.15003563793965"/>
    <s v="26.57744627967206"/>
    <n v="709094358"/>
    <x v="0"/>
    <n v="5.8377570000000005E-4"/>
    <x v="0"/>
  </r>
  <r>
    <n v="53"/>
    <n v="0"/>
    <n v="3"/>
    <n v="2"/>
    <n v="1"/>
    <n v="1"/>
    <n v="0"/>
    <n v="44"/>
    <n v="3"/>
    <n v="3"/>
    <n v="4"/>
    <n v="2636"/>
    <n v="2357"/>
    <n v="279"/>
    <n v="0.65400000000000003"/>
    <n v="1333"/>
    <n v="34"/>
    <n v="0.54500000000000004"/>
    <n v="0.89400000000000002"/>
    <n v="5.3543000000000004E-4"/>
    <n v="0.99946000000000002"/>
    <s v="53.24090423119228"/>
    <s v="14.02650216240534"/>
    <s v="29.630189699047914"/>
    <s v="25.91339004905468"/>
    <n v="711954558"/>
    <x v="0"/>
    <n v="1.0903810999999999E-3"/>
    <x v="0"/>
  </r>
  <r>
    <n v="49"/>
    <n v="0"/>
    <n v="5"/>
    <n v="2"/>
    <n v="1"/>
    <n v="4"/>
    <n v="0"/>
    <n v="43"/>
    <n v="4"/>
    <n v="2"/>
    <n v="3"/>
    <n v="8154"/>
    <n v="0"/>
    <n v="8154"/>
    <n v="0.96399999999999997"/>
    <n v="2223"/>
    <n v="72"/>
    <n v="0.94599999999999995"/>
    <n v="0"/>
    <n v="1.9764000000000001E-4"/>
    <n v="0.99980000000000002"/>
    <s v="25.46747162544764"/>
    <s v="82.45119604187981"/>
    <s v="13.024070658939436"/>
    <n v="4.4426224996713799"/>
    <n v="714118383"/>
    <x v="0"/>
    <n v="9.3601079999999998E-4"/>
    <x v="0"/>
  </r>
  <r>
    <n v="33"/>
    <n v="0"/>
    <n v="4"/>
    <n v="0"/>
    <n v="0"/>
    <n v="4"/>
    <n v="0"/>
    <n v="24"/>
    <n v="6"/>
    <n v="2"/>
    <n v="2"/>
    <n v="9857"/>
    <n v="0"/>
    <n v="9857"/>
    <n v="0.69899999999999995"/>
    <n v="3448"/>
    <n v="103"/>
    <n v="0.63500000000000001"/>
    <n v="0"/>
    <n v="1.1605E-4"/>
    <n v="0.99987999999999999"/>
    <s v="13.614155494858636"/>
    <s v="21.22838262108505"/>
    <s v="90.81874716321096"/>
    <s v="15.552543555847327"/>
    <n v="715970133"/>
    <x v="0"/>
    <n v="7.1276520000000004E-4"/>
    <x v="0"/>
  </r>
  <r>
    <n v="48"/>
    <n v="1"/>
    <n v="2"/>
    <n v="2"/>
    <n v="0"/>
    <n v="3"/>
    <n v="0"/>
    <n v="29"/>
    <n v="6"/>
    <n v="2"/>
    <n v="3"/>
    <n v="24446"/>
    <n v="1854"/>
    <n v="22592"/>
    <n v="0.78200000000000003"/>
    <n v="3897"/>
    <n v="75"/>
    <n v="0.78600000000000003"/>
    <n v="7.5999999999999998E-2"/>
    <n v="1.9143E-4"/>
    <n v="0.99980999999999998"/>
    <s v="45.195626868447455"/>
    <s v="45.17290106701083"/>
    <s v="42.38352168284283"/>
    <s v="3.6796013707348942"/>
    <n v="713295183"/>
    <x v="0"/>
    <n v="3.4749169999999998E-4"/>
    <x v="0"/>
  </r>
  <r>
    <n v="47"/>
    <n v="0"/>
    <n v="4"/>
    <n v="6"/>
    <n v="2"/>
    <n v="4"/>
    <n v="0"/>
    <n v="39"/>
    <n v="3"/>
    <n v="3"/>
    <n v="4"/>
    <n v="1548"/>
    <n v="0"/>
    <n v="1548"/>
    <n v="0.66400000000000003"/>
    <n v="4420"/>
    <n v="71"/>
    <n v="0.77500000000000002"/>
    <n v="0"/>
    <n v="5.9480000000000004E-4"/>
    <n v="0.99941000000000002"/>
    <s v="41.90939612300001"/>
    <s v="54.58946788505086"/>
    <s v="147.54237406362856"/>
    <s v="13.771568600632277"/>
    <n v="708324483"/>
    <x v="0"/>
    <n v="7.7182409999999998E-4"/>
    <x v="0"/>
  </r>
  <r>
    <n v="45"/>
    <n v="0"/>
    <n v="4"/>
    <n v="6"/>
    <n v="2"/>
    <n v="4"/>
    <n v="0"/>
    <n v="32"/>
    <n v="3"/>
    <n v="3"/>
    <n v="4"/>
    <n v="2858"/>
    <n v="0"/>
    <n v="2858"/>
    <n v="1.0580000000000001"/>
    <n v="2611"/>
    <n v="43"/>
    <n v="0.48299999999999998"/>
    <n v="0"/>
    <n v="0.99831999999999999"/>
    <n v="1.67742E-3"/>
    <s v="39.13387724795409"/>
    <s v="2.5179407030320164"/>
    <s v="60.032123397067366"/>
    <n v="9.7181331323104008"/>
    <n v="709798908"/>
    <x v="1"/>
    <n v="0.99831639999999999"/>
    <x v="1"/>
  </r>
  <r>
    <n v="44"/>
    <n v="0"/>
    <n v="4"/>
    <n v="6"/>
    <n v="1"/>
    <n v="1"/>
    <n v="0"/>
    <n v="31"/>
    <n v="4"/>
    <n v="3"/>
    <n v="5"/>
    <n v="1691"/>
    <n v="1327"/>
    <n v="364"/>
    <n v="0.77400000000000002"/>
    <n v="2345"/>
    <n v="33"/>
    <n v="0.435"/>
    <n v="0.78500000000000003"/>
    <n v="0.99902999999999997"/>
    <n v="9.7000000000000005E-4"/>
    <s v="38.54710085755347"/>
    <s v="16.63191856518395"/>
    <s v="61.32543656512056"/>
    <s v="7.224004159401409"/>
    <n v="718296558"/>
    <x v="1"/>
    <n v="0.99324539999999994"/>
    <x v="1"/>
  </r>
  <r>
    <n v="56"/>
    <n v="0"/>
    <n v="2"/>
    <n v="0"/>
    <n v="1"/>
    <n v="4"/>
    <n v="0"/>
    <n v="36"/>
    <n v="6"/>
    <n v="1"/>
    <n v="2"/>
    <n v="2781"/>
    <n v="1035"/>
    <n v="1746"/>
    <n v="0.81599999999999995"/>
    <n v="1707"/>
    <n v="42"/>
    <n v="1.2110000000000001"/>
    <n v="0.372"/>
    <s v="5.3547e-05"/>
    <n v="0.99995000000000001"/>
    <s v="7.800679716807321"/>
    <s v="18.02080285689849"/>
    <s v="76.07509487027424"/>
    <s v="8.874080551928682"/>
    <n v="709058808"/>
    <x v="0"/>
    <n v="9.8706899999999992E-4"/>
    <x v="0"/>
  </r>
  <r>
    <n v="63"/>
    <n v="1"/>
    <n v="1"/>
    <n v="2"/>
    <n v="2"/>
    <n v="4"/>
    <n v="0"/>
    <n v="56"/>
    <n v="4"/>
    <n v="2"/>
    <n v="2"/>
    <n v="7936"/>
    <n v="2081"/>
    <n v="5855"/>
    <n v="0.94099999999999995"/>
    <n v="4247"/>
    <n v="81"/>
    <n v="0.84099999999999997"/>
    <n v="0.26200000000000001"/>
    <n v="1.0684E-4"/>
    <n v="0.99988999999999995"/>
    <s v="17.654345419225802"/>
    <n v="8.7568117634514095"/>
    <s v="44.05482424228262"/>
    <s v="7.786667503034273"/>
    <n v="712084383"/>
    <x v="0"/>
    <n v="3.3750932000000002E-4"/>
    <x v="0"/>
  </r>
  <r>
    <n v="32"/>
    <n v="0"/>
    <n v="2"/>
    <n v="6"/>
    <n v="1"/>
    <n v="4"/>
    <n v="0"/>
    <n v="20"/>
    <n v="1"/>
    <n v="3"/>
    <n v="2"/>
    <n v="9761"/>
    <n v="1470"/>
    <n v="8291"/>
    <n v="0.79600000000000004"/>
    <n v="14334"/>
    <n v="97"/>
    <n v="0.73199999999999998"/>
    <n v="0.151"/>
    <n v="1.9771E-4"/>
    <n v="0.99980000000000002"/>
    <s v="62.50063929079921"/>
    <s v="26.88526577208608"/>
    <s v="103.93248400229908"/>
    <s v="2.076447736656103"/>
    <n v="715351983"/>
    <x v="0"/>
    <n v="3.4656386999999997E-4"/>
    <x v="0"/>
  </r>
  <r>
    <n v="56"/>
    <n v="0"/>
    <n v="2"/>
    <n v="6"/>
    <n v="0"/>
    <n v="1"/>
    <n v="0"/>
    <n v="50"/>
    <n v="5"/>
    <n v="2"/>
    <n v="2"/>
    <n v="5084"/>
    <n v="1683"/>
    <n v="3401"/>
    <n v="0.92300000000000004"/>
    <n v="4060"/>
    <n v="55"/>
    <n v="0.77400000000000002"/>
    <n v="0.33100000000000002"/>
    <n v="1.2511E-4"/>
    <n v="0.99987000000000004"/>
    <s v="10.553900730470389"/>
    <s v="104.04237620929862"/>
    <s v="72.77821158609234"/>
    <s v="16.827276122928154"/>
    <n v="784734258"/>
    <x v="0"/>
    <n v="4.8360816000000002E-4"/>
    <x v="0"/>
  </r>
  <r>
    <n v="40"/>
    <n v="1"/>
    <n v="2"/>
    <n v="2"/>
    <n v="1"/>
    <n v="1"/>
    <n v="0"/>
    <n v="31"/>
    <n v="6"/>
    <n v="1"/>
    <n v="2"/>
    <n v="6500"/>
    <n v="2025"/>
    <n v="4475"/>
    <n v="0.65600000000000003"/>
    <n v="4738"/>
    <n v="82"/>
    <n v="0.67300000000000004"/>
    <n v="0.312"/>
    <s v="5.5077e-05"/>
    <n v="0.99994000000000005"/>
    <s v="13.086082629962554"/>
    <s v="24.37637192514768"/>
    <s v="73.26789697150602"/>
    <s v="12.193816670449555"/>
    <n v="718063083"/>
    <x v="0"/>
    <n v="3.2101269999999999E-4"/>
    <x v="0"/>
  </r>
  <r>
    <n v="40"/>
    <n v="1"/>
    <n v="3"/>
    <n v="6"/>
    <n v="2"/>
    <n v="1"/>
    <n v="0"/>
    <n v="36"/>
    <n v="1"/>
    <n v="3"/>
    <n v="1"/>
    <n v="8155"/>
    <n v="1178"/>
    <n v="6977"/>
    <n v="0.82899999999999996"/>
    <n v="14955"/>
    <n v="102"/>
    <n v="0.92500000000000004"/>
    <n v="0.14399999999999999"/>
    <n v="1.2373000000000001E-4"/>
    <n v="0.99987999999999999"/>
    <s v="35.75495285993794"/>
    <s v="6.8082663290896175"/>
    <s v="40.41872251746945"/>
    <s v="0.7407332916371102"/>
    <n v="717076458"/>
    <x v="0"/>
    <n v="3.4656386999999997E-4"/>
    <x v="0"/>
  </r>
  <r>
    <n v="48"/>
    <n v="1"/>
    <n v="2"/>
    <n v="2"/>
    <n v="2"/>
    <n v="2"/>
    <n v="0"/>
    <n v="40"/>
    <n v="4"/>
    <n v="5"/>
    <n v="4"/>
    <n v="14951"/>
    <n v="1413"/>
    <n v="13538"/>
    <n v="0.78400000000000003"/>
    <n v="3899"/>
    <n v="68"/>
    <n v="1.0609999999999999"/>
    <n v="9.5000000000000001E-2"/>
    <n v="5.7631000000000002E-4"/>
    <n v="0.99941999999999998"/>
    <s v="13.896887320537068"/>
    <s v="32.104442010148354"/>
    <s v="45.79885303480134"/>
    <s v="10.193993689784692"/>
    <n v="718451133"/>
    <x v="0"/>
    <n v="3.3022385E-4"/>
    <x v="0"/>
  </r>
  <r>
    <n v="54"/>
    <n v="0"/>
    <n v="3"/>
    <n v="3"/>
    <n v="0"/>
    <n v="5"/>
    <n v="0"/>
    <n v="36"/>
    <n v="3"/>
    <n v="5"/>
    <n v="3"/>
    <n v="4806"/>
    <n v="0"/>
    <n v="4806"/>
    <n v="0.82699999999999996"/>
    <n v="4674"/>
    <n v="87"/>
    <n v="0.74"/>
    <n v="0"/>
    <n v="3.4082999999999997E-4"/>
    <n v="0.99965999999999999"/>
    <s v="22.102710265184594"/>
    <s v="4.931214677591889"/>
    <s v="2.513393773188284"/>
    <n v="3.5094767277465801"/>
    <n v="716244933"/>
    <x v="0"/>
    <n v="6.9517245999999998E-4"/>
    <x v="0"/>
  </r>
  <r>
    <n v="47"/>
    <n v="1"/>
    <n v="4"/>
    <n v="5"/>
    <n v="1"/>
    <n v="2"/>
    <n v="0"/>
    <n v="42"/>
    <n v="4"/>
    <n v="1"/>
    <n v="2"/>
    <n v="5715"/>
    <n v="1214"/>
    <n v="4501"/>
    <n v="0.85799999999999998"/>
    <n v="3685"/>
    <n v="63"/>
    <n v="0.65800000000000003"/>
    <n v="0.21199999999999999"/>
    <s v="5.9391e-05"/>
    <n v="0.99994000000000005"/>
    <n v="1.3069065226021801"/>
    <s v="59.01380620304169"/>
    <s v="100.67512620853417"/>
    <s v="7.483211467367628"/>
    <n v="712606158"/>
    <x v="0"/>
    <n v="3.479205E-4"/>
    <x v="0"/>
  </r>
  <r>
    <n v="35"/>
    <n v="0"/>
    <n v="3"/>
    <n v="2"/>
    <n v="1"/>
    <n v="4"/>
    <n v="0"/>
    <n v="21"/>
    <n v="3"/>
    <n v="1"/>
    <n v="1"/>
    <n v="2272"/>
    <n v="604"/>
    <n v="1668"/>
    <n v="0.98699999999999999"/>
    <n v="4614"/>
    <n v="75"/>
    <n v="0.97399999999999998"/>
    <n v="0.26600000000000001"/>
    <s v="3.4465e-05"/>
    <n v="0.99997000000000003"/>
    <s v="7.096217657661149"/>
    <s v="34.28491986885785"/>
    <s v="21.326246091604435"/>
    <s v="11.847648777588583"/>
    <n v="721473783"/>
    <x v="0"/>
    <n v="5.7810993000000001E-4"/>
    <x v="0"/>
  </r>
  <r>
    <n v="35"/>
    <n v="0"/>
    <n v="2"/>
    <n v="5"/>
    <n v="2"/>
    <n v="5"/>
    <n v="0"/>
    <n v="29"/>
    <n v="3"/>
    <n v="1"/>
    <n v="1"/>
    <n v="2423"/>
    <n v="0"/>
    <n v="2423"/>
    <n v="0.66300000000000003"/>
    <n v="4651"/>
    <n v="69"/>
    <n v="0.56799999999999995"/>
    <n v="0"/>
    <s v="3.415e-05"/>
    <n v="0.99997000000000003"/>
    <s v="1.4512467094467434"/>
    <s v="88.61177051323557"/>
    <s v="18.72198857550934"/>
    <s v="22.45527060163496"/>
    <n v="795392433"/>
    <x v="0"/>
    <n v="7.9661230000000003E-4"/>
    <x v="0"/>
  </r>
  <r>
    <n v="41"/>
    <n v="1"/>
    <n v="5"/>
    <n v="2"/>
    <n v="1"/>
    <n v="3"/>
    <n v="0"/>
    <n v="37"/>
    <n v="1"/>
    <n v="3"/>
    <n v="2"/>
    <n v="12578"/>
    <n v="2517"/>
    <n v="10061"/>
    <n v="0.875"/>
    <n v="8362"/>
    <n v="82"/>
    <n v="0.64"/>
    <n v="0.2"/>
    <n v="1.8569999999999999E-4"/>
    <n v="0.99980999999999998"/>
    <s v="116.25674370241737"/>
    <s v="21.06381437762407"/>
    <s v="132.27372868520786"/>
    <s v="2.449797663276324"/>
    <n v="717859233"/>
    <x v="0"/>
    <n v="4.0839396999999998E-4"/>
    <x v="0"/>
  </r>
  <r>
    <n v="29"/>
    <n v="0"/>
    <n v="0"/>
    <n v="4"/>
    <n v="2"/>
    <n v="5"/>
    <n v="1"/>
    <n v="36"/>
    <n v="4"/>
    <n v="1"/>
    <n v="4"/>
    <n v="34516"/>
    <n v="1452"/>
    <n v="33064"/>
    <n v="0.88700000000000001"/>
    <n v="2336"/>
    <n v="49"/>
    <n v="1.1299999999999999"/>
    <n v="4.2000000000000003E-2"/>
    <n v="1.8385E-4"/>
    <n v="0.99982000000000004"/>
    <s v="13.89948237194985"/>
    <s v="26.74145306363352"/>
    <s v="56.06256575378687"/>
    <n v="17.351305853742701"/>
    <n v="713745783"/>
    <x v="0"/>
    <n v="1.1348460999999999E-3"/>
    <x v="0"/>
  </r>
  <r>
    <n v="47"/>
    <n v="0"/>
    <n v="3"/>
    <n v="5"/>
    <n v="1"/>
    <n v="4"/>
    <n v="0"/>
    <n v="36"/>
    <n v="5"/>
    <n v="1"/>
    <n v="1"/>
    <n v="1438.3"/>
    <n v="0"/>
    <n v="1438.3"/>
    <n v="0.64700000000000002"/>
    <n v="4443"/>
    <n v="86"/>
    <n v="0.83"/>
    <n v="0"/>
    <s v="3.5437e-05"/>
    <n v="0.99995999999999996"/>
    <s v="18.26004881462328"/>
    <s v="100.87292862799896"/>
    <s v="27.30737345394676"/>
    <s v="11.067346426845136"/>
    <n v="714707133"/>
    <x v="0"/>
    <n v="6.9517245999999998E-4"/>
    <x v="0"/>
  </r>
  <r>
    <n v="54"/>
    <n v="0"/>
    <n v="4"/>
    <n v="2"/>
    <n v="2"/>
    <n v="4"/>
    <n v="0"/>
    <n v="43"/>
    <n v="3"/>
    <n v="1"/>
    <n v="4"/>
    <n v="2191"/>
    <n v="1655"/>
    <n v="536"/>
    <n v="1.008"/>
    <n v="4961"/>
    <n v="71"/>
    <n v="0.82099999999999995"/>
    <n v="0.755"/>
    <n v="1.6574E-4"/>
    <n v="0.99983"/>
    <s v="15.254561693028949"/>
    <s v="38.76857093762223"/>
    <s v="37.835457740645865"/>
    <s v="12.72031731037848"/>
    <n v="779008158"/>
    <x v="0"/>
    <n v="3.221314E-4"/>
    <x v="0"/>
  </r>
  <r>
    <n v="45"/>
    <n v="1"/>
    <n v="3"/>
    <n v="0"/>
    <n v="1"/>
    <n v="1"/>
    <n v="0"/>
    <n v="39"/>
    <n v="3"/>
    <n v="2"/>
    <n v="4"/>
    <n v="7109"/>
    <n v="866"/>
    <n v="6243"/>
    <n v="0.57199999999999995"/>
    <n v="4047"/>
    <n v="75"/>
    <n v="0.66700000000000004"/>
    <n v="0.122"/>
    <n v="3.2945000000000001E-4"/>
    <n v="0.99966999999999995"/>
    <s v="0.3052675293042309"/>
    <s v="17.66438345258768"/>
    <s v="66.10559000136564"/>
    <s v="6.247795402653329"/>
    <n v="716235783"/>
    <x v="0"/>
    <n v="4.3298570000000001E-4"/>
    <x v="0"/>
  </r>
  <r>
    <n v="47"/>
    <n v="0"/>
    <n v="3"/>
    <n v="3"/>
    <n v="2"/>
    <n v="5"/>
    <n v="0"/>
    <n v="41"/>
    <n v="5"/>
    <n v="1"/>
    <n v="3"/>
    <n v="5630"/>
    <n v="748"/>
    <n v="4882"/>
    <n v="0.80400000000000005"/>
    <n v="4904"/>
    <n v="81"/>
    <n v="0.76100000000000001"/>
    <n v="0.13300000000000001"/>
    <s v="9.3448e-05"/>
    <n v="0.99990999999999997"/>
    <s v="2.820867182222932"/>
    <s v="12.30385673702187"/>
    <s v="56.98490954485391"/>
    <s v="31.522198507190897"/>
    <n v="791822733"/>
    <x v="0"/>
    <n v="5.4489190000000002E-4"/>
    <x v="0"/>
  </r>
  <r>
    <n v="52"/>
    <n v="0"/>
    <n v="3"/>
    <n v="4"/>
    <n v="2"/>
    <n v="4"/>
    <n v="0"/>
    <n v="47"/>
    <n v="3"/>
    <n v="3"/>
    <n v="2"/>
    <n v="2972"/>
    <n v="0"/>
    <n v="2972"/>
    <n v="1.0349999999999999"/>
    <n v="922"/>
    <n v="25"/>
    <n v="0.56200000000000006"/>
    <n v="0"/>
    <n v="0.99546999999999997"/>
    <n v="4.5317400000000002E-3"/>
    <s v="14.25765379178293"/>
    <s v="27.719217590846487"/>
    <s v="53.00858481493943"/>
    <s v="17.07638731544378"/>
    <n v="708241233"/>
    <x v="1"/>
    <n v="0.99870884000000004"/>
    <x v="1"/>
  </r>
  <r>
    <n v="59"/>
    <n v="0"/>
    <n v="1"/>
    <n v="6"/>
    <n v="1"/>
    <n v="5"/>
    <n v="0"/>
    <n v="50"/>
    <n v="3"/>
    <n v="2"/>
    <n v="3"/>
    <n v="1438.3"/>
    <n v="0"/>
    <n v="1438.3"/>
    <n v="0.56999999999999995"/>
    <n v="724"/>
    <n v="16"/>
    <n v="0.23100000000000001"/>
    <n v="0"/>
    <n v="0.99495999999999996"/>
    <n v="5.0400000000000002E-3"/>
    <s v="16.55836187202466"/>
    <s v="45.060928511769696"/>
    <s v="8.884131734410232"/>
    <s v="11.395726440596166"/>
    <n v="712433508"/>
    <x v="1"/>
    <n v="0.99870884000000004"/>
    <x v="1"/>
  </r>
  <r>
    <n v="36"/>
    <n v="0"/>
    <n v="5"/>
    <n v="2"/>
    <n v="1"/>
    <n v="4"/>
    <n v="0"/>
    <n v="30"/>
    <n v="3"/>
    <n v="3"/>
    <n v="3"/>
    <n v="3103"/>
    <n v="2399"/>
    <n v="704"/>
    <n v="0.58099999999999996"/>
    <n v="1836"/>
    <n v="48"/>
    <n v="0.65500000000000003"/>
    <n v="0.77300000000000002"/>
    <n v="3.1231E-4"/>
    <n v="0.99968999999999997"/>
    <s v="19.26164625262482"/>
    <s v="6.084432595449503"/>
    <s v="71.65781263800454"/>
    <s v="9.573846250057214"/>
    <n v="798962058"/>
    <x v="0"/>
    <n v="1.0634780000000001E-3"/>
    <x v="0"/>
  </r>
  <r>
    <n v="55"/>
    <n v="1"/>
    <n v="2"/>
    <n v="2"/>
    <n v="1"/>
    <n v="0"/>
    <n v="0"/>
    <n v="50"/>
    <n v="3"/>
    <n v="2"/>
    <n v="0"/>
    <n v="10916"/>
    <n v="1536"/>
    <n v="9380"/>
    <n v="1.3169999999999999"/>
    <n v="1592"/>
    <n v="34"/>
    <n v="1"/>
    <n v="0.14099999999999999"/>
    <s v="4.1986e-05"/>
    <n v="0.99995999999999996"/>
    <s v="12.613345824058229"/>
    <s v="3.5463667491952178"/>
    <s v="88.89883201957001"/>
    <s v="16.943685985535094"/>
    <n v="818839983"/>
    <x v="0"/>
    <n v="1.0249399E-3"/>
    <x v="0"/>
  </r>
  <r>
    <n v="31"/>
    <n v="0"/>
    <n v="1"/>
    <n v="3"/>
    <n v="2"/>
    <n v="4"/>
    <n v="0"/>
    <n v="22"/>
    <n v="5"/>
    <n v="1"/>
    <n v="5"/>
    <n v="6662"/>
    <n v="0"/>
    <n v="6662"/>
    <n v="0.93400000000000005"/>
    <n v="3264"/>
    <n v="83"/>
    <n v="0.76600000000000001"/>
    <n v="0"/>
    <n v="2.4952999999999998E-4"/>
    <n v="0.99975000000000003"/>
    <n v="12.633689894924901"/>
    <n v="72.084815227053795"/>
    <s v="14.846057174176297"/>
    <s v="15.69662674284009"/>
    <n v="715206408"/>
    <x v="0"/>
    <n v="7.4699510000000001E-4"/>
    <x v="0"/>
  </r>
  <r>
    <n v="47"/>
    <n v="0"/>
    <n v="3"/>
    <n v="3"/>
    <n v="2"/>
    <n v="4"/>
    <n v="0"/>
    <n v="31"/>
    <n v="5"/>
    <n v="1"/>
    <n v="3"/>
    <n v="2317"/>
    <n v="0"/>
    <n v="2317"/>
    <n v="0.56999999999999995"/>
    <n v="4894"/>
    <n v="89"/>
    <n v="0.85399999999999998"/>
    <n v="0"/>
    <s v="9.3448e-05"/>
    <n v="0.99990999999999997"/>
    <s v="24.07884446180349"/>
    <s v="60.015358334102224"/>
    <s v="1.6165978351802088"/>
    <s v="19.71275942423453"/>
    <n v="817382958"/>
    <x v="0"/>
    <n v="6.9517245999999998E-4"/>
    <x v="0"/>
  </r>
  <r>
    <n v="28"/>
    <n v="1"/>
    <n v="0"/>
    <n v="3"/>
    <n v="1"/>
    <n v="5"/>
    <n v="0"/>
    <n v="21"/>
    <n v="5"/>
    <n v="3"/>
    <n v="5"/>
    <n v="25618"/>
    <n v="1209"/>
    <n v="24409"/>
    <n v="1.228"/>
    <n v="2157"/>
    <n v="49"/>
    <n v="1.8819999999999999"/>
    <n v="4.7E-2"/>
    <n v="7.4474000000000003E-4"/>
    <n v="0.99926000000000004"/>
    <s v="22.91101313252629"/>
    <s v="26.69156819256357"/>
    <s v="123.4155906987592"/>
    <s v="17.972851103386304"/>
    <n v="711929058"/>
    <x v="0"/>
    <n v="1.2207511E-3"/>
    <x v="0"/>
  </r>
  <r>
    <n v="39"/>
    <n v="1"/>
    <n v="1"/>
    <n v="6"/>
    <n v="0"/>
    <n v="3"/>
    <n v="0"/>
    <n v="34"/>
    <n v="6"/>
    <n v="1"/>
    <n v="3"/>
    <n v="3766"/>
    <n v="1049"/>
    <n v="2717"/>
    <n v="0.66600000000000004"/>
    <n v="1514"/>
    <n v="51"/>
    <n v="0.64500000000000002"/>
    <n v="0.27900000000000003"/>
    <s v="9.5577e-05"/>
    <n v="0.99990000000000001"/>
    <n v="29.2973809778718"/>
    <s v="7.036974830577425"/>
    <s v="22.703663084736046"/>
    <s v="12.696483212736856"/>
    <n v="709157133"/>
    <x v="0"/>
    <n v="8.7463145999999996E-4"/>
    <x v="0"/>
  </r>
  <r>
    <n v="56"/>
    <n v="0"/>
    <n v="1"/>
    <n v="5"/>
    <n v="1"/>
    <n v="4"/>
    <n v="0"/>
    <n v="47"/>
    <n v="6"/>
    <n v="1"/>
    <n v="2"/>
    <n v="3022"/>
    <n v="1627"/>
    <n v="1395"/>
    <n v="0.83499999999999996"/>
    <n v="4390"/>
    <n v="82"/>
    <n v="0.78300000000000003"/>
    <n v="0.53800000000000003"/>
    <s v="5.3155e-05"/>
    <n v="0.99995000000000001"/>
    <s v="19.91401236318189"/>
    <s v="1.1542897364131846"/>
    <s v="106.29885345227362"/>
    <s v="8.888298755345772"/>
    <n v="708367908"/>
    <x v="0"/>
    <n v="3.2101269999999999E-4"/>
    <x v="0"/>
  </r>
  <r>
    <n v="46"/>
    <n v="0"/>
    <n v="3"/>
    <n v="5"/>
    <n v="1"/>
    <n v="4"/>
    <n v="0"/>
    <n v="35"/>
    <n v="6"/>
    <n v="5"/>
    <n v="1"/>
    <n v="2069"/>
    <n v="1101"/>
    <n v="968"/>
    <n v="0.74099999999999999"/>
    <n v="7307"/>
    <n v="82"/>
    <n v="0.745"/>
    <n v="0.53200000000000003"/>
    <n v="1.2926999999999999E-4"/>
    <n v="0.99987000000000004"/>
    <s v="33.62955954932654"/>
    <s v="25.600343669192668"/>
    <s v="38.21371350013023"/>
    <s v="3.2256410689018638"/>
    <n v="711658758"/>
    <x v="0"/>
    <n v="3.6856539999999998E-4"/>
    <x v="0"/>
  </r>
  <r>
    <n v="61"/>
    <n v="1"/>
    <n v="0"/>
    <n v="4"/>
    <n v="2"/>
    <n v="1"/>
    <n v="3"/>
    <n v="42"/>
    <n v="4"/>
    <n v="3"/>
    <n v="2"/>
    <n v="15939"/>
    <n v="0"/>
    <n v="15939"/>
    <n v="0.79100000000000004"/>
    <n v="3982"/>
    <n v="68"/>
    <n v="0.94299999999999995"/>
    <n v="0"/>
    <n v="1.6411E-4"/>
    <n v="0.99983999999999995"/>
    <s v="9.204350736334298"/>
    <s v="48.502634964230886"/>
    <s v="113.7725056213238"/>
    <s v="13.276277509663554"/>
    <n v="719301258"/>
    <x v="0"/>
    <n v="7.4965424999999997E-4"/>
    <x v="0"/>
  </r>
  <r>
    <n v="54"/>
    <n v="0"/>
    <n v="4"/>
    <n v="0"/>
    <n v="1"/>
    <n v="4"/>
    <n v="0"/>
    <n v="41"/>
    <n v="1"/>
    <n v="5"/>
    <n v="2"/>
    <n v="2444"/>
    <n v="1313"/>
    <n v="1131"/>
    <n v="0.68899999999999995"/>
    <n v="4609"/>
    <n v="61"/>
    <n v="0.79400000000000004"/>
    <n v="0.53700000000000003"/>
    <n v="2.0484E-4"/>
    <n v="0.99980000000000002"/>
    <s v="47.26312287163776"/>
    <s v="3.539110101825424"/>
    <s v="40.623199790741474"/>
    <s v="2.203954329011572"/>
    <n v="771106458"/>
    <x v="0"/>
    <n v="3.479205E-4"/>
    <x v="0"/>
  </r>
  <r>
    <n v="34"/>
    <n v="0"/>
    <n v="3"/>
    <n v="5"/>
    <n v="1"/>
    <n v="1"/>
    <n v="0"/>
    <n v="28"/>
    <n v="5"/>
    <n v="1"/>
    <n v="3"/>
    <n v="2799"/>
    <n v="1762"/>
    <n v="1037"/>
    <n v="0.98599999999999999"/>
    <n v="1817"/>
    <n v="39"/>
    <n v="0.56000000000000005"/>
    <n v="0.63"/>
    <s v="9.8837e-05"/>
    <n v="0.99990000000000001"/>
    <s v="18.11122388693112"/>
    <n v="64.288661153382506"/>
    <s v="7.754900667615324"/>
    <s v="8.309136754641646"/>
    <n v="794340033"/>
    <x v="0"/>
    <n v="1.0598798E-3"/>
    <x v="0"/>
  </r>
  <r>
    <n v="56"/>
    <n v="0"/>
    <n v="3"/>
    <n v="2"/>
    <n v="2"/>
    <n v="5"/>
    <n v="0"/>
    <n v="36"/>
    <n v="3"/>
    <n v="3"/>
    <n v="3"/>
    <n v="10016"/>
    <n v="1872"/>
    <n v="8144"/>
    <n v="0.73499999999999999"/>
    <n v="2804"/>
    <n v="37"/>
    <n v="0.54200000000000004"/>
    <n v="0.187"/>
    <n v="0.99682999999999999"/>
    <n v="3.1745800000000002E-3"/>
    <s v="27.640899411197758"/>
    <n v="10.0586986300315"/>
    <s v="107.77418116501856"/>
    <s v="6.403475434997056"/>
    <n v="718090233"/>
    <x v="1"/>
    <n v="0.99515679999999995"/>
    <x v="1"/>
  </r>
  <r>
    <n v="37"/>
    <n v="1"/>
    <n v="1"/>
    <n v="2"/>
    <n v="1"/>
    <n v="3"/>
    <n v="0"/>
    <n v="21"/>
    <n v="6"/>
    <n v="2"/>
    <n v="0"/>
    <n v="5120"/>
    <n v="0"/>
    <n v="5120"/>
    <n v="0.86699999999999999"/>
    <n v="1680"/>
    <n v="32"/>
    <n v="0.77800000000000002"/>
    <n v="0"/>
    <s v="3.941e-05"/>
    <n v="0.99995999999999996"/>
    <s v="3.3924759160999027"/>
    <n v="66.631533429537896"/>
    <s v="44.69155425308168"/>
    <s v="6.708451110100803"/>
    <n v="779863533"/>
    <x v="0"/>
    <n v="3.7707960999999999E-3"/>
    <x v="0"/>
  </r>
  <r>
    <n v="47"/>
    <n v="1"/>
    <n v="4"/>
    <n v="5"/>
    <n v="3"/>
    <n v="1"/>
    <n v="0"/>
    <n v="36"/>
    <n v="6"/>
    <n v="3"/>
    <n v="2"/>
    <n v="3402"/>
    <n v="1607"/>
    <n v="1795"/>
    <n v="0.432"/>
    <n v="3188"/>
    <n v="65"/>
    <n v="0.66700000000000004"/>
    <n v="0.47199999999999998"/>
    <n v="1.9395999999999999E-4"/>
    <n v="0.99980999999999998"/>
    <s v="16.40161574902338"/>
    <s v="14.673977645813435"/>
    <s v="61.43057384602409"/>
    <s v="5.207729378246638"/>
    <n v="714732183"/>
    <x v="0"/>
    <n v="3.2890364000000001E-4"/>
    <x v="0"/>
  </r>
  <r>
    <n v="35"/>
    <n v="1"/>
    <n v="3"/>
    <n v="2"/>
    <n v="1"/>
    <n v="2"/>
    <n v="0"/>
    <n v="26"/>
    <n v="6"/>
    <n v="3"/>
    <n v="2"/>
    <n v="3991"/>
    <n v="1982"/>
    <n v="2009"/>
    <n v="0.748"/>
    <n v="1661"/>
    <n v="35"/>
    <n v="0.94399999999999995"/>
    <n v="0.497"/>
    <n v="1.8665000000000001E-4"/>
    <n v="0.99980999999999998"/>
    <s v="30.198474455985608"/>
    <s v="24.350603092334072"/>
    <s v="24.194931884953387"/>
    <s v="0.2073989489346726"/>
    <n v="717567333"/>
    <x v="0"/>
    <n v="9.8706899999999992E-4"/>
    <x v="0"/>
  </r>
  <r>
    <n v="37"/>
    <n v="1"/>
    <n v="2"/>
    <n v="5"/>
    <n v="0"/>
    <n v="3"/>
    <n v="0"/>
    <n v="36"/>
    <n v="3"/>
    <n v="3"/>
    <n v="2"/>
    <n v="2281"/>
    <n v="1677"/>
    <n v="604"/>
    <n v="1.0269999999999999"/>
    <n v="2735"/>
    <n v="58"/>
    <n v="1.071"/>
    <n v="0.73499999999999999"/>
    <n v="1.8494E-4"/>
    <n v="0.99982000000000004"/>
    <s v="13.45673283620876"/>
    <s v="22.140615388567937"/>
    <s v="49.58351863522492"/>
    <s v="15.466016385273363"/>
    <n v="714120258"/>
    <x v="0"/>
    <n v="4.2881382999999999E-4"/>
    <x v="0"/>
  </r>
  <r>
    <n v="55"/>
    <n v="1"/>
    <n v="2"/>
    <n v="6"/>
    <n v="1"/>
    <n v="3"/>
    <n v="0"/>
    <n v="46"/>
    <n v="4"/>
    <n v="1"/>
    <n v="1"/>
    <n v="10979"/>
    <n v="1889"/>
    <n v="9090"/>
    <n v="0.47499999999999998"/>
    <n v="1425"/>
    <n v="33"/>
    <n v="0.5"/>
    <n v="0.17199999999999999"/>
    <s v="3.6508e-05"/>
    <n v="0.99995999999999996"/>
    <s v="23.08537952806823"/>
    <n v="26.323709714644"/>
    <s v="40.40742942390908"/>
    <s v="4.819095123443059"/>
    <n v="716878533"/>
    <x v="0"/>
    <n v="1.1982243E-3"/>
    <x v="0"/>
  </r>
  <r>
    <n v="44"/>
    <n v="1"/>
    <n v="4"/>
    <n v="2"/>
    <n v="3"/>
    <n v="3"/>
    <n v="0"/>
    <n v="34"/>
    <n v="4"/>
    <n v="3"/>
    <n v="2"/>
    <n v="26856"/>
    <n v="0"/>
    <n v="26856"/>
    <n v="0.58099999999999996"/>
    <n v="4222"/>
    <n v="75"/>
    <n v="0.47099999999999997"/>
    <n v="0"/>
    <n v="1.8864000000000001E-4"/>
    <n v="0.99980999999999998"/>
    <s v="20.54032919793377"/>
    <s v="10.29705790338134"/>
    <s v="82.11087061274152"/>
    <s v="6.211381539659866"/>
    <n v="714436383"/>
    <x v="0"/>
    <n v="7.7293770000000004E-4"/>
    <x v="0"/>
  </r>
  <r>
    <n v="50"/>
    <n v="0"/>
    <n v="3"/>
    <n v="5"/>
    <n v="3"/>
    <n v="4"/>
    <n v="0"/>
    <n v="43"/>
    <n v="6"/>
    <n v="2"/>
    <n v="1"/>
    <n v="3199"/>
    <n v="2517"/>
    <n v="682"/>
    <n v="0.69899999999999995"/>
    <n v="4483"/>
    <n v="87"/>
    <n v="0.77600000000000002"/>
    <n v="0.78700000000000003"/>
    <s v="7.3235e-05"/>
    <n v="0.99992999999999999"/>
    <s v="50.821816716547474"/>
    <s v="10.125164119447073"/>
    <s v="19.39679957694641"/>
    <s v="2.0135992411830075"/>
    <n v="764211033"/>
    <x v="0"/>
    <n v="3.4692350000000002E-4"/>
    <x v="0"/>
  </r>
  <r>
    <n v="50"/>
    <n v="1"/>
    <n v="3"/>
    <n v="5"/>
    <n v="2"/>
    <n v="3"/>
    <n v="0"/>
    <n v="36"/>
    <n v="5"/>
    <n v="2"/>
    <n v="3"/>
    <n v="24742"/>
    <n v="1676"/>
    <n v="23066"/>
    <n v="0.56599999999999995"/>
    <n v="1306"/>
    <n v="31"/>
    <n v="0.55000000000000004"/>
    <n v="6.8000000000000005E-2"/>
    <n v="2.0424000000000001E-4"/>
    <n v="0.99980000000000002"/>
    <s v="13.60398170774525"/>
    <s v="14.613866694193192"/>
    <s v="91.55566404167496"/>
    <s v="9.205021266588584"/>
    <n v="715124958"/>
    <x v="0"/>
    <n v="1.1795807E-3"/>
    <x v="0"/>
  </r>
  <r>
    <n v="46"/>
    <n v="1"/>
    <n v="2"/>
    <n v="2"/>
    <n v="1"/>
    <n v="0"/>
    <n v="0"/>
    <n v="34"/>
    <n v="2"/>
    <n v="3"/>
    <n v="3"/>
    <n v="1754"/>
    <n v="894"/>
    <n v="860"/>
    <n v="0.69099999999999995"/>
    <n v="4874"/>
    <n v="79"/>
    <n v="0.83699999999999997"/>
    <n v="0.51"/>
    <n v="3.0250999999999998E-4"/>
    <n v="0.99970000000000003"/>
    <s v="6.868499666549635"/>
    <s v="58.81892170439706"/>
    <s v="75.27480840386255"/>
    <s v="5.132324648852617"/>
    <n v="719843958"/>
    <x v="0"/>
    <n v="4.2162873000000002E-4"/>
    <x v="0"/>
  </r>
  <r>
    <n v="50"/>
    <n v="1"/>
    <n v="2"/>
    <n v="0"/>
    <n v="2"/>
    <n v="3"/>
    <n v="0"/>
    <n v="44"/>
    <n v="5"/>
    <n v="2"/>
    <n v="4"/>
    <n v="3495"/>
    <n v="0"/>
    <n v="3495"/>
    <n v="0.63900000000000001"/>
    <n v="2131"/>
    <n v="41"/>
    <n v="0.46400000000000002"/>
    <n v="0"/>
    <n v="0.99685999999999997"/>
    <n v="3.1388000000000002E-3"/>
    <s v="35.372433886133784"/>
    <s v="5.617178499795816"/>
    <s v="108.01850258873372"/>
    <s v="1.6779485741356182"/>
    <n v="794707083"/>
    <x v="1"/>
    <n v="0.99837339999999997"/>
    <x v="1"/>
  </r>
  <r>
    <n v="55"/>
    <n v="0"/>
    <n v="4"/>
    <n v="2"/>
    <n v="1"/>
    <n v="1"/>
    <n v="0"/>
    <n v="41"/>
    <n v="4"/>
    <n v="3"/>
    <n v="3"/>
    <n v="3156"/>
    <n v="2517"/>
    <n v="639"/>
    <n v="1.516"/>
    <n v="2091"/>
    <n v="48"/>
    <n v="0.77800000000000002"/>
    <n v="0.79800000000000004"/>
    <n v="3.1725999999999998E-4"/>
    <n v="0.99968000000000001"/>
    <s v="12.512496239479283"/>
    <s v="16.275786542917217"/>
    <s v="68.13864053745961"/>
    <s v="12.154286238560168"/>
    <n v="712490283"/>
    <x v="0"/>
    <n v="1.1403767E-3"/>
    <x v="0"/>
  </r>
  <r>
    <n v="42"/>
    <n v="0"/>
    <n v="4"/>
    <n v="2"/>
    <n v="2"/>
    <n v="4"/>
    <n v="0"/>
    <n v="34"/>
    <n v="3"/>
    <n v="2"/>
    <n v="3"/>
    <n v="1853"/>
    <n v="0"/>
    <n v="1853"/>
    <n v="0.84599999999999997"/>
    <n v="4544"/>
    <n v="72"/>
    <n v="0.56499999999999995"/>
    <n v="0"/>
    <n v="2.0076999999999999E-4"/>
    <n v="0.99980000000000002"/>
    <s v="17.70583421358466"/>
    <s v="36.92447530934969"/>
    <s v="13.735058832934552"/>
    <s v="14.85163464436988"/>
    <n v="709610283"/>
    <x v="0"/>
    <n v="7.387203E-4"/>
    <x v="0"/>
  </r>
  <r>
    <n v="50"/>
    <n v="1"/>
    <n v="1"/>
    <n v="0"/>
    <n v="1"/>
    <n v="3"/>
    <n v="0"/>
    <n v="36"/>
    <n v="5"/>
    <n v="2"/>
    <n v="3"/>
    <n v="2418"/>
    <n v="1720"/>
    <n v="698"/>
    <n v="1.0189999999999999"/>
    <n v="3896"/>
    <n v="58"/>
    <n v="0.81200000000000006"/>
    <n v="0.71099999999999997"/>
    <n v="1.7469999999999999E-4"/>
    <n v="0.99983"/>
    <s v="15.562320552572668"/>
    <s v="5.655961379225571"/>
    <s v="38.17891055084704"/>
    <s v="13.97205112758403"/>
    <n v="711342483"/>
    <x v="0"/>
    <n v="3.838057E-4"/>
    <x v="0"/>
  </r>
  <r>
    <n v="42"/>
    <n v="1"/>
    <n v="2"/>
    <n v="2"/>
    <n v="0"/>
    <n v="3"/>
    <n v="0"/>
    <n v="35"/>
    <n v="5"/>
    <n v="3"/>
    <n v="1"/>
    <n v="6779"/>
    <n v="1359"/>
    <n v="5420"/>
    <n v="0.73699999999999999"/>
    <n v="3434"/>
    <n v="65"/>
    <n v="0.51200000000000001"/>
    <n v="0.2"/>
    <n v="1.0848E-4"/>
    <n v="0.99988999999999995"/>
    <s v="0.6070984622931079"/>
    <n v="12.204786124940901"/>
    <s v="17.090987552861936"/>
    <s v="2.448638252072453"/>
    <n v="719266158"/>
    <x v="0"/>
    <n v="3.5285820000000002E-4"/>
    <x v="0"/>
  </r>
  <r>
    <n v="46"/>
    <n v="1"/>
    <n v="3"/>
    <n v="3"/>
    <n v="0"/>
    <n v="0"/>
    <n v="0"/>
    <n v="37"/>
    <n v="5"/>
    <n v="3"/>
    <n v="4"/>
    <n v="6457"/>
    <n v="0"/>
    <n v="6457"/>
    <n v="0.53100000000000003"/>
    <n v="4487"/>
    <n v="73"/>
    <n v="0.43099999999999999"/>
    <n v="0"/>
    <n v="5.2052000000000001E-4"/>
    <n v="0.99948000000000004"/>
    <s v="34.88412233356441"/>
    <s v="58.68439231475545"/>
    <s v="82.74728273052462"/>
    <n v="10.6372071730923"/>
    <n v="720686583"/>
    <x v="0"/>
    <n v="7.7293770000000004E-4"/>
    <x v="0"/>
  </r>
  <r>
    <n v="48"/>
    <n v="0"/>
    <n v="3"/>
    <n v="6"/>
    <n v="1"/>
    <n v="4"/>
    <n v="0"/>
    <n v="36"/>
    <n v="3"/>
    <n v="1"/>
    <n v="4"/>
    <n v="6197"/>
    <n v="1219"/>
    <n v="4978"/>
    <n v="0.55200000000000005"/>
    <n v="3825"/>
    <n v="67"/>
    <n v="0.67500000000000004"/>
    <n v="0.19700000000000001"/>
    <n v="1.8024999999999999E-4"/>
    <n v="0.99982000000000004"/>
    <s v="50.616711644321214"/>
    <s v="40.24148293093854"/>
    <s v="104.4367394469218"/>
    <s v="2.639542513818965"/>
    <n v="714744783"/>
    <x v="0"/>
    <n v="3.2101269999999999E-4"/>
    <x v="0"/>
  </r>
  <r>
    <n v="43"/>
    <n v="0"/>
    <n v="3"/>
    <n v="6"/>
    <n v="0"/>
    <n v="5"/>
    <n v="0"/>
    <n v="37"/>
    <n v="3"/>
    <n v="6"/>
    <n v="3"/>
    <n v="9051"/>
    <n v="1557"/>
    <n v="7494"/>
    <n v="0.621"/>
    <n v="4169"/>
    <n v="72"/>
    <n v="0.5"/>
    <n v="0.17199999999999999"/>
    <n v="2.7238000000000002E-4"/>
    <n v="0.99973000000000001"/>
    <s v="16.532155705773537"/>
    <s v="27.52684830008516"/>
    <s v="10.337462324003594"/>
    <s v="5.6037983128736215"/>
    <n v="716346183"/>
    <x v="0"/>
    <n v="3.5747702000000001E-4"/>
    <x v="0"/>
  </r>
  <r>
    <n v="50"/>
    <n v="0"/>
    <n v="1"/>
    <n v="6"/>
    <n v="1"/>
    <n v="1"/>
    <n v="0"/>
    <n v="40"/>
    <n v="6"/>
    <n v="2"/>
    <n v="2"/>
    <n v="2661"/>
    <n v="1575"/>
    <n v="1086"/>
    <n v="0.73499999999999999"/>
    <n v="4615"/>
    <n v="82"/>
    <n v="0.70799999999999996"/>
    <n v="0.59199999999999997"/>
    <n v="1.1743000000000001E-4"/>
    <n v="0.99987999999999999"/>
    <s v="23.251664982372034"/>
    <s v="64.34514177649132"/>
    <s v="26.85118168350008"/>
    <n v="6.2507742944593101"/>
    <n v="711740508"/>
    <x v="0"/>
    <n v="3.2101269999999999E-4"/>
    <x v="0"/>
  </r>
  <r>
    <n v="47"/>
    <n v="1"/>
    <n v="3"/>
    <n v="2"/>
    <n v="3"/>
    <n v="0"/>
    <n v="0"/>
    <n v="36"/>
    <n v="3"/>
    <n v="2"/>
    <n v="3"/>
    <n v="9397"/>
    <n v="795"/>
    <n v="8602"/>
    <n v="0.749"/>
    <n v="5265"/>
    <n v="98"/>
    <n v="0.58099999999999996"/>
    <n v="8.5000000000000006E-2"/>
    <n v="1.9864000000000001E-4"/>
    <n v="0.99980000000000002"/>
    <s v="20.147445993408837"/>
    <s v="7.339615278851811"/>
    <s v="43.38422505099077"/>
    <s v="0.1114288484904676"/>
    <n v="718202658"/>
    <x v="0"/>
    <n v="6.0103455000000004E-4"/>
    <x v="0"/>
  </r>
  <r>
    <n v="44"/>
    <n v="1"/>
    <n v="4"/>
    <n v="0"/>
    <n v="2"/>
    <n v="2"/>
    <n v="0"/>
    <n v="38"/>
    <n v="6"/>
    <n v="3"/>
    <n v="3"/>
    <n v="5005"/>
    <n v="969"/>
    <n v="4036"/>
    <n v="0.72699999999999998"/>
    <n v="5066"/>
    <n v="71"/>
    <n v="0.82099999999999995"/>
    <n v="0.19400000000000001"/>
    <n v="3.0844999999999999E-4"/>
    <n v="0.99968999999999997"/>
    <s v="41.676030339270056"/>
    <s v="6.2547938110109005"/>
    <s v="38.98869360701205"/>
    <n v="1.84060316691667"/>
    <n v="767802483"/>
    <x v="0"/>
    <n v="3.8272605000000003E-4"/>
    <x v="0"/>
  </r>
  <r>
    <n v="36"/>
    <n v="1"/>
    <n v="2"/>
    <n v="2"/>
    <n v="1"/>
    <n v="2"/>
    <n v="0"/>
    <n v="36"/>
    <n v="3"/>
    <n v="1"/>
    <n v="4"/>
    <n v="5550"/>
    <n v="1518"/>
    <n v="4032"/>
    <n v="1.1819999999999999"/>
    <n v="2540"/>
    <n v="62"/>
    <n v="0.77100000000000002"/>
    <n v="0.27400000000000002"/>
    <n v="1.5804E-4"/>
    <n v="0.99983999999999995"/>
    <s v="12.445463083783013"/>
    <s v="35.40122670233104"/>
    <s v="39.391235527227686"/>
    <s v="11.779004847284156"/>
    <n v="717066408"/>
    <x v="0"/>
    <n v="4.1202833999999999E-4"/>
    <x v="0"/>
  </r>
  <r>
    <n v="54"/>
    <n v="1"/>
    <n v="2"/>
    <n v="2"/>
    <n v="2"/>
    <n v="2"/>
    <n v="0"/>
    <n v="36"/>
    <n v="5"/>
    <n v="3"/>
    <n v="1"/>
    <n v="12815"/>
    <n v="1017"/>
    <n v="11798"/>
    <n v="0.53200000000000003"/>
    <n v="3771"/>
    <n v="78"/>
    <n v="0.66"/>
    <n v="7.9000000000000001E-2"/>
    <n v="1.0848E-4"/>
    <n v="0.99988999999999995"/>
    <s v="10.956935191210103"/>
    <s v="6.357340966580896"/>
    <s v="9.763439085168034"/>
    <s v="17.991942165437536"/>
    <n v="719732433"/>
    <x v="0"/>
    <n v="3.3885973999999997E-4"/>
    <x v="0"/>
  </r>
  <r>
    <n v="54"/>
    <n v="1"/>
    <n v="3"/>
    <n v="3"/>
    <n v="1"/>
    <n v="3"/>
    <n v="0"/>
    <n v="48"/>
    <n v="3"/>
    <n v="4"/>
    <n v="3"/>
    <n v="3288"/>
    <n v="2517"/>
    <n v="771"/>
    <n v="0.84"/>
    <n v="2717"/>
    <n v="46"/>
    <n v="0.438"/>
    <n v="0.76600000000000001"/>
    <n v="0.99729999999999996"/>
    <n v="2.7033199999999999E-3"/>
    <s v="52.77022252256352"/>
    <s v="23.60740914217815"/>
    <s v="115.89038940121544"/>
    <n v="5.0338905578544599"/>
    <n v="768243858"/>
    <x v="1"/>
    <n v="0.99582990000000005"/>
    <x v="1"/>
  </r>
  <r>
    <n v="36"/>
    <n v="0"/>
    <n v="5"/>
    <n v="3"/>
    <n v="1"/>
    <n v="4"/>
    <n v="0"/>
    <n v="17"/>
    <n v="3"/>
    <n v="1"/>
    <n v="3"/>
    <n v="1438.3"/>
    <n v="0"/>
    <n v="1438.3"/>
    <n v="1.028"/>
    <n v="1975"/>
    <n v="40"/>
    <n v="0.6"/>
    <n v="0"/>
    <s v="9.2974e-05"/>
    <n v="0.99990999999999997"/>
    <s v="10.283403366286157"/>
    <s v="14.675661725767291"/>
    <s v="86.81959764223134"/>
    <s v="13.394331752529563"/>
    <n v="778855383"/>
    <x v="0"/>
    <n v="4.2767283000000001E-3"/>
    <x v="0"/>
  </r>
  <r>
    <n v="63"/>
    <n v="1"/>
    <n v="2"/>
    <n v="2"/>
    <n v="1"/>
    <n v="2"/>
    <n v="0"/>
    <n v="49"/>
    <n v="5"/>
    <n v="2"/>
    <n v="3"/>
    <n v="14035"/>
    <n v="2061"/>
    <n v="11974"/>
    <n v="2.2709999999999999"/>
    <n v="1606"/>
    <n v="30"/>
    <n v="1.5"/>
    <n v="0.14699999999999999"/>
    <n v="1.9143E-4"/>
    <n v="0.99980999999999998"/>
    <s v="32.03207605495344"/>
    <s v="10.39213975638742"/>
    <s v="119.91970531135183"/>
    <s v="14.086926800328197"/>
    <n v="708217758"/>
    <x v="0"/>
    <n v="9.8706899999999992E-4"/>
    <x v="0"/>
  </r>
  <r>
    <n v="56"/>
    <n v="0"/>
    <n v="4"/>
    <n v="2"/>
    <n v="2"/>
    <n v="5"/>
    <n v="0"/>
    <n v="45"/>
    <n v="2"/>
    <n v="2"/>
    <n v="3"/>
    <n v="9091"/>
    <n v="1306"/>
    <n v="7785"/>
    <n v="0.74299999999999999"/>
    <n v="4378"/>
    <n v="86"/>
    <n v="0.65400000000000003"/>
    <n v="0.14399999999999999"/>
    <n v="2.0076999999999999E-4"/>
    <n v="0.99980000000000002"/>
    <s v="63.30141820438335"/>
    <s v="15.196130751988129"/>
    <s v="18.13580296044888"/>
    <s v="7.792831557050285"/>
    <n v="789228108"/>
    <x v="0"/>
    <n v="3.2101269999999999E-4"/>
    <x v="0"/>
  </r>
  <r>
    <n v="44"/>
    <n v="1"/>
    <n v="3"/>
    <n v="5"/>
    <n v="0"/>
    <n v="3"/>
    <n v="0"/>
    <n v="13"/>
    <n v="4"/>
    <n v="2"/>
    <n v="3"/>
    <n v="17846"/>
    <n v="1568"/>
    <n v="16278"/>
    <n v="1.0640000000000001"/>
    <n v="3626"/>
    <n v="77"/>
    <n v="0.878"/>
    <n v="8.7999999999999995E-2"/>
    <n v="2.0424000000000001E-4"/>
    <n v="0.99980000000000002"/>
    <s v="19.016422940253427"/>
    <n v="43.309822619903002"/>
    <s v="68.42028163266528"/>
    <n v="3.5476359692372901"/>
    <n v="710182383"/>
    <x v="0"/>
    <n v="3.4719318999999998E-4"/>
    <x v="0"/>
  </r>
  <r>
    <n v="38"/>
    <n v="0"/>
    <n v="2"/>
    <n v="3"/>
    <n v="2"/>
    <n v="1"/>
    <n v="0"/>
    <n v="25"/>
    <n v="6"/>
    <n v="2"/>
    <n v="3"/>
    <n v="1438.3"/>
    <n v="0"/>
    <n v="1438.3"/>
    <n v="0.78300000000000003"/>
    <n v="3990"/>
    <n v="75"/>
    <n v="0.59599999999999997"/>
    <n v="0"/>
    <n v="1.861E-4"/>
    <n v="0.99980999999999998"/>
    <s v="23.883093166799387"/>
    <s v="6.642028766184227"/>
    <s v="15.497697527938104"/>
    <s v="16.41412401365119"/>
    <n v="709276908"/>
    <x v="0"/>
    <n v="7.387203E-4"/>
    <x v="0"/>
  </r>
  <r>
    <n v="52"/>
    <n v="1"/>
    <n v="3"/>
    <n v="2"/>
    <n v="2"/>
    <n v="2"/>
    <n v="0"/>
    <n v="46"/>
    <n v="4"/>
    <n v="2"/>
    <n v="2"/>
    <n v="9357"/>
    <n v="1285"/>
    <n v="8072"/>
    <n v="0.69399999999999995"/>
    <n v="4173"/>
    <n v="77"/>
    <n v="0.71099999999999997"/>
    <n v="0.13700000000000001"/>
    <n v="1.1811000000000001E-4"/>
    <n v="0.99987999999999999"/>
    <s v="3.715419627406499"/>
    <s v="5.520941004151669"/>
    <s v="62.38018356645686"/>
    <s v="24.917522987692667"/>
    <n v="711148308"/>
    <x v="0"/>
    <n v="3.2101269999999999E-4"/>
    <x v="0"/>
  </r>
  <r>
    <n v="47"/>
    <n v="1"/>
    <n v="1"/>
    <n v="5"/>
    <n v="1"/>
    <n v="1"/>
    <n v="0"/>
    <n v="36"/>
    <n v="3"/>
    <n v="2"/>
    <n v="3"/>
    <n v="8168"/>
    <n v="2137"/>
    <n v="6031"/>
    <n v="0.65900000000000003"/>
    <n v="3554"/>
    <n v="82"/>
    <n v="0.82199999999999995"/>
    <n v="0.26200000000000001"/>
    <n v="1.8474999999999999E-4"/>
    <n v="0.99982000000000004"/>
    <s v="61.96847998799612"/>
    <s v="3.712928693864925"/>
    <s v="31.714835643783136"/>
    <s v="28.118725265286653"/>
    <n v="717949983"/>
    <x v="0"/>
    <n v="3.2101269999999999E-4"/>
    <x v="0"/>
  </r>
  <r>
    <n v="46"/>
    <n v="1"/>
    <n v="2"/>
    <n v="2"/>
    <n v="3"/>
    <n v="0"/>
    <n v="0"/>
    <n v="34"/>
    <n v="1"/>
    <n v="3"/>
    <n v="2"/>
    <n v="24431"/>
    <n v="892"/>
    <n v="23539"/>
    <n v="0.41699999999999998"/>
    <n v="3457"/>
    <n v="66"/>
    <n v="0.57099999999999995"/>
    <n v="3.6999999999999998E-2"/>
    <n v="1.7987E-4"/>
    <n v="0.99982000000000004"/>
    <s v="22.355271157042974"/>
    <s v="12.515633990824528"/>
    <n v="9.19006178521499"/>
    <s v="13.073096951672094"/>
    <n v="712615008"/>
    <x v="0"/>
    <n v="4.8115943000000001E-4"/>
    <x v="0"/>
  </r>
  <r>
    <n v="64"/>
    <n v="1"/>
    <n v="0"/>
    <n v="6"/>
    <n v="1"/>
    <n v="4"/>
    <n v="0"/>
    <n v="51"/>
    <n v="3"/>
    <n v="3"/>
    <n v="4"/>
    <n v="2787"/>
    <n v="1201"/>
    <n v="1586"/>
    <n v="0.372"/>
    <n v="1662"/>
    <n v="39"/>
    <n v="0.625"/>
    <n v="0.43099999999999999"/>
    <n v="4.8673E-4"/>
    <n v="0.99951000000000001"/>
    <s v="8.756754793891842"/>
    <s v="45.43164651970262"/>
    <n v="71.227018155988702"/>
    <s v="22.846330983980124"/>
    <n v="721385433"/>
    <x v="0"/>
    <n v="1.0903810999999999E-3"/>
    <x v="0"/>
  </r>
  <r>
    <n v="35"/>
    <n v="0"/>
    <n v="3"/>
    <n v="6"/>
    <n v="2"/>
    <n v="4"/>
    <n v="0"/>
    <n v="17"/>
    <n v="6"/>
    <n v="1"/>
    <n v="1"/>
    <n v="2956"/>
    <n v="1823"/>
    <n v="1133"/>
    <n v="0.96899999999999997"/>
    <n v="2144"/>
    <n v="58"/>
    <n v="0.81200000000000006"/>
    <n v="0.61699999999999999"/>
    <s v="3.7884e-05"/>
    <n v="0.99995999999999996"/>
    <s v="57.08164430314325"/>
    <s v="11.093934955514875"/>
    <n v="69.098168941047206"/>
    <s v="13.704284868368145"/>
    <n v="779474958"/>
    <x v="0"/>
    <n v="4.7167180000000001E-4"/>
    <x v="0"/>
  </r>
  <r>
    <n v="63"/>
    <n v="0"/>
    <n v="0"/>
    <n v="3"/>
    <n v="1"/>
    <n v="4"/>
    <n v="0"/>
    <n v="53"/>
    <n v="5"/>
    <n v="3"/>
    <n v="2"/>
    <n v="2271"/>
    <n v="1278"/>
    <n v="993"/>
    <n v="0.375"/>
    <n v="1550"/>
    <n v="33"/>
    <n v="0.65"/>
    <n v="0.56299999999999994"/>
    <n v="1.5004999999999999E-4"/>
    <n v="0.99985000000000002"/>
    <s v="11.91164422057599"/>
    <s v="67.14552677400813"/>
    <s v="37.28399436417424"/>
    <s v="7.071668808674557"/>
    <n v="719961183"/>
    <x v="0"/>
    <n v="1.0337284E-3"/>
    <x v="0"/>
  </r>
  <r>
    <n v="41"/>
    <n v="0"/>
    <n v="2"/>
    <n v="0"/>
    <n v="1"/>
    <n v="4"/>
    <n v="0"/>
    <n v="36"/>
    <n v="5"/>
    <n v="5"/>
    <n v="1"/>
    <n v="1438.3"/>
    <n v="0"/>
    <n v="1438.3"/>
    <n v="0.68600000000000005"/>
    <n v="4565"/>
    <n v="84"/>
    <n v="0.71399999999999997"/>
    <n v="0"/>
    <n v="1.1779E-4"/>
    <n v="0.99987999999999999"/>
    <s v="3.290397645757181"/>
    <s v="22.42461739950087"/>
    <s v="83.53270725082687"/>
    <s v="5.465023917382466"/>
    <n v="715212108"/>
    <x v="0"/>
    <n v="6.9517245999999998E-4"/>
    <x v="0"/>
  </r>
  <r>
    <n v="35"/>
    <n v="1"/>
    <n v="2"/>
    <n v="3"/>
    <n v="1"/>
    <n v="3"/>
    <n v="0"/>
    <n v="22"/>
    <n v="3"/>
    <n v="1"/>
    <n v="4"/>
    <n v="3023"/>
    <n v="1435"/>
    <n v="1588"/>
    <n v="0.62"/>
    <n v="1920"/>
    <n v="34"/>
    <n v="0.61899999999999999"/>
    <n v="0.47499999999999998"/>
    <n v="1.5363E-4"/>
    <n v="0.99985000000000002"/>
    <s v="9.467503635662547"/>
    <s v="11.897065054227914"/>
    <s v="17.155533202094514"/>
    <s v="20.35540942424728"/>
    <n v="709735008"/>
    <x v="0"/>
    <n v="1.2079212999999999E-3"/>
    <x v="0"/>
  </r>
  <r>
    <n v="50"/>
    <n v="0"/>
    <n v="3"/>
    <n v="2"/>
    <n v="2"/>
    <n v="4"/>
    <n v="0"/>
    <n v="40"/>
    <n v="3"/>
    <n v="3"/>
    <n v="1"/>
    <n v="1848"/>
    <n v="501"/>
    <n v="1347"/>
    <n v="0.65300000000000002"/>
    <n v="4600"/>
    <n v="69"/>
    <n v="0.68300000000000005"/>
    <n v="0.27100000000000002"/>
    <n v="1.1256000000000001E-4"/>
    <n v="0.99988999999999995"/>
    <s v="41.72185067872782"/>
    <s v="7.484362655600443"/>
    <s v="47.401026222870655"/>
    <s v="16.52482749627642"/>
    <n v="720656883"/>
    <x v="0"/>
    <n v="6.7355180000000005E-4"/>
    <x v="0"/>
  </r>
  <r>
    <n v="64"/>
    <n v="0"/>
    <n v="0"/>
    <n v="5"/>
    <n v="1"/>
    <n v="5"/>
    <n v="0"/>
    <n v="54"/>
    <n v="6"/>
    <n v="1"/>
    <n v="2"/>
    <n v="3250"/>
    <n v="1992"/>
    <n v="1258"/>
    <n v="0.71499999999999997"/>
    <n v="1355"/>
    <n v="36"/>
    <n v="0.56499999999999995"/>
    <n v="0.61299999999999999"/>
    <s v="4.8595e-05"/>
    <n v="0.99995000000000001"/>
    <s v="22.889382494667014"/>
    <s v="3.1709941990465897"/>
    <s v="40.29950868878324"/>
    <s v="1.9959361876450823"/>
    <n v="708162558"/>
    <x v="0"/>
    <n v="1.0598798E-3"/>
    <x v="0"/>
  </r>
  <r>
    <n v="52"/>
    <n v="0"/>
    <n v="3"/>
    <n v="5"/>
    <n v="0"/>
    <n v="4"/>
    <n v="0"/>
    <n v="36"/>
    <n v="3"/>
    <n v="1"/>
    <n v="2"/>
    <n v="1986"/>
    <n v="1411"/>
    <n v="575"/>
    <n v="0.79900000000000004"/>
    <n v="7249"/>
    <n v="86"/>
    <n v="0.50900000000000001"/>
    <n v="0.71"/>
    <s v="5.8763e-05"/>
    <n v="0.99994000000000005"/>
    <s v="2.893140342597264"/>
    <s v="11.386538269389126"/>
    <s v="18.08121098329324"/>
    <s v="1.0943827435439968"/>
    <n v="718530258"/>
    <x v="0"/>
    <n v="3.7789578000000003E-4"/>
    <x v="0"/>
  </r>
  <r>
    <n v="40"/>
    <n v="1"/>
    <n v="2"/>
    <n v="2"/>
    <n v="1"/>
    <n v="0"/>
    <n v="0"/>
    <n v="33"/>
    <n v="6"/>
    <n v="4"/>
    <n v="1"/>
    <n v="14713"/>
    <n v="905"/>
    <n v="13808"/>
    <n v="0.81699999999999995"/>
    <n v="4125"/>
    <n v="82"/>
    <n v="0.82199999999999995"/>
    <n v="6.2E-2"/>
    <n v="1.3109999999999999E-4"/>
    <n v="0.99987000000000004"/>
    <s v="3.1276140906397605"/>
    <s v="62.11254926815117"/>
    <s v="54.42832898754146"/>
    <s v="1.3155038865613615"/>
    <n v="717516333"/>
    <x v="0"/>
    <n v="4.5621609999999999E-4"/>
    <x v="0"/>
  </r>
  <r>
    <n v="29"/>
    <n v="1"/>
    <n v="2"/>
    <n v="2"/>
    <n v="0"/>
    <n v="4"/>
    <n v="0"/>
    <n v="20"/>
    <n v="4"/>
    <n v="1"/>
    <n v="2"/>
    <n v="2462"/>
    <n v="2021"/>
    <n v="441"/>
    <n v="0.96599999999999997"/>
    <n v="2320"/>
    <n v="57"/>
    <n v="0.67600000000000005"/>
    <n v="0.82099999999999995"/>
    <s v="5.5077e-05"/>
    <n v="0.99994000000000005"/>
    <s v="8.294645222757678"/>
    <s v="50.22135800267253"/>
    <s v="38.85277338028301"/>
    <s v="21.038701923294667"/>
    <n v="709858533"/>
    <x v="0"/>
    <n v="5.4921950000000005E-4"/>
    <x v="0"/>
  </r>
  <r>
    <n v="42"/>
    <n v="1"/>
    <n v="2"/>
    <n v="6"/>
    <n v="2"/>
    <n v="3"/>
    <n v="0"/>
    <n v="30"/>
    <n v="4"/>
    <n v="2"/>
    <n v="1"/>
    <n v="29195"/>
    <n v="892"/>
    <n v="28303"/>
    <n v="0.56499999999999995"/>
    <n v="4411"/>
    <n v="67"/>
    <n v="0.76300000000000001"/>
    <n v="3.1E-2"/>
    <s v="7.5449e-05"/>
    <n v="0.99992000000000003"/>
    <s v="14.12078434857671"/>
    <s v="12.607012859068448"/>
    <s v="64.98651955415829"/>
    <n v="0.36889133766847398"/>
    <n v="721332033"/>
    <x v="0"/>
    <n v="4.6928057999999999E-4"/>
    <x v="0"/>
  </r>
  <r>
    <n v="41"/>
    <n v="0"/>
    <n v="3"/>
    <n v="6"/>
    <n v="2"/>
    <n v="4"/>
    <n v="0"/>
    <n v="29"/>
    <n v="4"/>
    <n v="2"/>
    <n v="3"/>
    <n v="1966"/>
    <n v="1452"/>
    <n v="514"/>
    <n v="0.621"/>
    <n v="4666"/>
    <n v="74"/>
    <n v="0.68200000000000005"/>
    <n v="0.73899999999999999"/>
    <n v="2.1834E-4"/>
    <n v="0.99978"/>
    <n v="32.429016903255302"/>
    <s v="23.509365989706765"/>
    <s v="124.29086924708564"/>
    <s v="10.606083793563828"/>
    <n v="711453783"/>
    <x v="0"/>
    <n v="3.2101269999999999E-4"/>
    <x v="0"/>
  </r>
  <r>
    <n v="33"/>
    <n v="0"/>
    <n v="3"/>
    <n v="5"/>
    <n v="2"/>
    <n v="4"/>
    <n v="0"/>
    <n v="13"/>
    <n v="5"/>
    <n v="3"/>
    <n v="3"/>
    <n v="1630"/>
    <n v="1008"/>
    <n v="622"/>
    <n v="0.69499999999999995"/>
    <n v="4143"/>
    <n v="67"/>
    <n v="0.59499999999999997"/>
    <n v="0.61799999999999999"/>
    <n v="3.2275000000000001E-4"/>
    <n v="0.99968000000000001"/>
    <s v="4.215964956142656"/>
    <s v="37.30892983694815"/>
    <s v="51.40764217408067"/>
    <s v="5.647671599217882"/>
    <n v="778671483"/>
    <x v="0"/>
    <n v="3.2914013999999999E-4"/>
    <x v="0"/>
  </r>
  <r>
    <n v="33"/>
    <n v="1"/>
    <n v="2"/>
    <n v="0"/>
    <n v="2"/>
    <n v="3"/>
    <n v="0"/>
    <n v="36"/>
    <n v="4"/>
    <n v="3"/>
    <n v="2"/>
    <n v="9642"/>
    <n v="1431"/>
    <n v="8211"/>
    <n v="0.56100000000000005"/>
    <n v="2172"/>
    <n v="33"/>
    <n v="0.57099999999999995"/>
    <n v="0.14799999999999999"/>
    <n v="0.99431999999999998"/>
    <n v="5.6800000000000002E-3"/>
    <s v="31.59231607110191"/>
    <s v="12.666443970002934"/>
    <s v="51.83433692901463"/>
    <s v="4.560996736687723"/>
    <n v="714014733"/>
    <x v="1"/>
    <n v="0.99517619999999996"/>
    <x v="1"/>
  </r>
  <r>
    <n v="40"/>
    <n v="1"/>
    <n v="4"/>
    <n v="2"/>
    <n v="2"/>
    <n v="2"/>
    <n v="0"/>
    <n v="36"/>
    <n v="3"/>
    <n v="2"/>
    <n v="2"/>
    <n v="8529"/>
    <n v="901"/>
    <n v="7628"/>
    <n v="0.76400000000000001"/>
    <n v="4252"/>
    <n v="68"/>
    <n v="0.51100000000000001"/>
    <n v="0.106"/>
    <n v="1.1937E-4"/>
    <n v="0.99987999999999999"/>
    <s v="7.754177188198622"/>
    <s v="26.91465413314827"/>
    <s v="13.583246971770944"/>
    <n v="4.1101013298212399"/>
    <n v="718034058"/>
    <x v="0"/>
    <n v="4.3973957999999999E-4"/>
    <x v="0"/>
  </r>
  <r>
    <n v="39"/>
    <n v="0"/>
    <n v="2"/>
    <n v="1"/>
    <n v="1"/>
    <n v="1"/>
    <n v="0"/>
    <n v="29"/>
    <n v="5"/>
    <n v="2"/>
    <n v="3"/>
    <n v="1693"/>
    <n v="1101"/>
    <n v="592"/>
    <n v="0.77800000000000002"/>
    <n v="4203"/>
    <n v="87"/>
    <n v="0.85099999999999998"/>
    <n v="0.65"/>
    <n v="2.7701000000000001E-4"/>
    <n v="0.99972000000000005"/>
    <s v="39.75757429338773"/>
    <n v="49.2275057877983"/>
    <s v="85.51607638048714"/>
    <s v="10.642429738577697"/>
    <n v="718689258"/>
    <x v="0"/>
    <n v="3.2101269999999999E-4"/>
    <x v="0"/>
  </r>
  <r>
    <n v="57"/>
    <n v="1"/>
    <n v="2"/>
    <n v="2"/>
    <n v="1"/>
    <n v="3"/>
    <n v="0"/>
    <n v="36"/>
    <n v="6"/>
    <n v="3"/>
    <n v="3"/>
    <n v="6248"/>
    <n v="1493"/>
    <n v="4755"/>
    <n v="0.59699999999999998"/>
    <n v="4664"/>
    <n v="60"/>
    <n v="0.57899999999999996"/>
    <n v="0.23899999999999999"/>
    <n v="3.0250999999999998E-4"/>
    <n v="0.99970000000000003"/>
    <s v="82.45171650776565"/>
    <s v="16.082775049591994"/>
    <n v="67.211901697779297"/>
    <s v="11.839773596629117"/>
    <n v="715031433"/>
    <x v="0"/>
    <n v="3.7165708000000002E-4"/>
    <x v="0"/>
  </r>
  <r>
    <n v="65"/>
    <n v="1"/>
    <n v="1"/>
    <n v="1"/>
    <n v="2"/>
    <n v="1"/>
    <n v="0"/>
    <n v="56"/>
    <n v="5"/>
    <n v="2"/>
    <n v="2"/>
    <n v="1456"/>
    <n v="867"/>
    <n v="589"/>
    <n v="0.72499999999999998"/>
    <n v="3953"/>
    <n v="69"/>
    <n v="0.72499999999999998"/>
    <n v="0.59499999999999997"/>
    <n v="1.5459999999999999E-4"/>
    <n v="0.99985000000000002"/>
    <s v="5.115240801168741"/>
    <s v="32.37024249264302"/>
    <s v="37.044920010851015"/>
    <s v="17.551947726500156"/>
    <n v="814219008"/>
    <x v="0"/>
    <n v="4.3298570000000001E-4"/>
    <x v="0"/>
  </r>
  <r>
    <n v="64"/>
    <n v="1"/>
    <n v="1"/>
    <n v="6"/>
    <n v="1"/>
    <n v="4"/>
    <n v="0"/>
    <n v="55"/>
    <n v="4"/>
    <n v="3"/>
    <n v="4"/>
    <n v="2720"/>
    <n v="1904"/>
    <n v="816"/>
    <n v="0.63400000000000001"/>
    <n v="1613"/>
    <n v="43"/>
    <n v="0.34399999999999997"/>
    <n v="0.7"/>
    <n v="5.3237E-4"/>
    <n v="0.99946999999999997"/>
    <s v="21.51770250399448"/>
    <s v="8.203393198318903"/>
    <n v="72.818306067579599"/>
    <s v="18.956678292817823"/>
    <n v="718867683"/>
    <x v="0"/>
    <n v="1.1982243E-3"/>
    <x v="0"/>
  </r>
  <r>
    <n v="54"/>
    <n v="0"/>
    <n v="1"/>
    <n v="3"/>
    <n v="1"/>
    <n v="4"/>
    <n v="0"/>
    <n v="42"/>
    <n v="3"/>
    <n v="5"/>
    <n v="4"/>
    <n v="2474"/>
    <n v="1539"/>
    <n v="935"/>
    <n v="0.64900000000000002"/>
    <n v="4884"/>
    <n v="80"/>
    <n v="0.50900000000000001"/>
    <n v="0.622"/>
    <n v="5.2588999999999999E-4"/>
    <n v="0.99946999999999997"/>
    <s v="5.097614957343851"/>
    <s v="38.29003791706985"/>
    <s v="36.30289460423733"/>
    <s v="20.72770592305161"/>
    <n v="771502383"/>
    <x v="0"/>
    <n v="3.4439339999999999E-4"/>
    <x v="0"/>
  </r>
  <r>
    <n v="44"/>
    <n v="0"/>
    <n v="4"/>
    <n v="2"/>
    <n v="2"/>
    <n v="5"/>
    <n v="0"/>
    <n v="36"/>
    <n v="2"/>
    <n v="1"/>
    <n v="2"/>
    <n v="7469"/>
    <n v="1378"/>
    <n v="6091"/>
    <n v="0.85899999999999999"/>
    <n v="15225"/>
    <n v="108"/>
    <n v="0.86199999999999999"/>
    <n v="0.184"/>
    <s v="5.7762e-05"/>
    <n v="0.99994000000000005"/>
    <s v="52.06351487521856"/>
    <s v="18.237284781291454"/>
    <s v="45.51231828079823"/>
    <s v="15.287421113359118"/>
    <n v="717283008"/>
    <x v="0"/>
    <n v="3.4656386999999997E-4"/>
    <x v="0"/>
  </r>
  <r>
    <n v="52"/>
    <n v="0"/>
    <n v="5"/>
    <n v="3"/>
    <n v="2"/>
    <n v="4"/>
    <n v="3"/>
    <n v="36"/>
    <n v="3"/>
    <n v="2"/>
    <n v="2"/>
    <n v="11280"/>
    <n v="1523"/>
    <n v="9757"/>
    <n v="0.76500000000000001"/>
    <n v="16237"/>
    <n v="128"/>
    <n v="0.753"/>
    <n v="0.13500000000000001"/>
    <n v="1.0322E-4"/>
    <n v="0.99990000000000001"/>
    <s v="20.484063106199045"/>
    <s v="49.57355263345004"/>
    <s v="43.24295450185814"/>
    <s v="7.193304128439403"/>
    <n v="721145433"/>
    <x v="0"/>
    <n v="3.4656386999999997E-4"/>
    <x v="0"/>
  </r>
  <r>
    <n v="42"/>
    <n v="0"/>
    <n v="4"/>
    <n v="3"/>
    <n v="1"/>
    <n v="4"/>
    <n v="1"/>
    <n v="36"/>
    <n v="2"/>
    <n v="3"/>
    <n v="3"/>
    <n v="15433"/>
    <n v="0"/>
    <n v="15433"/>
    <n v="0.86499999999999999"/>
    <n v="966"/>
    <n v="22"/>
    <n v="1.2"/>
    <n v="0"/>
    <n v="3.5532000000000001E-4"/>
    <n v="0.99963999999999997"/>
    <s v="9.792591962287792"/>
    <s v="13.778326703370116"/>
    <s v="96.29883134464508"/>
    <n v="5.8485107878214899"/>
    <n v="785432733"/>
    <x v="0"/>
    <n v="3.7346037999999998E-3"/>
    <x v="0"/>
  </r>
  <r>
    <n v="45"/>
    <n v="1"/>
    <n v="3"/>
    <n v="2"/>
    <n v="2"/>
    <n v="3"/>
    <n v="0"/>
    <n v="36"/>
    <n v="6"/>
    <n v="1"/>
    <n v="3"/>
    <n v="12810"/>
    <n v="0"/>
    <n v="12810"/>
    <n v="1.363"/>
    <n v="3174"/>
    <n v="74"/>
    <n v="1.1140000000000001"/>
    <n v="0"/>
    <s v="9.6126e-05"/>
    <n v="0.99990000000000001"/>
    <n v="42.6784333116127"/>
    <s v="24.421823121082635"/>
    <n v="95.876930171337804"/>
    <s v="2.9625102880231298"/>
    <n v="714939708"/>
    <x v="0"/>
    <n v="7.4699510000000001E-4"/>
    <x v="0"/>
  </r>
  <r>
    <n v="32"/>
    <n v="1"/>
    <n v="1"/>
    <n v="3"/>
    <n v="0"/>
    <n v="2"/>
    <n v="0"/>
    <n v="13"/>
    <n v="3"/>
    <n v="3"/>
    <n v="3"/>
    <n v="12616"/>
    <n v="0"/>
    <n v="12616"/>
    <n v="1.054"/>
    <n v="1376"/>
    <n v="29"/>
    <n v="0.61099999999999999"/>
    <n v="0"/>
    <n v="0.99639"/>
    <n v="3.6085800000000001E-3"/>
    <n v="31.948251595757799"/>
    <s v="18.49530607747785"/>
    <s v="60.10852096037376"/>
    <s v="5.491014573711584"/>
    <n v="778693458"/>
    <x v="1"/>
    <n v="0.99838983999999997"/>
    <x v="1"/>
  </r>
  <r>
    <n v="54"/>
    <n v="1"/>
    <n v="1"/>
    <n v="6"/>
    <n v="2"/>
    <n v="3"/>
    <n v="0"/>
    <n v="36"/>
    <n v="6"/>
    <n v="2"/>
    <n v="2"/>
    <n v="30011"/>
    <n v="1232"/>
    <n v="28779"/>
    <n v="0.94399999999999995"/>
    <n v="1676"/>
    <n v="41"/>
    <n v="0.78300000000000003"/>
    <n v="4.1000000000000002E-2"/>
    <n v="1.1743000000000001E-4"/>
    <n v="0.99987999999999999"/>
    <s v="1.3748730889280658"/>
    <s v="0.5760591674509409"/>
    <s v="84.08189508446145"/>
    <n v="30.747576947303699"/>
    <n v="719249733"/>
    <x v="0"/>
    <n v="1.0985557E-3"/>
    <x v="0"/>
  </r>
  <r>
    <n v="40"/>
    <n v="1"/>
    <n v="2"/>
    <n v="2"/>
    <n v="1"/>
    <n v="3"/>
    <n v="0"/>
    <n v="36"/>
    <n v="6"/>
    <n v="1"/>
    <n v="3"/>
    <n v="3340"/>
    <n v="1282"/>
    <n v="2058"/>
    <n v="0.72399999999999998"/>
    <n v="4526"/>
    <n v="82"/>
    <n v="0.54700000000000004"/>
    <n v="0.38400000000000001"/>
    <s v="9.2637e-05"/>
    <n v="0.99990999999999997"/>
    <s v="67.90936713477673"/>
    <n v="11.607989526917001"/>
    <s v="12.64445482319696"/>
    <s v="21.40339273882136"/>
    <n v="720303933"/>
    <x v="0"/>
    <n v="3.2914013999999999E-4"/>
    <x v="0"/>
  </r>
  <r>
    <n v="45"/>
    <n v="1"/>
    <n v="4"/>
    <n v="2"/>
    <n v="1"/>
    <n v="3"/>
    <n v="0"/>
    <n v="32"/>
    <n v="1"/>
    <n v="1"/>
    <n v="3"/>
    <n v="26819"/>
    <n v="1657"/>
    <n v="25162"/>
    <n v="0.81599999999999995"/>
    <n v="14450"/>
    <n v="111"/>
    <n v="0.76200000000000001"/>
    <n v="6.2E-2"/>
    <s v="9.7154e-05"/>
    <n v="0.99990000000000001"/>
    <s v="2.923988642745221"/>
    <s v="5.101775888567505"/>
    <s v="18.82038610946809"/>
    <s v="15.08466502764554"/>
    <n v="718425333"/>
    <x v="0"/>
    <n v="3.8573547000000003E-4"/>
    <x v="0"/>
  </r>
  <r>
    <n v="44"/>
    <n v="1"/>
    <n v="3"/>
    <n v="5"/>
    <n v="1"/>
    <n v="3"/>
    <n v="3"/>
    <n v="39"/>
    <n v="5"/>
    <n v="2"/>
    <n v="2"/>
    <n v="34516"/>
    <n v="1461"/>
    <n v="33055"/>
    <n v="0.64600000000000002"/>
    <n v="3416"/>
    <n v="70"/>
    <n v="0.70699999999999996"/>
    <n v="4.2000000000000003E-2"/>
    <n v="1.0972999999999999E-4"/>
    <n v="0.99988999999999995"/>
    <s v="11.404752343592442"/>
    <s v="55.70655510499939"/>
    <s v="7.261392653541846"/>
    <s v="7.943145200994013"/>
    <n v="806641683"/>
    <x v="0"/>
    <n v="3.5729867999999997E-4"/>
    <x v="0"/>
  </r>
  <r>
    <n v="56"/>
    <n v="1"/>
    <n v="3"/>
    <n v="2"/>
    <n v="1"/>
    <n v="2"/>
    <n v="0"/>
    <n v="37"/>
    <n v="3"/>
    <n v="3"/>
    <n v="0"/>
    <n v="2783"/>
    <n v="1526"/>
    <n v="1257"/>
    <n v="0.94199999999999995"/>
    <n v="1909"/>
    <n v="54"/>
    <n v="0.68799999999999994"/>
    <n v="0.54800000000000004"/>
    <s v="6.8853e-05"/>
    <n v="0.99992999999999999"/>
    <s v="4.331763809765905"/>
    <s v="14.35956029062886"/>
    <s v="76.27810726066863"/>
    <s v="5.019992909221047"/>
    <n v="709122483"/>
    <x v="0"/>
    <n v="5.9718450000000001E-4"/>
    <x v="0"/>
  </r>
  <r>
    <n v="56"/>
    <n v="0"/>
    <n v="5"/>
    <n v="2"/>
    <n v="1"/>
    <n v="4"/>
    <n v="0"/>
    <n v="36"/>
    <n v="5"/>
    <n v="4"/>
    <n v="4"/>
    <n v="3088"/>
    <n v="2517"/>
    <n v="571"/>
    <n v="0.84799999999999998"/>
    <n v="2292"/>
    <n v="54"/>
    <n v="0.86199999999999999"/>
    <n v="0.81499999999999995"/>
    <n v="6.4375000000000001E-4"/>
    <n v="0.99936000000000003"/>
    <s v="4.273939849870569"/>
    <s v="3.912087324712188"/>
    <s v="40.73360526295922"/>
    <s v="32.07664994865235"/>
    <n v="715478733"/>
    <x v="0"/>
    <n v="7.370365E-4"/>
    <x v="0"/>
  </r>
  <r>
    <n v="51"/>
    <n v="1"/>
    <n v="0"/>
    <n v="6"/>
    <n v="1"/>
    <n v="3"/>
    <n v="0"/>
    <n v="36"/>
    <n v="3"/>
    <n v="2"/>
    <n v="3"/>
    <n v="8065"/>
    <n v="0"/>
    <n v="8065"/>
    <n v="0.72899999999999998"/>
    <n v="14807"/>
    <n v="115"/>
    <n v="0.76900000000000002"/>
    <n v="0"/>
    <n v="1.8056999999999999E-4"/>
    <n v="0.99982000000000004"/>
    <s v="15.43772640457495"/>
    <s v="50.62623840693296"/>
    <s v="123.4253747587115"/>
    <s v="17.39666550565431"/>
    <n v="712966458"/>
    <x v="0"/>
    <n v="7.5047980000000002E-4"/>
    <x v="0"/>
  </r>
  <r>
    <n v="43"/>
    <n v="1"/>
    <n v="3"/>
    <n v="2"/>
    <n v="1"/>
    <n v="2"/>
    <n v="0"/>
    <n v="36"/>
    <n v="4"/>
    <n v="2"/>
    <n v="3"/>
    <n v="17239"/>
    <n v="0"/>
    <n v="17239"/>
    <n v="0.39300000000000002"/>
    <n v="1789"/>
    <n v="38"/>
    <n v="0.35699999999999998"/>
    <n v="0"/>
    <n v="0.99499000000000004"/>
    <n v="5.0099999999999997E-3"/>
    <n v="25.813071290054001"/>
    <s v="6.547788481570332"/>
    <s v="30.92663840145749"/>
    <s v="7.916402067258234"/>
    <n v="716790633"/>
    <x v="1"/>
    <n v="0.99856453999999994"/>
    <x v="1"/>
  </r>
  <r>
    <n v="56"/>
    <n v="0"/>
    <n v="2"/>
    <n v="5"/>
    <n v="1"/>
    <n v="1"/>
    <n v="0"/>
    <n v="44"/>
    <n v="6"/>
    <n v="1"/>
    <n v="2"/>
    <n v="4439"/>
    <n v="1513"/>
    <n v="2926"/>
    <n v="0.752"/>
    <n v="4532"/>
    <n v="95"/>
    <n v="0.69599999999999995"/>
    <n v="0.34100000000000003"/>
    <s v="5.663e-05"/>
    <n v="0.99994000000000005"/>
    <s v="14.863826907762473"/>
    <s v="25.303579410797976"/>
    <s v="32.151740302650545"/>
    <n v="18.282953268121901"/>
    <n v="780664758"/>
    <x v="0"/>
    <n v="3.2101269999999999E-4"/>
    <x v="0"/>
  </r>
  <r>
    <n v="54"/>
    <n v="0"/>
    <n v="2"/>
    <n v="0"/>
    <n v="2"/>
    <n v="1"/>
    <n v="0"/>
    <n v="49"/>
    <n v="4"/>
    <n v="3"/>
    <n v="3"/>
    <n v="8769"/>
    <n v="1314"/>
    <n v="7455"/>
    <n v="0.47699999999999998"/>
    <n v="3817"/>
    <n v="60"/>
    <n v="0.81799999999999995"/>
    <n v="0.15"/>
    <n v="2.9410999999999999E-4"/>
    <n v="0.99970999999999999"/>
    <s v="57.34314504100559"/>
    <s v="3.033835631608634"/>
    <s v="21.85336006194514"/>
    <s v="0.6313243398888108"/>
    <n v="805534608"/>
    <x v="0"/>
    <n v="3.6248067000000002E-4"/>
    <x v="0"/>
  </r>
  <r>
    <n v="44"/>
    <n v="0"/>
    <n v="3"/>
    <n v="2"/>
    <n v="1"/>
    <n v="5"/>
    <n v="0"/>
    <n v="36"/>
    <n v="4"/>
    <n v="2"/>
    <n v="3"/>
    <n v="21242"/>
    <n v="819"/>
    <n v="20423"/>
    <n v="0.499"/>
    <n v="1283"/>
    <n v="37"/>
    <n v="0.54200000000000004"/>
    <n v="3.9E-2"/>
    <n v="1.9864000000000001E-4"/>
    <n v="0.99980000000000002"/>
    <s v="22.39563261255967"/>
    <s v="28.622816583856277"/>
    <s v="111.41170998456488"/>
    <s v="21.02028801198572"/>
    <n v="714500883"/>
    <x v="0"/>
    <n v="1.9356423999999999E-3"/>
    <x v="0"/>
  </r>
  <r>
    <n v="41"/>
    <n v="0"/>
    <n v="4"/>
    <n v="6"/>
    <n v="1"/>
    <n v="4"/>
    <n v="0"/>
    <n v="31"/>
    <n v="4"/>
    <n v="3"/>
    <n v="4"/>
    <n v="2934"/>
    <n v="933"/>
    <n v="2001"/>
    <n v="0.89800000000000002"/>
    <n v="4253"/>
    <n v="66"/>
    <n v="0.73699999999999999"/>
    <n v="0.318"/>
    <n v="5.9480000000000004E-4"/>
    <n v="0.99941000000000002"/>
    <s v="15.49329711799508"/>
    <s v="18.198047767935623"/>
    <s v="6.674626914380822"/>
    <s v="7.703118255194366"/>
    <n v="718103733"/>
    <x v="0"/>
    <n v="4.0833866999999999E-4"/>
    <x v="0"/>
  </r>
  <r>
    <n v="42"/>
    <n v="1"/>
    <n v="4"/>
    <n v="3"/>
    <n v="2"/>
    <n v="0"/>
    <n v="0"/>
    <n v="35"/>
    <n v="5"/>
    <n v="2"/>
    <n v="2"/>
    <n v="34516"/>
    <n v="1658"/>
    <n v="32858"/>
    <n v="1.095"/>
    <n v="2935"/>
    <n v="65"/>
    <n v="0.71099999999999997"/>
    <n v="4.8000000000000001E-2"/>
    <n v="1.1603999999999999E-4"/>
    <n v="0.99987999999999999"/>
    <s v="26.81756352451985"/>
    <s v="20.14537943053288"/>
    <s v="61.535308826388864"/>
    <s v="24.51787151506677"/>
    <n v="790082508"/>
    <x v="0"/>
    <n v="4.0313767000000001E-4"/>
    <x v="0"/>
  </r>
  <r>
    <n v="51"/>
    <n v="1"/>
    <n v="3"/>
    <n v="4"/>
    <n v="1"/>
    <n v="1"/>
    <n v="0"/>
    <n v="36"/>
    <n v="2"/>
    <n v="3"/>
    <n v="3"/>
    <n v="1590"/>
    <n v="1273"/>
    <n v="317"/>
    <n v="0.64"/>
    <n v="7352"/>
    <n v="80"/>
    <n v="0.81799999999999995"/>
    <n v="0.80100000000000005"/>
    <n v="3.6935000000000001E-4"/>
    <n v="0.99963000000000002"/>
    <s v="13.681436747690038"/>
    <s v="60.53098812352164"/>
    <s v="38.544123399179504"/>
    <s v="7.104943806649176"/>
    <n v="711856683"/>
    <x v="0"/>
    <n v="5.0494296000000004E-4"/>
    <x v="0"/>
  </r>
  <r>
    <n v="54"/>
    <n v="1"/>
    <n v="3"/>
    <n v="4"/>
    <n v="2"/>
    <n v="2"/>
    <n v="0"/>
    <n v="35"/>
    <n v="6"/>
    <n v="3"/>
    <n v="0"/>
    <n v="13048"/>
    <n v="1954"/>
    <n v="11094"/>
    <n v="1.139"/>
    <n v="1170"/>
    <n v="24"/>
    <n v="0.84599999999999997"/>
    <n v="0.15"/>
    <s v="8.1018e-05"/>
    <n v="0.99992000000000003"/>
    <s v="30.13924817277159"/>
    <s v="73.00064006270667"/>
    <s v="16.77126133947753"/>
    <s v="10.584577603333758"/>
    <n v="778871508"/>
    <x v="0"/>
    <n v="9.8706899999999992E-4"/>
    <x v="0"/>
  </r>
  <r>
    <n v="45"/>
    <n v="0"/>
    <n v="3"/>
    <n v="4"/>
    <n v="0"/>
    <n v="4"/>
    <n v="0"/>
    <n v="28"/>
    <n v="3"/>
    <n v="4"/>
    <n v="3"/>
    <n v="5216"/>
    <n v="1519"/>
    <n v="3697"/>
    <n v="0.88700000000000001"/>
    <n v="3434"/>
    <n v="49"/>
    <n v="0.69"/>
    <n v="0.29099999999999998"/>
    <n v="4.4633999999999999E-4"/>
    <n v="0.99955000000000005"/>
    <s v="0.7800526647620021"/>
    <n v="6.3320735649518696"/>
    <s v="33.765539109886554"/>
    <s v="3.0068080598854525"/>
    <n v="714162033"/>
    <x v="0"/>
    <n v="8.9405919999999996E-4"/>
    <x v="0"/>
  </r>
  <r>
    <n v="53"/>
    <n v="1"/>
    <n v="3"/>
    <n v="6"/>
    <n v="1"/>
    <n v="3"/>
    <n v="0"/>
    <n v="33"/>
    <n v="3"/>
    <n v="2"/>
    <n v="3"/>
    <n v="2753"/>
    <n v="1811"/>
    <n v="942"/>
    <n v="0.97699999999999998"/>
    <n v="1038"/>
    <n v="25"/>
    <n v="2.5710000000000002"/>
    <n v="0.65800000000000003"/>
    <n v="2.1834E-4"/>
    <n v="0.99978"/>
    <s v="25.747517398650984"/>
    <s v="63.23264087285257"/>
    <s v="29.01527634054488"/>
    <s v="4.346898044195282"/>
    <n v="778348233"/>
    <x v="0"/>
    <n v="1.1077088000000001E-3"/>
    <x v="0"/>
  </r>
  <r>
    <n v="51"/>
    <n v="0"/>
    <n v="3"/>
    <n v="2"/>
    <n v="2"/>
    <n v="1"/>
    <n v="0"/>
    <n v="36"/>
    <n v="3"/>
    <n v="3"/>
    <n v="4"/>
    <n v="2585"/>
    <n v="1847"/>
    <n v="738"/>
    <n v="0.627"/>
    <n v="3480"/>
    <n v="64"/>
    <n v="0.6"/>
    <n v="0.71499999999999997"/>
    <n v="5.3543000000000004E-4"/>
    <n v="0.99946000000000002"/>
    <s v="22.984717316666064"/>
    <s v="25.577400371621277"/>
    <s v="7.1551253486013975"/>
    <s v="14.72243476891783"/>
    <n v="709604958"/>
    <x v="0"/>
    <n v="3.4604817999999999E-4"/>
    <x v="0"/>
  </r>
  <r>
    <n v="46"/>
    <n v="0"/>
    <n v="4"/>
    <n v="2"/>
    <n v="0"/>
    <n v="1"/>
    <n v="0"/>
    <n v="39"/>
    <n v="3"/>
    <n v="1"/>
    <n v="1"/>
    <n v="2477"/>
    <n v="1480"/>
    <n v="997"/>
    <n v="0.82599999999999996"/>
    <n v="5138"/>
    <n v="77"/>
    <n v="0.97399999999999998"/>
    <n v="0.59699999999999998"/>
    <s v="3.4833e-05"/>
    <n v="0.99997000000000003"/>
    <s v="5.810309070275997"/>
    <s v="16.13345887602049"/>
    <s v="18.83762814780157"/>
    <s v="10.750969662632158"/>
    <n v="757662258"/>
    <x v="0"/>
    <n v="3.2101269999999999E-4"/>
    <x v="0"/>
  </r>
  <r>
    <n v="48"/>
    <n v="0"/>
    <n v="1"/>
    <n v="6"/>
    <n v="1"/>
    <n v="5"/>
    <n v="0"/>
    <n v="41"/>
    <n v="3"/>
    <n v="2"/>
    <n v="2"/>
    <n v="1438.3"/>
    <n v="1197"/>
    <n v="241.3"/>
    <n v="0.91700000000000004"/>
    <n v="4916"/>
    <n v="78"/>
    <n v="0.69599999999999995"/>
    <n v="0.83199999999999996"/>
    <n v="1.1743000000000001E-4"/>
    <n v="0.99987999999999999"/>
    <s v="17.468282018369436"/>
    <s v="12.604835558625712"/>
    <s v="78.72020047407123"/>
    <s v="9.711447694898055"/>
    <n v="719511783"/>
    <x v="0"/>
    <n v="3.221314E-4"/>
    <x v="0"/>
  </r>
  <r>
    <n v="36"/>
    <n v="0"/>
    <n v="0"/>
    <n v="5"/>
    <n v="0"/>
    <n v="1"/>
    <n v="0"/>
    <n v="30"/>
    <n v="1"/>
    <n v="3"/>
    <n v="4"/>
    <n v="2190"/>
    <n v="0"/>
    <n v="2190"/>
    <n v="0.90800000000000003"/>
    <n v="1412"/>
    <n v="38"/>
    <n v="0.58299999999999996"/>
    <n v="0"/>
    <n v="0.99780999999999997"/>
    <n v="2.1905200000000001E-3"/>
    <s v="3.2734776277792688"/>
    <s v="10.826172065479462"/>
    <n v="9.0484370975544408"/>
    <n v="6.1628937225949096"/>
    <n v="785011383"/>
    <x v="1"/>
    <n v="0.99830662999999997"/>
    <x v="1"/>
  </r>
  <r>
    <n v="53"/>
    <n v="0"/>
    <n v="1"/>
    <n v="0"/>
    <n v="1"/>
    <n v="1"/>
    <n v="0"/>
    <n v="47"/>
    <n v="3"/>
    <n v="3"/>
    <n v="4"/>
    <n v="2459"/>
    <n v="1733"/>
    <n v="726"/>
    <n v="1.216"/>
    <n v="2309"/>
    <n v="62"/>
    <n v="0.63200000000000001"/>
    <n v="0.70499999999999996"/>
    <n v="4.7091E-4"/>
    <n v="0.99953000000000003"/>
    <s v="30.012001815045345"/>
    <s v="86.14661574037738"/>
    <s v="18.341366804153814"/>
    <s v="8.776597780390684"/>
    <n v="781923483"/>
    <x v="0"/>
    <n v="4.0321086999999998E-4"/>
    <x v="0"/>
  </r>
  <r>
    <n v="30"/>
    <n v="0"/>
    <n v="1"/>
    <n v="5"/>
    <n v="0"/>
    <n v="4"/>
    <n v="0"/>
    <n v="19"/>
    <n v="6"/>
    <n v="1"/>
    <n v="2"/>
    <n v="1644"/>
    <n v="0"/>
    <n v="1644"/>
    <n v="0.82"/>
    <n v="2533"/>
    <n v="44"/>
    <n v="0.51700000000000002"/>
    <n v="0"/>
    <n v="0.98153999999999997"/>
    <n v="1.8460000000000001E-2"/>
    <s v="56.18765806777464"/>
    <n v="68.540710654945997"/>
    <s v="20.69011531070396"/>
    <s v="7.512513198235857"/>
    <n v="789212883"/>
    <x v="1"/>
    <n v="0.99873226999999998"/>
    <x v="1"/>
  </r>
  <r>
    <n v="45"/>
    <n v="0"/>
    <n v="4"/>
    <n v="2"/>
    <n v="2"/>
    <n v="4"/>
    <n v="0"/>
    <n v="36"/>
    <n v="3"/>
    <n v="1"/>
    <n v="3"/>
    <n v="3562"/>
    <n v="2107"/>
    <n v="1455"/>
    <n v="0.39400000000000002"/>
    <n v="4490"/>
    <n v="90"/>
    <n v="0.66700000000000004"/>
    <n v="0.59199999999999997"/>
    <s v="9.7154e-05"/>
    <n v="0.99990000000000001"/>
    <s v="51.342986817858986"/>
    <s v="2.637036383936447"/>
    <s v="19.32616372451597"/>
    <s v="4.175615035952924"/>
    <n v="713276733"/>
    <x v="0"/>
    <n v="3.2101269999999999E-4"/>
    <x v="0"/>
  </r>
  <r>
    <n v="53"/>
    <n v="0"/>
    <n v="1"/>
    <n v="2"/>
    <n v="2"/>
    <n v="4"/>
    <n v="0"/>
    <n v="43"/>
    <n v="6"/>
    <n v="3"/>
    <n v="4"/>
    <n v="6189"/>
    <n v="0"/>
    <n v="6189"/>
    <n v="0.53800000000000003"/>
    <n v="5004"/>
    <n v="65"/>
    <n v="0.80600000000000005"/>
    <n v="0"/>
    <n v="4.8434999999999998E-4"/>
    <n v="0.99951999999999996"/>
    <s v="58.332492470393404"/>
    <s v="145.26860942403297"/>
    <s v="93.58143105348374"/>
    <n v="7.0751759696274803"/>
    <n v="716358033"/>
    <x v="0"/>
    <n v="7.6807226000000001E-4"/>
    <x v="0"/>
  </r>
  <r>
    <n v="43"/>
    <n v="0"/>
    <n v="2"/>
    <n v="2"/>
    <n v="1"/>
    <n v="4"/>
    <n v="0"/>
    <n v="32"/>
    <n v="2"/>
    <n v="3"/>
    <n v="1"/>
    <n v="2890"/>
    <n v="1392"/>
    <n v="1498"/>
    <n v="0.73599999999999999"/>
    <n v="4233"/>
    <n v="77"/>
    <n v="0.79100000000000004"/>
    <n v="0.48199999999999998"/>
    <n v="1.0848E-4"/>
    <n v="0.99988999999999995"/>
    <s v="14.743631448137537"/>
    <s v="75.89145541157478"/>
    <s v="73.70410992673419"/>
    <s v="7.1907838088988125"/>
    <n v="717547383"/>
    <x v="0"/>
    <n v="3.2101269999999999E-4"/>
    <x v="0"/>
  </r>
  <r>
    <n v="45"/>
    <n v="0"/>
    <n v="3"/>
    <n v="3"/>
    <n v="2"/>
    <n v="1"/>
    <n v="0"/>
    <n v="26"/>
    <n v="3"/>
    <n v="2"/>
    <n v="4"/>
    <n v="4034"/>
    <n v="1867"/>
    <n v="2167"/>
    <n v="0.65600000000000003"/>
    <n v="3718"/>
    <n v="72"/>
    <n v="0.75600000000000001"/>
    <n v="0.46300000000000002"/>
    <n v="3.2941999999999997E-4"/>
    <n v="0.99966999999999995"/>
    <s v="6.471785573516855"/>
    <s v="11.373343844576754"/>
    <s v="21.405217954673564"/>
    <s v="1.3370949756591488"/>
    <n v="752573508"/>
    <x v="0"/>
    <n v="3.2101269999999999E-4"/>
    <x v="0"/>
  </r>
  <r>
    <n v="46"/>
    <n v="0"/>
    <n v="1"/>
    <n v="0"/>
    <n v="3"/>
    <n v="5"/>
    <n v="0"/>
    <n v="35"/>
    <n v="5"/>
    <n v="3"/>
    <n v="3"/>
    <n v="2197"/>
    <n v="461"/>
    <n v="1736"/>
    <n v="0.63600000000000001"/>
    <n v="1955"/>
    <n v="42"/>
    <n v="0.44800000000000001"/>
    <n v="0.21"/>
    <n v="0.99639"/>
    <n v="3.6082499999999999E-3"/>
    <s v="11.13617123850801"/>
    <s v="49.59727567130356"/>
    <s v="92.67350358035128"/>
    <s v="8.491805933921965"/>
    <n v="711535158"/>
    <x v="1"/>
    <n v="0.99843510000000002"/>
    <x v="1"/>
  </r>
  <r>
    <n v="42"/>
    <n v="1"/>
    <n v="3"/>
    <n v="2"/>
    <n v="1"/>
    <n v="4"/>
    <n v="0"/>
    <n v="38"/>
    <n v="2"/>
    <n v="3"/>
    <n v="3"/>
    <n v="6967"/>
    <n v="1767"/>
    <n v="5200"/>
    <n v="0.54"/>
    <n v="1919"/>
    <n v="38"/>
    <n v="0.52"/>
    <n v="0.254"/>
    <n v="0.99682999999999999"/>
    <n v="3.1745800000000002E-3"/>
    <s v="13.150054571339725"/>
    <s v="29.93680393369201"/>
    <s v="99.65840370157072"/>
    <s v="17.150305862800025"/>
    <n v="826471458"/>
    <x v="1"/>
    <n v="0.99593770000000004"/>
    <x v="1"/>
  </r>
  <r>
    <n v="48"/>
    <n v="0"/>
    <n v="4"/>
    <n v="5"/>
    <n v="1"/>
    <n v="4"/>
    <n v="0"/>
    <n v="29"/>
    <n v="1"/>
    <n v="3"/>
    <n v="2"/>
    <n v="1843"/>
    <n v="1802"/>
    <n v="41"/>
    <n v="0.76200000000000001"/>
    <n v="5199"/>
    <n v="73"/>
    <n v="0.73799999999999999"/>
    <n v="0.97799999999999998"/>
    <n v="1.9395999999999999E-4"/>
    <n v="0.99980999999999998"/>
    <n v="9.0076624866178001"/>
    <s v="4.326166793040438"/>
    <s v="148.7192724772942"/>
    <n v="0.265725690600838"/>
    <n v="712190358"/>
    <x v="0"/>
    <n v="3.2101269999999999E-4"/>
    <x v="0"/>
  </r>
  <r>
    <n v="57"/>
    <n v="1"/>
    <n v="4"/>
    <n v="2"/>
    <n v="1"/>
    <n v="0"/>
    <n v="0"/>
    <n v="51"/>
    <n v="4"/>
    <n v="3"/>
    <n v="1"/>
    <n v="10711"/>
    <n v="1970"/>
    <n v="8741"/>
    <n v="0.71"/>
    <n v="1180"/>
    <n v="29"/>
    <n v="1.417"/>
    <n v="0.184"/>
    <n v="1.1377E-4"/>
    <n v="0.99988999999999995"/>
    <s v="18.110856488226556"/>
    <s v="94.53715939491934"/>
    <s v="4.321962105093091"/>
    <s v="13.513543102385183"/>
    <n v="798140283"/>
    <x v="0"/>
    <n v="9.8706899999999992E-4"/>
    <x v="0"/>
  </r>
  <r>
    <n v="59"/>
    <n v="0"/>
    <n v="0"/>
    <n v="2"/>
    <n v="1"/>
    <n v="4"/>
    <n v="0"/>
    <n v="48"/>
    <n v="2"/>
    <n v="2"/>
    <n v="1"/>
    <n v="2120"/>
    <n v="1411"/>
    <n v="709"/>
    <n v="0.66500000000000004"/>
    <n v="3882"/>
    <n v="92"/>
    <n v="0.64300000000000002"/>
    <n v="0.66600000000000004"/>
    <s v="5.8902e-05"/>
    <n v="0.99994000000000005"/>
    <s v="19.94726446904672"/>
    <s v="14.30755166953641"/>
    <s v="1.990484972857266"/>
    <s v="10.752907495538851"/>
    <n v="714142158"/>
    <x v="0"/>
    <n v="3.2914013999999999E-4"/>
    <x v="0"/>
  </r>
  <r>
    <n v="44"/>
    <n v="1"/>
    <n v="4"/>
    <n v="6"/>
    <n v="1"/>
    <n v="0"/>
    <n v="0"/>
    <n v="36"/>
    <n v="4"/>
    <n v="3"/>
    <n v="3"/>
    <n v="34516"/>
    <n v="0"/>
    <n v="34516"/>
    <n v="1.0429999999999999"/>
    <n v="5425"/>
    <n v="60"/>
    <n v="0.875"/>
    <n v="0"/>
    <n v="0.99714000000000003"/>
    <n v="2.8584499999999998E-3"/>
    <n v="7.3153664053244096"/>
    <s v="55.23663997507581"/>
    <s v="7.887524838394025"/>
    <s v="9.370544292770994"/>
    <n v="717696333"/>
    <x v="1"/>
    <n v="0.99473566000000002"/>
    <x v="1"/>
  </r>
  <r>
    <n v="47"/>
    <n v="1"/>
    <n v="4"/>
    <n v="2"/>
    <n v="1"/>
    <n v="2"/>
    <n v="0"/>
    <n v="30"/>
    <n v="4"/>
    <n v="2"/>
    <n v="3"/>
    <n v="2257"/>
    <n v="896"/>
    <n v="1361"/>
    <n v="0.68"/>
    <n v="4618"/>
    <n v="94"/>
    <n v="0.51600000000000001"/>
    <n v="0.39700000000000002"/>
    <n v="2.0076999999999999E-4"/>
    <n v="0.99980000000000002"/>
    <s v="36.31372973090802"/>
    <s v="21.47555394832099"/>
    <s v="72.59664065769157"/>
    <s v="24.21195068194985"/>
    <n v="772857558"/>
    <x v="0"/>
    <n v="4.5233250000000001E-4"/>
    <x v="0"/>
  </r>
  <r>
    <n v="43"/>
    <n v="0"/>
    <n v="4"/>
    <n v="2"/>
    <n v="2"/>
    <n v="5"/>
    <n v="3"/>
    <n v="36"/>
    <n v="4"/>
    <n v="3"/>
    <n v="4"/>
    <n v="34516"/>
    <n v="1893"/>
    <n v="32623"/>
    <n v="0.748"/>
    <n v="3639"/>
    <n v="76"/>
    <n v="1"/>
    <n v="5.5E-2"/>
    <n v="4.8899000000000002E-4"/>
    <n v="0.99951000000000001"/>
    <s v="8.098200650036153"/>
    <s v="28.494250350480872"/>
    <s v="9.613783123892189"/>
    <n v="1.8547995045015799"/>
    <n v="715378383"/>
    <x v="0"/>
    <n v="3.5729867999999997E-4"/>
    <x v="0"/>
  </r>
  <r>
    <n v="39"/>
    <n v="1"/>
    <n v="3"/>
    <n v="3"/>
    <n v="1"/>
    <n v="3"/>
    <n v="0"/>
    <n v="27"/>
    <n v="1"/>
    <n v="3"/>
    <n v="1"/>
    <n v="19150"/>
    <n v="1093"/>
    <n v="18057"/>
    <n v="0.71599999999999997"/>
    <n v="8327"/>
    <n v="85"/>
    <n v="0.54500000000000004"/>
    <n v="5.7000000000000002E-2"/>
    <n v="1.0943E-4"/>
    <n v="0.99988999999999995"/>
    <s v="60.30922360999798"/>
    <s v="29.104898191255742"/>
    <s v="52.368626429096665"/>
    <s v="21.583124988620085"/>
    <n v="712654233"/>
    <x v="0"/>
    <n v="4.2060707000000003E-4"/>
    <x v="0"/>
  </r>
  <r>
    <n v="37"/>
    <n v="1"/>
    <n v="3"/>
    <n v="6"/>
    <n v="1"/>
    <n v="2"/>
    <n v="0"/>
    <n v="30"/>
    <n v="6"/>
    <n v="2"/>
    <n v="4"/>
    <n v="16043"/>
    <n v="0"/>
    <n v="16043"/>
    <n v="1.5089999999999999"/>
    <n v="2599"/>
    <n v="47"/>
    <n v="1.1359999999999999"/>
    <n v="0"/>
    <n v="3.7246000000000002E-4"/>
    <n v="0.99963000000000002"/>
    <s v="26.772694432891544"/>
    <s v="12.392287177865695"/>
    <s v="72.01140451898247"/>
    <s v="2.536786431427606"/>
    <n v="804867183"/>
    <x v="0"/>
    <n v="3.0247865E-3"/>
    <x v="0"/>
  </r>
  <r>
    <n v="41"/>
    <n v="0"/>
    <n v="3"/>
    <n v="3"/>
    <n v="2"/>
    <n v="1"/>
    <n v="0"/>
    <n v="31"/>
    <n v="3"/>
    <n v="3"/>
    <n v="2"/>
    <n v="1438.3"/>
    <n v="913"/>
    <n v="525.29999999999995"/>
    <n v="0.98099999999999998"/>
    <n v="4300"/>
    <n v="68"/>
    <n v="0.61899999999999999"/>
    <n v="0.63500000000000001"/>
    <n v="1.8144999999999999E-4"/>
    <n v="0.99982000000000004"/>
    <s v="22.77714131157824"/>
    <s v="60.84240612392561"/>
    <s v="123.30806173850571"/>
    <s v="3.858920017468154"/>
    <n v="714991608"/>
    <x v="0"/>
    <n v="4.2172942999999999E-4"/>
    <x v="0"/>
  </r>
  <r>
    <n v="34"/>
    <n v="1"/>
    <n v="0"/>
    <n v="3"/>
    <n v="1"/>
    <n v="1"/>
    <n v="0"/>
    <n v="13"/>
    <n v="3"/>
    <n v="3"/>
    <n v="2"/>
    <n v="3870"/>
    <n v="1394"/>
    <n v="2476"/>
    <n v="0.82699999999999996"/>
    <n v="1588"/>
    <n v="36"/>
    <n v="0.71399999999999997"/>
    <n v="0.36"/>
    <n v="1.5004999999999999E-4"/>
    <n v="0.99985000000000002"/>
    <s v="3.998249351791944"/>
    <s v="34.18591535360876"/>
    <n v="38.999699576005497"/>
    <s v="10.547638754639337"/>
    <n v="788728608"/>
    <x v="0"/>
    <n v="1.0634780000000001E-3"/>
    <x v="0"/>
  </r>
  <r>
    <n v="63"/>
    <n v="1"/>
    <n v="0"/>
    <n v="5"/>
    <n v="2"/>
    <n v="1"/>
    <n v="0"/>
    <n v="36"/>
    <n v="3"/>
    <n v="3"/>
    <n v="3"/>
    <n v="1970"/>
    <n v="1224"/>
    <n v="746"/>
    <n v="0.54"/>
    <n v="4533"/>
    <n v="65"/>
    <n v="0.625"/>
    <n v="0.621"/>
    <n v="2.6692000000000003E-4"/>
    <n v="0.99973000000000001"/>
    <s v="43.77234500091949"/>
    <s v="3.8143273379873177"/>
    <s v="10.453335503080288"/>
    <s v="2.544432892350765"/>
    <n v="716580933"/>
    <x v="0"/>
    <n v="3.3723077000000001E-4"/>
    <x v="0"/>
  </r>
  <r>
    <n v="37"/>
    <n v="0"/>
    <n v="2"/>
    <n v="6"/>
    <n v="2"/>
    <n v="4"/>
    <n v="0"/>
    <n v="19"/>
    <n v="6"/>
    <n v="5"/>
    <n v="2"/>
    <n v="2152"/>
    <n v="1682"/>
    <n v="470"/>
    <n v="1.0509999999999999"/>
    <n v="4126"/>
    <n v="71"/>
    <n v="0.97199999999999998"/>
    <n v="0.78200000000000003"/>
    <n v="2.2083000000000001E-4"/>
    <n v="0.99978"/>
    <s v="6.705485756118994"/>
    <s v="1.3546128311549586"/>
    <s v="23.99328388708824"/>
    <s v="7.894602131328023"/>
    <n v="714186108"/>
    <x v="0"/>
    <n v="3.221314E-4"/>
    <x v="0"/>
  </r>
  <r>
    <n v="49"/>
    <n v="0"/>
    <n v="2"/>
    <n v="3"/>
    <n v="2"/>
    <n v="4"/>
    <n v="0"/>
    <n v="43"/>
    <n v="4"/>
    <n v="1"/>
    <n v="2"/>
    <n v="3538"/>
    <n v="0"/>
    <n v="3538"/>
    <n v="0.48099999999999998"/>
    <n v="1265"/>
    <n v="38"/>
    <n v="0.46200000000000002"/>
    <n v="0"/>
    <s v="5.3542e-05"/>
    <n v="0.99995000000000001"/>
    <s v="13.170445463312612"/>
    <s v="19.89392986959781"/>
    <s v="53.45250686438574"/>
    <s v="9.549865267687826"/>
    <n v="796343058"/>
    <x v="0"/>
    <n v="4.459518E-3"/>
    <x v="0"/>
  </r>
  <r>
    <n v="41"/>
    <n v="1"/>
    <n v="4"/>
    <n v="3"/>
    <n v="2"/>
    <n v="2"/>
    <n v="0"/>
    <n v="28"/>
    <n v="4"/>
    <n v="3"/>
    <n v="3"/>
    <n v="3126"/>
    <n v="1503"/>
    <n v="1623"/>
    <n v="0.89200000000000002"/>
    <n v="3662"/>
    <n v="74"/>
    <n v="0.64400000000000002"/>
    <n v="0.48099999999999998"/>
    <n v="3.0842E-4"/>
    <n v="0.99968999999999997"/>
    <s v="1.8626348308462373"/>
    <s v="22.638740443844064"/>
    <s v="65.92752032080776"/>
    <s v="0.8864555520971694"/>
    <n v="718431258"/>
    <x v="0"/>
    <n v="3.3028650000000001E-4"/>
    <x v="0"/>
  </r>
  <r>
    <n v="46"/>
    <n v="1"/>
    <n v="2"/>
    <n v="4"/>
    <n v="2"/>
    <n v="1"/>
    <n v="3"/>
    <n v="40"/>
    <n v="4"/>
    <n v="2"/>
    <n v="2"/>
    <n v="15459"/>
    <n v="0"/>
    <n v="15459"/>
    <n v="0.78900000000000003"/>
    <n v="1419"/>
    <n v="30"/>
    <n v="0.66700000000000004"/>
    <n v="0"/>
    <n v="1.2101E-4"/>
    <n v="0.99987999999999999"/>
    <s v="15.686919694115376"/>
    <s v="4.173942970718731"/>
    <s v="66.13771224942181"/>
    <s v="22.83105872517643"/>
    <n v="785114808"/>
    <x v="0"/>
    <n v="3.6896945E-3"/>
    <x v="0"/>
  </r>
  <r>
    <n v="39"/>
    <n v="1"/>
    <n v="2"/>
    <n v="6"/>
    <n v="2"/>
    <n v="3"/>
    <n v="1"/>
    <n v="33"/>
    <n v="1"/>
    <n v="3"/>
    <n v="2"/>
    <n v="34516"/>
    <n v="0"/>
    <n v="34516"/>
    <n v="0.72399999999999998"/>
    <n v="9179"/>
    <n v="113"/>
    <n v="0.76600000000000001"/>
    <n v="0"/>
    <n v="2.2777999999999999E-4"/>
    <n v="0.99977000000000005"/>
    <s v="9.060804607857058"/>
    <s v="28.477790651104534"/>
    <s v="37.38144801496743"/>
    <s v="13.669156395161597"/>
    <n v="708428958"/>
    <x v="0"/>
    <n v="7.9810305E-4"/>
    <x v="0"/>
  </r>
  <r>
    <n v="41"/>
    <n v="1"/>
    <n v="2"/>
    <n v="1"/>
    <n v="1"/>
    <n v="1"/>
    <n v="0"/>
    <n v="32"/>
    <n v="5"/>
    <n v="3"/>
    <n v="3"/>
    <n v="6059"/>
    <n v="1171"/>
    <n v="4888"/>
    <n v="0.67800000000000005"/>
    <n v="4119"/>
    <n v="70"/>
    <n v="0.66700000000000004"/>
    <n v="0.193"/>
    <n v="4.3772E-4"/>
    <n v="0.99956"/>
    <s v="46.14089677173311"/>
    <s v="49.04702328310377"/>
    <s v="46.53365639535591"/>
    <s v="12.548008992321815"/>
    <n v="714308283"/>
    <x v="0"/>
    <n v="3.2101269999999999E-4"/>
    <x v="0"/>
  </r>
  <r>
    <n v="43"/>
    <n v="0"/>
    <n v="5"/>
    <n v="0"/>
    <n v="1"/>
    <n v="1"/>
    <n v="0"/>
    <n v="31"/>
    <n v="5"/>
    <n v="1"/>
    <n v="1"/>
    <n v="5302"/>
    <n v="1136"/>
    <n v="4166"/>
    <n v="0.81699999999999995"/>
    <n v="4883"/>
    <n v="68"/>
    <n v="0.58099999999999996"/>
    <n v="0.214"/>
    <s v="3.3338e-05"/>
    <n v="0.99997000000000003"/>
    <s v="59.24371300549465"/>
    <s v="26.133714580756056"/>
    <s v="37.94822929912482"/>
    <s v="17.77781833619253"/>
    <n v="771666783"/>
    <x v="0"/>
    <n v="3.2914013999999999E-4"/>
    <x v="0"/>
  </r>
  <r>
    <n v="43"/>
    <n v="1"/>
    <n v="4"/>
    <n v="3"/>
    <n v="1"/>
    <n v="1"/>
    <n v="0"/>
    <n v="32"/>
    <n v="2"/>
    <n v="2"/>
    <n v="2"/>
    <n v="7139"/>
    <n v="1512"/>
    <n v="5627"/>
    <n v="1.1060000000000001"/>
    <n v="14802"/>
    <n v="112"/>
    <n v="0.75"/>
    <n v="0.21199999999999999"/>
    <n v="1.1603999999999999E-4"/>
    <n v="0.99987999999999999"/>
    <n v="4.17502526673331E-2"/>
    <s v="9.655406200655808"/>
    <s v="47.19851438366919"/>
    <s v="5.975229446570797"/>
    <n v="789791808"/>
    <x v="0"/>
    <n v="3.6437239999999999E-4"/>
    <x v="0"/>
  </r>
  <r>
    <n v="32"/>
    <n v="1"/>
    <n v="2"/>
    <n v="3"/>
    <n v="0"/>
    <n v="2"/>
    <n v="0"/>
    <n v="26"/>
    <n v="6"/>
    <n v="1"/>
    <n v="4"/>
    <n v="2239"/>
    <n v="1338"/>
    <n v="901"/>
    <n v="0.56699999999999995"/>
    <n v="2466"/>
    <n v="60"/>
    <n v="0.57899999999999996"/>
    <n v="0.59799999999999998"/>
    <n v="1.5363E-4"/>
    <n v="0.99985000000000002"/>
    <s v="24.64866861075892"/>
    <s v="32.141048771863744"/>
    <s v="30.475499688362493"/>
    <s v="11.28195318058246"/>
    <n v="803408733"/>
    <x v="0"/>
    <n v="4.5674305999999999E-4"/>
    <x v="0"/>
  </r>
  <r>
    <n v="37"/>
    <n v="1"/>
    <n v="3"/>
    <n v="3"/>
    <n v="2"/>
    <n v="3"/>
    <n v="0"/>
    <n v="31"/>
    <n v="4"/>
    <n v="2"/>
    <n v="4"/>
    <n v="5699"/>
    <n v="1006"/>
    <n v="4693"/>
    <n v="0.73399999999999999"/>
    <n v="2835"/>
    <n v="57"/>
    <n v="0.9"/>
    <n v="0.17699999999999999"/>
    <n v="3.2941999999999997E-4"/>
    <n v="0.99966999999999995"/>
    <s v="13.519497487156707"/>
    <s v="51.95898776461793"/>
    <s v="13.730826176243742"/>
    <s v="0.4525608980212997"/>
    <n v="793461933"/>
    <x v="0"/>
    <n v="5.0770019999999999E-4"/>
    <x v="0"/>
  </r>
  <r>
    <n v="51"/>
    <n v="0"/>
    <n v="2"/>
    <n v="0"/>
    <n v="1"/>
    <n v="4"/>
    <n v="0"/>
    <n v="25"/>
    <n v="4"/>
    <n v="3"/>
    <n v="3"/>
    <n v="3042"/>
    <n v="0"/>
    <n v="3042"/>
    <n v="0.57799999999999996"/>
    <n v="4781"/>
    <n v="79"/>
    <n v="0.75600000000000001"/>
    <n v="0"/>
    <n v="2.9410999999999999E-4"/>
    <n v="0.99970999999999999"/>
    <s v="0.4854312333903113"/>
    <s v="34.196678205181335"/>
    <s v="49.33534753023061"/>
    <n v="8.4489249684201297"/>
    <n v="720494058"/>
    <x v="0"/>
    <n v="6.9517245999999998E-4"/>
    <x v="0"/>
  </r>
  <r>
    <n v="63"/>
    <n v="1"/>
    <n v="1"/>
    <n v="2"/>
    <n v="1"/>
    <n v="1"/>
    <n v="0"/>
    <n v="53"/>
    <n v="4"/>
    <n v="1"/>
    <n v="2"/>
    <n v="6128"/>
    <n v="1895"/>
    <n v="4233"/>
    <n v="0.58299999999999996"/>
    <n v="1700"/>
    <n v="42"/>
    <n v="0.35499999999999998"/>
    <n v="0.309"/>
    <s v="5.1697e-05"/>
    <n v="0.99995000000000001"/>
    <s v="7.263811275056709"/>
    <s v="15.445275794884283"/>
    <s v="45.06076738541144"/>
    <s v="1.1707668869411414"/>
    <n v="711802758"/>
    <x v="0"/>
    <n v="1.1982243E-3"/>
    <x v="0"/>
  </r>
  <r>
    <n v="49"/>
    <n v="0"/>
    <n v="5"/>
    <n v="2"/>
    <n v="1"/>
    <n v="5"/>
    <n v="0"/>
    <n v="43"/>
    <n v="4"/>
    <n v="3"/>
    <n v="2"/>
    <n v="2557"/>
    <n v="2351"/>
    <n v="206"/>
    <n v="0.80700000000000005"/>
    <n v="4342"/>
    <n v="73"/>
    <n v="1.147"/>
    <n v="0.91900000000000004"/>
    <n v="1.8569999999999999E-4"/>
    <n v="0.99980999999999998"/>
    <s v="6.0539069490620605"/>
    <s v="25.41013107238781"/>
    <s v="36.57589099788945"/>
    <s v="4.720493168628681"/>
    <n v="791754258"/>
    <x v="0"/>
    <n v="3.2101269999999999E-4"/>
    <x v="0"/>
  </r>
  <r>
    <n v="54"/>
    <n v="0"/>
    <n v="1"/>
    <n v="6"/>
    <n v="1"/>
    <n v="4"/>
    <n v="0"/>
    <n v="39"/>
    <n v="3"/>
    <n v="2"/>
    <n v="4"/>
    <n v="2720"/>
    <n v="1694"/>
    <n v="1026"/>
    <n v="0.84299999999999997"/>
    <n v="5103"/>
    <n v="81"/>
    <n v="0.76100000000000001"/>
    <n v="0.623"/>
    <n v="3.3691999999999999E-4"/>
    <n v="0.99965999999999999"/>
    <s v="32.01273143895988"/>
    <s v="46.17232706954224"/>
    <s v="60.14782863839744"/>
    <s v="13.167281690289592"/>
    <n v="713132133"/>
    <x v="0"/>
    <n v="3.2101269999999999E-4"/>
    <x v="0"/>
  </r>
  <r>
    <n v="50"/>
    <n v="0"/>
    <n v="0"/>
    <n v="5"/>
    <n v="2"/>
    <n v="1"/>
    <n v="0"/>
    <n v="41"/>
    <n v="6"/>
    <n v="2"/>
    <n v="3"/>
    <n v="7507"/>
    <n v="1697"/>
    <n v="5810"/>
    <n v="1.0980000000000001"/>
    <n v="4651"/>
    <n v="71"/>
    <n v="1.0289999999999999"/>
    <n v="0.22600000000000001"/>
    <n v="1.6891000000000001E-4"/>
    <n v="0.99983"/>
    <s v="33.41546945125715"/>
    <s v="0.1973784616163338"/>
    <s v="41.48101221511886"/>
    <s v="3.024216856589508"/>
    <n v="710978058"/>
    <x v="0"/>
    <n v="3.3750932000000002E-4"/>
    <x v="0"/>
  </r>
  <r>
    <n v="43"/>
    <n v="0"/>
    <n v="4"/>
    <n v="6"/>
    <n v="2"/>
    <n v="5"/>
    <n v="0"/>
    <n v="28"/>
    <n v="2"/>
    <n v="2"/>
    <n v="1"/>
    <n v="2838"/>
    <n v="1934"/>
    <n v="904"/>
    <n v="0.873"/>
    <n v="8644"/>
    <n v="87"/>
    <n v="0.55400000000000005"/>
    <n v="0.68100000000000005"/>
    <s v="7.9128e-05"/>
    <n v="0.99992000000000003"/>
    <s v="5.666380730051743"/>
    <s v="27.85478167404742"/>
    <s v="50.73305495482434"/>
    <s v="1.7438985858681095"/>
    <n v="708682908"/>
    <x v="0"/>
    <n v="3.7789578000000003E-4"/>
    <x v="0"/>
  </r>
  <r>
    <n v="39"/>
    <n v="0"/>
    <n v="1"/>
    <n v="4"/>
    <n v="1"/>
    <n v="1"/>
    <n v="0"/>
    <n v="36"/>
    <n v="5"/>
    <n v="3"/>
    <n v="2"/>
    <n v="2147"/>
    <n v="771"/>
    <n v="1376"/>
    <n v="0.69"/>
    <n v="4631"/>
    <n v="76"/>
    <n v="0.76700000000000002"/>
    <n v="0.35899999999999999"/>
    <n v="1.9866E-4"/>
    <n v="0.99980000000000002"/>
    <s v="13.88510856907278"/>
    <s v="5.684432275517273"/>
    <s v="40.75384133575675"/>
    <s v="16.475895666348364"/>
    <n v="708378108"/>
    <x v="0"/>
    <n v="5.2566850000000003E-4"/>
    <x v="0"/>
  </r>
  <r>
    <n v="55"/>
    <n v="1"/>
    <n v="0"/>
    <n v="3"/>
    <n v="1"/>
    <n v="0"/>
    <n v="0"/>
    <n v="49"/>
    <n v="5"/>
    <n v="3"/>
    <n v="3"/>
    <n v="3805"/>
    <n v="2233"/>
    <n v="1572"/>
    <n v="1.095"/>
    <n v="1743"/>
    <n v="27"/>
    <n v="0.92900000000000005"/>
    <n v="0.58699999999999997"/>
    <n v="2.5237000000000002E-4"/>
    <n v="0.99975000000000003"/>
    <s v="5.567846793352925"/>
    <s v="31.824065026710947"/>
    <s v="45.80418431218166"/>
    <s v="5.639696393661096"/>
    <n v="804359133"/>
    <x v="0"/>
    <n v="9.8706899999999992E-4"/>
    <x v="0"/>
  </r>
  <r>
    <n v="63"/>
    <n v="0"/>
    <n v="0"/>
    <n v="6"/>
    <n v="2"/>
    <n v="4"/>
    <n v="0"/>
    <n v="36"/>
    <n v="6"/>
    <n v="1"/>
    <n v="1"/>
    <n v="4847"/>
    <n v="1856"/>
    <n v="2991"/>
    <n v="0.61"/>
    <n v="4712"/>
    <n v="76"/>
    <n v="0.81"/>
    <n v="0.38300000000000001"/>
    <s v="3.1329e-05"/>
    <n v="0.99997000000000003"/>
    <s v="21.87253411781104"/>
    <s v="30.959937634850224"/>
    <s v="88.19710260946971"/>
    <s v="15.52721630360616"/>
    <n v="709350783"/>
    <x v="0"/>
    <n v="3.2101269999999999E-4"/>
    <x v="0"/>
  </r>
  <r>
    <n v="38"/>
    <n v="1"/>
    <n v="2"/>
    <n v="5"/>
    <n v="1"/>
    <n v="3"/>
    <n v="0"/>
    <n v="33"/>
    <n v="3"/>
    <n v="1"/>
    <n v="4"/>
    <n v="20117"/>
    <n v="1226"/>
    <n v="18891"/>
    <n v="1.4"/>
    <n v="2906"/>
    <n v="58"/>
    <n v="1"/>
    <n v="6.0999999999999999E-2"/>
    <n v="1.6249E-4"/>
    <n v="0.99983999999999995"/>
    <s v="45.72945715774215"/>
    <s v="47.44682050612666"/>
    <s v="78.26718442309082"/>
    <s v="7.063843043536924"/>
    <n v="806889633"/>
    <x v="0"/>
    <n v="4.8031326E-4"/>
    <x v="0"/>
  </r>
  <r>
    <n v="46"/>
    <n v="1"/>
    <n v="4"/>
    <n v="3"/>
    <n v="0"/>
    <n v="0"/>
    <n v="0"/>
    <n v="31"/>
    <n v="2"/>
    <n v="3"/>
    <n v="1"/>
    <n v="3569"/>
    <n v="1553"/>
    <n v="2016"/>
    <n v="0.79800000000000004"/>
    <n v="16695"/>
    <n v="116"/>
    <n v="0.68100000000000005"/>
    <n v="0.435"/>
    <n v="1.106E-4"/>
    <n v="0.99988999999999995"/>
    <s v="11.318671824849496"/>
    <s v="6.516953971649754"/>
    <s v="49.32367573014525"/>
    <n v="0.30936482117244002"/>
    <n v="720852108"/>
    <x v="0"/>
    <n v="3.4656386999999997E-4"/>
    <x v="0"/>
  </r>
  <r>
    <n v="48"/>
    <n v="1"/>
    <n v="1"/>
    <n v="2"/>
    <n v="2"/>
    <n v="3"/>
    <n v="0"/>
    <n v="36"/>
    <n v="1"/>
    <n v="3"/>
    <n v="1"/>
    <n v="2754"/>
    <n v="2152"/>
    <n v="602"/>
    <n v="0.82099999999999995"/>
    <n v="13991"/>
    <n v="125"/>
    <n v="0.76100000000000001"/>
    <n v="0.78100000000000003"/>
    <n v="1.0182E-4"/>
    <n v="0.99990000000000001"/>
    <s v="26.165825161793823"/>
    <s v="31.309556296824955"/>
    <s v="3.2364177762903736"/>
    <s v="17.877038997634195"/>
    <n v="710771433"/>
    <x v="0"/>
    <n v="3.4656386999999997E-4"/>
    <x v="0"/>
  </r>
  <r>
    <n v="40"/>
    <n v="1"/>
    <n v="4"/>
    <n v="5"/>
    <n v="2"/>
    <n v="0"/>
    <n v="0"/>
    <n v="36"/>
    <n v="4"/>
    <n v="3"/>
    <n v="2"/>
    <n v="5773"/>
    <n v="2024"/>
    <n v="3749"/>
    <n v="0.97699999999999998"/>
    <n v="3732"/>
    <n v="71"/>
    <n v="0.97199999999999998"/>
    <n v="0.35099999999999998"/>
    <n v="1.9395999999999999E-4"/>
    <n v="0.99980999999999998"/>
    <s v="16.32953801650574"/>
    <s v="35.79604767699697"/>
    <s v="62.197233381166654"/>
    <s v="6.317564232417201"/>
    <n v="712667958"/>
    <x v="0"/>
    <n v="3.3750932000000002E-4"/>
    <x v="0"/>
  </r>
  <r>
    <n v="39"/>
    <n v="1"/>
    <n v="2"/>
    <n v="5"/>
    <n v="2"/>
    <n v="3"/>
    <n v="0"/>
    <n v="36"/>
    <n v="6"/>
    <n v="2"/>
    <n v="4"/>
    <n v="7901"/>
    <n v="1184"/>
    <n v="6717"/>
    <n v="0.86299999999999999"/>
    <n v="3667"/>
    <n v="66"/>
    <n v="0.78400000000000003"/>
    <n v="0.15"/>
    <n v="3.3576999999999999E-4"/>
    <n v="0.99965999999999999"/>
    <s v="38.48656315090626"/>
    <s v="5.866211675404094"/>
    <s v="142.4248807499313"/>
    <s v="15.991170616641824"/>
    <n v="713814408"/>
    <x v="0"/>
    <n v="3.2101269999999999E-4"/>
    <x v="0"/>
  </r>
  <r>
    <n v="41"/>
    <n v="0"/>
    <n v="3"/>
    <n v="2"/>
    <n v="2"/>
    <n v="4"/>
    <n v="0"/>
    <n v="28"/>
    <n v="6"/>
    <n v="1"/>
    <n v="2"/>
    <n v="7768"/>
    <n v="1669"/>
    <n v="6099"/>
    <n v="0.79700000000000004"/>
    <n v="1051"/>
    <n v="22"/>
    <n v="0.83299999999999996"/>
    <n v="0.215"/>
    <s v="5.7151e-05"/>
    <n v="0.99994000000000005"/>
    <s v="19.90673701131742"/>
    <s v="15.10597566700912"/>
    <s v="94.65515258306048"/>
    <n v="9.1754252749746303"/>
    <n v="771071958"/>
    <x v="0"/>
    <n v="1.0667827000000001E-3"/>
    <x v="0"/>
  </r>
  <r>
    <n v="46"/>
    <n v="0"/>
    <n v="2"/>
    <n v="6"/>
    <n v="2"/>
    <n v="4"/>
    <n v="0"/>
    <n v="36"/>
    <n v="6"/>
    <n v="3"/>
    <n v="3"/>
    <n v="1731"/>
    <n v="0"/>
    <n v="1731"/>
    <n v="0.52900000000000003"/>
    <n v="2304"/>
    <n v="46"/>
    <n v="1"/>
    <n v="0"/>
    <n v="0.997"/>
    <n v="2.9974300000000001E-3"/>
    <s v="6.703638860883616"/>
    <s v="45.955744706826486"/>
    <s v="13.875098439958158"/>
    <s v="17.144715554225805"/>
    <n v="712733958"/>
    <x v="1"/>
    <n v="0.99816364000000002"/>
    <x v="1"/>
  </r>
  <r>
    <n v="59"/>
    <n v="0"/>
    <n v="0"/>
    <n v="6"/>
    <n v="1"/>
    <n v="5"/>
    <n v="0"/>
    <n v="49"/>
    <n v="5"/>
    <n v="2"/>
    <n v="4"/>
    <n v="6996"/>
    <n v="0"/>
    <n v="6996"/>
    <n v="0.871"/>
    <n v="2384"/>
    <n v="33"/>
    <n v="0.375"/>
    <n v="0"/>
    <n v="0.99677000000000004"/>
    <n v="3.23494E-3"/>
    <n v="29.9886799151415"/>
    <s v="27.031499893762437"/>
    <s v="59.101900582353785"/>
    <s v="9.666143368005692"/>
    <n v="718404783"/>
    <x v="1"/>
    <n v="0.99837339999999997"/>
    <x v="1"/>
  </r>
  <r>
    <n v="54"/>
    <n v="1"/>
    <n v="1"/>
    <n v="0"/>
    <n v="1"/>
    <n v="0"/>
    <n v="0"/>
    <n v="44"/>
    <n v="4"/>
    <n v="3"/>
    <n v="2"/>
    <n v="2821"/>
    <n v="2415"/>
    <n v="406"/>
    <n v="0.441"/>
    <n v="1419"/>
    <n v="36"/>
    <n v="0.8"/>
    <n v="0.85599999999999998"/>
    <n v="1.6415000000000001E-4"/>
    <n v="0.99983999999999995"/>
    <s v="25.686988384162557"/>
    <s v="114.74406468132426"/>
    <s v="90.89206899935635"/>
    <s v="8.629969805276199"/>
    <n v="711258108"/>
    <x v="0"/>
    <n v="9.8706899999999992E-4"/>
    <x v="0"/>
  </r>
  <r>
    <n v="51"/>
    <n v="1"/>
    <n v="3"/>
    <n v="3"/>
    <n v="2"/>
    <n v="2"/>
    <n v="0"/>
    <n v="43"/>
    <n v="5"/>
    <n v="3"/>
    <n v="3"/>
    <n v="7119"/>
    <n v="1513"/>
    <n v="5606"/>
    <n v="0.92500000000000004"/>
    <n v="4969"/>
    <n v="84"/>
    <n v="0.90900000000000003"/>
    <n v="0.21299999999999999"/>
    <n v="3.0516000000000001E-4"/>
    <n v="0.99968999999999997"/>
    <s v="14.589096392017924"/>
    <s v="87.34898467648411"/>
    <s v="4.8610450917925085"/>
    <s v="6.4519039151356825"/>
    <n v="711421233"/>
    <x v="0"/>
    <n v="3.3750932000000002E-4"/>
    <x v="0"/>
  </r>
  <r>
    <n v="56"/>
    <n v="1"/>
    <n v="1"/>
    <n v="3"/>
    <n v="1"/>
    <n v="0"/>
    <n v="0"/>
    <n v="37"/>
    <n v="4"/>
    <n v="1"/>
    <n v="3"/>
    <n v="9257"/>
    <n v="0"/>
    <n v="9257"/>
    <n v="0.72199999999999998"/>
    <n v="4212"/>
    <n v="72"/>
    <n v="0.89500000000000002"/>
    <n v="0"/>
    <s v="8.453e-05"/>
    <n v="0.99992000000000003"/>
    <s v="1.6546410144298314"/>
    <s v="62.43993419053344"/>
    <s v="118.98027157367216"/>
    <s v="4.499192429006831"/>
    <n v="779065458"/>
    <x v="0"/>
    <n v="6.9517245999999998E-4"/>
    <x v="0"/>
  </r>
  <r>
    <n v="46"/>
    <n v="1"/>
    <n v="4"/>
    <n v="2"/>
    <n v="1"/>
    <n v="2"/>
    <n v="0"/>
    <n v="36"/>
    <n v="3"/>
    <n v="3"/>
    <n v="3"/>
    <n v="3258"/>
    <n v="0"/>
    <n v="3258"/>
    <n v="0.78400000000000003"/>
    <n v="3169"/>
    <n v="67"/>
    <n v="0.48899999999999999"/>
    <n v="0"/>
    <n v="3.1725999999999998E-4"/>
    <n v="0.99968000000000001"/>
    <s v="13.355534027194564"/>
    <n v="42.0935811546263"/>
    <s v="4.857019014226507"/>
    <s v="24.27423578441272"/>
    <n v="712198983"/>
    <x v="0"/>
    <n v="8.3350899999999996E-4"/>
    <x v="0"/>
  </r>
  <r>
    <n v="47"/>
    <n v="0"/>
    <n v="3"/>
    <n v="5"/>
    <n v="2"/>
    <n v="5"/>
    <n v="3"/>
    <n v="33"/>
    <n v="2"/>
    <n v="2"/>
    <n v="3"/>
    <n v="34516"/>
    <n v="1930"/>
    <n v="32586"/>
    <n v="0.93"/>
    <n v="16369"/>
    <n v="125"/>
    <n v="0.73599999999999999"/>
    <n v="5.6000000000000001E-2"/>
    <n v="1.8455000000000001E-4"/>
    <n v="0.99982000000000004"/>
    <s v="46.04992750006603"/>
    <s v="12.980510449823262"/>
    <s v="20.46448815286994"/>
    <s v="15.445313731895912"/>
    <n v="793560033"/>
    <x v="0"/>
    <n v="4.0555582000000002E-4"/>
    <x v="0"/>
  </r>
  <r>
    <n v="49"/>
    <n v="1"/>
    <n v="4"/>
    <n v="3"/>
    <n v="1"/>
    <n v="3"/>
    <n v="0"/>
    <n v="40"/>
    <n v="2"/>
    <n v="3"/>
    <n v="2"/>
    <n v="7667"/>
    <n v="2191"/>
    <n v="5476"/>
    <n v="0.68200000000000005"/>
    <n v="7886"/>
    <n v="94"/>
    <n v="0.67900000000000005"/>
    <n v="0.28599999999999998"/>
    <n v="1.8338999999999999E-4"/>
    <n v="0.99982000000000004"/>
    <s v="50.94281733533735"/>
    <s v="10.872385970996891"/>
    <s v="77.58340846412933"/>
    <s v="13.790119272802396"/>
    <n v="716725008"/>
    <x v="0"/>
    <n v="3.6856539999999998E-4"/>
    <x v="0"/>
  </r>
  <r>
    <n v="42"/>
    <n v="0"/>
    <n v="3"/>
    <n v="2"/>
    <n v="2"/>
    <n v="1"/>
    <n v="0"/>
    <n v="36"/>
    <n v="6"/>
    <n v="2"/>
    <n v="3"/>
    <n v="1451"/>
    <n v="599"/>
    <n v="852"/>
    <n v="0.752"/>
    <n v="2192"/>
    <n v="35"/>
    <n v="0.45800000000000002"/>
    <n v="0.41299999999999998"/>
    <n v="0.99499000000000004"/>
    <n v="5.0099999999999997E-3"/>
    <s v="16.621480748091876"/>
    <s v="19.81475303847892"/>
    <s v="79.94068175248414"/>
    <n v="6.2132836756567403E-2"/>
    <n v="708726708"/>
    <x v="1"/>
    <n v="0.99828064000000005"/>
    <x v="1"/>
  </r>
  <r>
    <n v="46"/>
    <n v="1"/>
    <n v="3"/>
    <n v="0"/>
    <n v="3"/>
    <n v="3"/>
    <n v="0"/>
    <n v="36"/>
    <n v="4"/>
    <n v="2"/>
    <n v="2"/>
    <n v="24869"/>
    <n v="1729"/>
    <n v="23140"/>
    <n v="0.40799999999999997"/>
    <n v="1409"/>
    <n v="36"/>
    <n v="0.5"/>
    <n v="7.0000000000000007E-2"/>
    <n v="1.1483E-4"/>
    <n v="0.99988999999999995"/>
    <s v="69.73392159502713"/>
    <n v="18.801020083754299"/>
    <s v="135.32267904379637"/>
    <s v="24.026738876089414"/>
    <n v="708864708"/>
    <x v="0"/>
    <n v="1.3335287000000001E-3"/>
    <x v="0"/>
  </r>
  <r>
    <n v="51"/>
    <n v="1"/>
    <n v="2"/>
    <n v="6"/>
    <n v="0"/>
    <n v="3"/>
    <n v="0"/>
    <n v="38"/>
    <n v="4"/>
    <n v="2"/>
    <n v="3"/>
    <n v="21382"/>
    <n v="1692"/>
    <n v="19690"/>
    <n v="0.73099999999999998"/>
    <n v="3060"/>
    <n v="66"/>
    <n v="0.65"/>
    <n v="7.9000000000000001E-2"/>
    <n v="2.1042000000000001E-4"/>
    <n v="0.99978999999999996"/>
    <s v="72.17999760361745"/>
    <s v="23.547041540426083"/>
    <s v="55.02902838908475"/>
    <s v="7.937006562503892"/>
    <n v="711688983"/>
    <x v="0"/>
    <n v="3.6863127000000002E-4"/>
    <x v="0"/>
  </r>
  <r>
    <n v="42"/>
    <n v="1"/>
    <n v="4"/>
    <n v="0"/>
    <n v="2"/>
    <n v="1"/>
    <n v="0"/>
    <n v="36"/>
    <n v="3"/>
    <n v="3"/>
    <n v="2"/>
    <n v="2502"/>
    <n v="1488"/>
    <n v="1014"/>
    <n v="0.56000000000000005"/>
    <n v="3763"/>
    <n v="75"/>
    <n v="0.875"/>
    <n v="0.59499999999999997"/>
    <n v="1.8340000000000001E-4"/>
    <n v="0.99982000000000004"/>
    <s v="48.490090290430665"/>
    <s v="33.95226113998101"/>
    <s v="39.66520159824727"/>
    <s v="14.093115591973184"/>
    <n v="769684158"/>
    <x v="0"/>
    <n v="3.2101269999999999E-4"/>
    <x v="0"/>
  </r>
  <r>
    <n v="41"/>
    <n v="0"/>
    <n v="3"/>
    <n v="6"/>
    <n v="1"/>
    <n v="4"/>
    <n v="0"/>
    <n v="32"/>
    <n v="3"/>
    <n v="2"/>
    <n v="3"/>
    <n v="1438.3"/>
    <n v="0"/>
    <n v="1438.3"/>
    <n v="0.372"/>
    <n v="1852"/>
    <n v="38"/>
    <n v="0.31"/>
    <n v="0"/>
    <n v="0.99543999999999999"/>
    <n v="4.5580500000000001E-3"/>
    <s v="13.491526096331723"/>
    <s v="61.97724619944224"/>
    <s v="47.24611384998004"/>
    <s v="5.828748574046191"/>
    <n v="714287583"/>
    <x v="1"/>
    <n v="0.99860470000000001"/>
    <x v="1"/>
  </r>
  <r>
    <n v="47"/>
    <n v="0"/>
    <n v="4"/>
    <n v="1"/>
    <n v="2"/>
    <n v="4"/>
    <n v="0"/>
    <n v="36"/>
    <n v="3"/>
    <n v="2"/>
    <n v="2"/>
    <n v="2765"/>
    <n v="901"/>
    <n v="1864"/>
    <n v="0.89800000000000002"/>
    <n v="4990"/>
    <n v="80"/>
    <n v="0.90500000000000003"/>
    <n v="0.32600000000000001"/>
    <n v="1.7274E-4"/>
    <n v="0.99983"/>
    <s v="0.2950768376466286"/>
    <s v="33.81895215828557"/>
    <s v="55.69405423653114"/>
    <s v="10.457965989732472"/>
    <n v="715204083"/>
    <x v="0"/>
    <n v="4.1131722000000001E-4"/>
    <x v="0"/>
  </r>
  <r>
    <n v="49"/>
    <n v="0"/>
    <n v="3"/>
    <n v="6"/>
    <n v="0"/>
    <n v="4"/>
    <n v="0"/>
    <n v="38"/>
    <n v="3"/>
    <n v="3"/>
    <n v="4"/>
    <n v="1652"/>
    <n v="812"/>
    <n v="840"/>
    <n v="0.54800000000000004"/>
    <n v="1771"/>
    <n v="47"/>
    <n v="0.51600000000000001"/>
    <n v="0.49199999999999999"/>
    <n v="5.8850999999999999E-4"/>
    <n v="0.99941000000000002"/>
    <s v="39.91518017483183"/>
    <s v="0.5689033216006718"/>
    <s v="2.860448213947947"/>
    <s v="3.930447076850778"/>
    <n v="720673008"/>
    <x v="0"/>
    <n v="1.9488289E-3"/>
    <x v="0"/>
  </r>
  <r>
    <n v="55"/>
    <n v="1"/>
    <n v="0"/>
    <n v="3"/>
    <n v="0"/>
    <n v="3"/>
    <n v="0"/>
    <n v="44"/>
    <n v="4"/>
    <n v="3"/>
    <n v="3"/>
    <n v="19793"/>
    <n v="2488"/>
    <n v="17305"/>
    <n v="0.59399999999999997"/>
    <n v="2186"/>
    <n v="44"/>
    <n v="0.46700000000000003"/>
    <n v="0.126"/>
    <n v="0.99604999999999999"/>
    <n v="3.9458200000000001E-3"/>
    <s v="57.29524714964426"/>
    <s v="79.96959545109853"/>
    <s v="129.6210698087328"/>
    <s v="26.70002315785309"/>
    <n v="712849158"/>
    <x v="1"/>
    <n v="0.99584656999999999"/>
    <x v="1"/>
  </r>
  <r>
    <n v="45"/>
    <n v="0"/>
    <n v="2"/>
    <n v="0"/>
    <n v="0"/>
    <n v="1"/>
    <n v="0"/>
    <n v="39"/>
    <n v="4"/>
    <n v="3"/>
    <n v="4"/>
    <n v="3076"/>
    <n v="0"/>
    <n v="3076"/>
    <n v="0.73399999999999999"/>
    <n v="2580"/>
    <n v="50"/>
    <n v="0.42899999999999999"/>
    <n v="0"/>
    <n v="0.99800999999999995"/>
    <n v="1.9883499999999998E-3"/>
    <s v="24.31125983122071"/>
    <s v="5.581586275868215"/>
    <s v="111.4091753011079"/>
    <s v="1.8181152609818576"/>
    <n v="789637308"/>
    <x v="1"/>
    <n v="0.99802919999999995"/>
    <x v="1"/>
  </r>
  <r>
    <n v="50"/>
    <n v="1"/>
    <n v="2"/>
    <n v="3"/>
    <n v="1"/>
    <n v="2"/>
    <n v="0"/>
    <n v="43"/>
    <n v="6"/>
    <n v="3"/>
    <n v="4"/>
    <n v="21869"/>
    <n v="950"/>
    <n v="20919"/>
    <n v="0.86599999999999999"/>
    <n v="4233"/>
    <n v="71"/>
    <n v="0.77500000000000002"/>
    <n v="4.2999999999999997E-2"/>
    <n v="5.0162999999999998E-4"/>
    <n v="0.99950000000000006"/>
    <s v="26.10764362477275"/>
    <n v="43.658671795334101"/>
    <s v="50.13995386593035"/>
    <s v="25.624065025058147"/>
    <n v="743590608"/>
    <x v="0"/>
    <n v="4.3989909999999998E-4"/>
    <x v="0"/>
  </r>
  <r>
    <n v="44"/>
    <n v="1"/>
    <n v="4"/>
    <n v="5"/>
    <n v="3"/>
    <n v="1"/>
    <n v="3"/>
    <n v="40"/>
    <n v="1"/>
    <n v="1"/>
    <n v="2"/>
    <n v="18072"/>
    <n v="1378"/>
    <n v="16694"/>
    <n v="0.73"/>
    <n v="8199"/>
    <n v="98"/>
    <n v="0.75"/>
    <n v="7.5999999999999998E-2"/>
    <s v="5.3664e-05"/>
    <n v="0.99995000000000001"/>
    <s v="46.37426698591781"/>
    <s v="37.51960233584897"/>
    <n v="60.778609449093302"/>
    <n v="18.137339381050701"/>
    <n v="826150608"/>
    <x v="0"/>
    <n v="3.9896389999999999E-4"/>
    <x v="0"/>
  </r>
  <r>
    <n v="56"/>
    <n v="1"/>
    <n v="2"/>
    <n v="1"/>
    <n v="2"/>
    <n v="3"/>
    <n v="0"/>
    <n v="48"/>
    <n v="4"/>
    <n v="3"/>
    <n v="3"/>
    <n v="4480"/>
    <n v="2465"/>
    <n v="2015"/>
    <n v="0.77200000000000002"/>
    <n v="3331"/>
    <n v="74"/>
    <n v="0.68200000000000005"/>
    <n v="0.55000000000000004"/>
    <n v="4.3772E-4"/>
    <n v="0.99956"/>
    <s v="10.808768806564675"/>
    <s v="37.40450588927939"/>
    <s v="31.12575964437448"/>
    <s v="11.543634919770229"/>
    <n v="716989683"/>
    <x v="0"/>
    <n v="3.4692350000000002E-4"/>
    <x v="0"/>
  </r>
  <r>
    <n v="46"/>
    <n v="0"/>
    <n v="4"/>
    <n v="2"/>
    <n v="1"/>
    <n v="5"/>
    <n v="0"/>
    <n v="32"/>
    <n v="2"/>
    <n v="1"/>
    <n v="1"/>
    <n v="5798"/>
    <n v="680"/>
    <n v="5118"/>
    <n v="0.70799999999999996"/>
    <n v="5027"/>
    <n v="82"/>
    <n v="0.64"/>
    <n v="0.11700000000000001"/>
    <s v="3.4833e-05"/>
    <n v="0.99997000000000003"/>
    <s v="26.909804949913216"/>
    <s v="36.738632866102485"/>
    <s v="24.509792044967227"/>
    <s v="2.185291447292958"/>
    <n v="720789933"/>
    <x v="0"/>
    <n v="5.5868360000000002E-4"/>
    <x v="0"/>
  </r>
  <r>
    <n v="45"/>
    <n v="0"/>
    <n v="4"/>
    <n v="3"/>
    <n v="2"/>
    <n v="5"/>
    <n v="0"/>
    <n v="35"/>
    <n v="3"/>
    <n v="4"/>
    <n v="2"/>
    <n v="8795"/>
    <n v="2517"/>
    <n v="6278"/>
    <n v="0.625"/>
    <n v="4552"/>
    <n v="81"/>
    <n v="0.58799999999999997"/>
    <n v="0.28599999999999998"/>
    <n v="2.2162000000000001E-4"/>
    <n v="0.99978"/>
    <s v="8.553460814225877"/>
    <s v="53.07406639730038"/>
    <n v="45.187543782499802"/>
    <s v="12.297063652038236"/>
    <n v="772506858"/>
    <x v="0"/>
    <n v="3.5570623000000002E-4"/>
    <x v="0"/>
  </r>
  <r>
    <n v="44"/>
    <n v="1"/>
    <n v="4"/>
    <n v="6"/>
    <n v="2"/>
    <n v="2"/>
    <n v="0"/>
    <n v="24"/>
    <n v="5"/>
    <n v="3"/>
    <n v="2"/>
    <n v="11042"/>
    <n v="2211"/>
    <n v="8831"/>
    <n v="0.89700000000000002"/>
    <n v="1140"/>
    <n v="25"/>
    <n v="0.78600000000000003"/>
    <n v="0.2"/>
    <n v="2.0735E-4"/>
    <n v="0.99978999999999996"/>
    <s v="35.55552340630167"/>
    <s v="68.54156070524931"/>
    <s v="72.73811230143797"/>
    <s v="6.257634343196612"/>
    <n v="719226333"/>
    <x v="0"/>
    <n v="9.8706899999999992E-4"/>
    <x v="0"/>
  </r>
  <r>
    <n v="51"/>
    <n v="1"/>
    <n v="2"/>
    <n v="4"/>
    <n v="3"/>
    <n v="3"/>
    <n v="1"/>
    <n v="46"/>
    <n v="2"/>
    <n v="3"/>
    <n v="2"/>
    <n v="34516"/>
    <n v="814"/>
    <n v="33702"/>
    <n v="0.73499999999999999"/>
    <n v="7889"/>
    <n v="98"/>
    <n v="0.50800000000000001"/>
    <n v="2.4E-2"/>
    <n v="2.4383E-4"/>
    <n v="0.99975999999999998"/>
    <s v="33.69404850463306"/>
    <s v="4.672569888502779"/>
    <s v="65.05632430570469"/>
    <s v="3.906142825719354"/>
    <n v="713894358"/>
    <x v="0"/>
    <n v="6.9398029999999996E-4"/>
    <x v="0"/>
  </r>
  <r>
    <n v="47"/>
    <n v="0"/>
    <n v="3"/>
    <n v="2"/>
    <n v="1"/>
    <n v="1"/>
    <n v="3"/>
    <n v="29"/>
    <n v="1"/>
    <n v="2"/>
    <n v="2"/>
    <n v="15472"/>
    <n v="865"/>
    <n v="14607"/>
    <n v="0.75600000000000001"/>
    <n v="14132"/>
    <n v="103"/>
    <n v="0.746"/>
    <n v="5.6000000000000001E-2"/>
    <n v="1.0671999999999999E-4"/>
    <n v="0.99988999999999995"/>
    <s v="38.73332605986195"/>
    <s v="28.64921590902799"/>
    <s v="49.44619564363448"/>
    <s v="9.966284135531833"/>
    <n v="714352533"/>
    <x v="0"/>
    <n v="5.2027050000000004E-4"/>
    <x v="0"/>
  </r>
  <r>
    <n v="45"/>
    <n v="0"/>
    <n v="3"/>
    <n v="6"/>
    <n v="0"/>
    <n v="4"/>
    <n v="0"/>
    <n v="34"/>
    <n v="4"/>
    <n v="3"/>
    <n v="1"/>
    <n v="3223"/>
    <n v="243"/>
    <n v="2980"/>
    <n v="0.433"/>
    <n v="1979"/>
    <n v="38"/>
    <n v="0.46200000000000002"/>
    <n v="7.4999999999999997E-2"/>
    <n v="0.99197999999999997"/>
    <n v="8.0199999999999994E-3"/>
    <s v="45.03473807834956"/>
    <s v="24.510372121916877"/>
    <s v="63.062912231746914"/>
    <s v="2.195168742304413"/>
    <n v="713772333"/>
    <x v="1"/>
    <n v="0.99855417000000002"/>
    <x v="1"/>
  </r>
  <r>
    <n v="49"/>
    <n v="0"/>
    <n v="3"/>
    <n v="6"/>
    <n v="2"/>
    <n v="4"/>
    <n v="0"/>
    <n v="37"/>
    <n v="2"/>
    <n v="2"/>
    <n v="2"/>
    <n v="5855"/>
    <n v="0"/>
    <n v="5855"/>
    <n v="0.96199999999999997"/>
    <n v="9202"/>
    <n v="80"/>
    <n v="0.86"/>
    <n v="0"/>
    <n v="0.99236000000000002"/>
    <n v="7.6400000000000001E-3"/>
    <s v="14.228336813124429"/>
    <s v="64.50617289227642"/>
    <s v="56.065804118713125"/>
    <n v="2.8321043408792799E-2"/>
    <n v="719118708"/>
    <x v="1"/>
    <n v="0.99455450000000001"/>
    <x v="1"/>
  </r>
  <r>
    <n v="50"/>
    <n v="1"/>
    <n v="3"/>
    <n v="5"/>
    <n v="2"/>
    <n v="3"/>
    <n v="0"/>
    <n v="36"/>
    <n v="6"/>
    <n v="3"/>
    <n v="2"/>
    <n v="6925"/>
    <n v="0"/>
    <n v="6925"/>
    <n v="0.82099999999999995"/>
    <n v="2506"/>
    <n v="36"/>
    <n v="0.44"/>
    <n v="0"/>
    <n v="0.99482000000000004"/>
    <n v="5.1799999999999997E-3"/>
    <s v="57.861250339773015"/>
    <s v="22.89561845213655"/>
    <s v="74.84753385382052"/>
    <s v="4.400367477902658"/>
    <n v="718826883"/>
    <x v="1"/>
    <n v="0.99873226999999998"/>
    <x v="1"/>
  </r>
  <r>
    <n v="50"/>
    <n v="0"/>
    <n v="4"/>
    <n v="6"/>
    <n v="1"/>
    <n v="1"/>
    <n v="0"/>
    <n v="41"/>
    <n v="1"/>
    <n v="2"/>
    <n v="2"/>
    <n v="4268"/>
    <n v="1509"/>
    <n v="2759"/>
    <n v="0.56200000000000006"/>
    <n v="14351"/>
    <n v="112"/>
    <n v="0.86699999999999999"/>
    <n v="0.35399999999999998"/>
    <n v="1.3121000000000001E-4"/>
    <n v="0.99987000000000004"/>
    <s v="18.270245306847517"/>
    <s v="15.558500112249249"/>
    <s v="109.85569752026306"/>
    <s v="21.47495394542796"/>
    <n v="778260108"/>
    <x v="0"/>
    <n v="3.4656386999999997E-4"/>
    <x v="0"/>
  </r>
  <r>
    <n v="42"/>
    <n v="1"/>
    <n v="4"/>
    <n v="2"/>
    <n v="3"/>
    <n v="1"/>
    <n v="3"/>
    <n v="37"/>
    <n v="3"/>
    <n v="6"/>
    <n v="2"/>
    <n v="15871"/>
    <n v="2086"/>
    <n v="13785"/>
    <n v="0.745"/>
    <n v="1562"/>
    <n v="43"/>
    <n v="0.95499999999999996"/>
    <n v="0.13100000000000001"/>
    <n v="1.3456000000000001E-4"/>
    <n v="0.99987000000000004"/>
    <s v="1.0322771105423247"/>
    <s v="87.50320754728158"/>
    <s v="4.159739608470744"/>
    <s v="13.801397985689167"/>
    <n v="810220833"/>
    <x v="0"/>
    <n v="1.0249399E-3"/>
    <x v="0"/>
  </r>
  <r>
    <n v="36"/>
    <n v="0"/>
    <n v="1"/>
    <n v="0"/>
    <n v="2"/>
    <n v="1"/>
    <n v="0"/>
    <n v="25"/>
    <n v="6"/>
    <n v="3"/>
    <n v="3"/>
    <n v="1888"/>
    <n v="0"/>
    <n v="1888"/>
    <n v="0.92800000000000005"/>
    <n v="1886"/>
    <n v="66"/>
    <n v="0.65"/>
    <n v="0"/>
    <n v="2.7607E-4"/>
    <n v="0.99972000000000005"/>
    <s v="34.15225931498157"/>
    <s v="61.352426716931824"/>
    <s v="92.49689966467604"/>
    <s v="21.12713550847097"/>
    <n v="716144058"/>
    <x v="0"/>
    <n v="9.1512980000000004E-4"/>
    <x v="0"/>
  </r>
  <r>
    <n v="52"/>
    <n v="1"/>
    <n v="3"/>
    <n v="5"/>
    <n v="3"/>
    <n v="0"/>
    <n v="0"/>
    <n v="46"/>
    <n v="2"/>
    <n v="4"/>
    <n v="4"/>
    <n v="13354"/>
    <n v="0"/>
    <n v="13354"/>
    <n v="1.7999999999999999E-2"/>
    <n v="1097"/>
    <n v="28"/>
    <n v="7.6999999999999999E-2"/>
    <n v="0"/>
    <n v="0.99850000000000005"/>
    <n v="1.4999200000000001E-3"/>
    <n v="4.9728081346129498"/>
    <s v="51.43739038940068"/>
    <s v="31.34650594666642"/>
    <s v="3.5387818502678896"/>
    <n v="803796708"/>
    <x v="1"/>
    <n v="0.99843305000000004"/>
    <x v="1"/>
  </r>
  <r>
    <n v="26"/>
    <n v="0"/>
    <n v="0"/>
    <n v="2"/>
    <n v="3"/>
    <n v="4"/>
    <n v="0"/>
    <n v="14"/>
    <n v="3"/>
    <n v="2"/>
    <n v="1"/>
    <n v="2163"/>
    <n v="1942"/>
    <n v="221"/>
    <n v="0.58199999999999996"/>
    <n v="4380"/>
    <n v="57"/>
    <n v="0.78100000000000003"/>
    <n v="0.89800000000000002"/>
    <s v="5.8902e-05"/>
    <n v="0.99994000000000005"/>
    <s v="11.080585471479102"/>
    <s v="24.870722394926933"/>
    <s v="56.49120793523648"/>
    <s v="17.184295942494558"/>
    <n v="719534058"/>
    <x v="0"/>
    <n v="4.5978295E-4"/>
    <x v="0"/>
  </r>
  <r>
    <n v="42"/>
    <n v="1"/>
    <n v="3"/>
    <n v="6"/>
    <n v="1"/>
    <n v="4"/>
    <n v="3"/>
    <n v="31"/>
    <n v="1"/>
    <n v="1"/>
    <n v="1"/>
    <n v="14630"/>
    <n v="0"/>
    <n v="14630"/>
    <n v="0.752"/>
    <n v="8217"/>
    <n v="99"/>
    <n v="0.65"/>
    <n v="0"/>
    <s v="3.423e-05"/>
    <n v="0.99997000000000003"/>
    <s v="43.84015015404367"/>
    <s v="89.94398198895553"/>
    <s v="69.32326858923422"/>
    <s v="13.725512315153802"/>
    <n v="779805408"/>
    <x v="0"/>
    <n v="7.9810305E-4"/>
    <x v="0"/>
  </r>
  <r>
    <n v="46"/>
    <n v="1"/>
    <n v="4"/>
    <n v="2"/>
    <n v="2"/>
    <n v="2"/>
    <n v="0"/>
    <n v="27"/>
    <n v="3"/>
    <n v="3"/>
    <n v="2"/>
    <n v="21839"/>
    <n v="960"/>
    <n v="20879"/>
    <n v="0.56599999999999995"/>
    <n v="5623"/>
    <n v="94"/>
    <n v="0.51600000000000001"/>
    <n v="4.3999999999999997E-2"/>
    <n v="1.8864000000000001E-4"/>
    <n v="0.99980999999999998"/>
    <s v="0.4094869659553093"/>
    <s v="3.230410020941924"/>
    <s v="26.612994925327428"/>
    <s v="11.030710000081369"/>
    <n v="718142958"/>
    <x v="0"/>
    <n v="5.1783560000000001E-4"/>
    <x v="0"/>
  </r>
  <r>
    <n v="51"/>
    <n v="0"/>
    <n v="3"/>
    <n v="0"/>
    <n v="1"/>
    <n v="1"/>
    <n v="0"/>
    <n v="36"/>
    <n v="2"/>
    <n v="3"/>
    <n v="3"/>
    <n v="4762"/>
    <n v="0"/>
    <n v="4762"/>
    <n v="0.52600000000000002"/>
    <n v="2811"/>
    <n v="52"/>
    <n v="0.3"/>
    <n v="0"/>
    <n v="0.99673999999999996"/>
    <n v="3.2649799999999998E-3"/>
    <s v="30.430329115990023"/>
    <s v="6.572978752915688"/>
    <s v="77.96690107690254"/>
    <s v="5.519777428462477"/>
    <n v="714197133"/>
    <x v="1"/>
    <n v="0.99824869999999999"/>
    <x v="1"/>
  </r>
  <r>
    <n v="45"/>
    <n v="0"/>
    <n v="3"/>
    <n v="3"/>
    <n v="1"/>
    <n v="4"/>
    <n v="0"/>
    <n v="34"/>
    <n v="6"/>
    <n v="1"/>
    <n v="3"/>
    <n v="2647"/>
    <n v="1288"/>
    <n v="1359"/>
    <n v="0.76500000000000001"/>
    <n v="4730"/>
    <n v="78"/>
    <n v="0.85699999999999998"/>
    <n v="0.48699999999999999"/>
    <s v="9.3448e-05"/>
    <n v="0.99990999999999997"/>
    <n v="18.584813375764799"/>
    <s v="3.648347970088465"/>
    <s v="19.80852000779381"/>
    <s v="7.176740744224862"/>
    <n v="789800358"/>
    <x v="0"/>
    <n v="3.2101269999999999E-4"/>
    <x v="0"/>
  </r>
  <r>
    <n v="42"/>
    <n v="0"/>
    <n v="3"/>
    <n v="1"/>
    <n v="2"/>
    <n v="4"/>
    <n v="0"/>
    <n v="18"/>
    <n v="5"/>
    <n v="3"/>
    <n v="4"/>
    <n v="8668"/>
    <n v="0"/>
    <n v="8668"/>
    <n v="0.27500000000000002"/>
    <n v="1402"/>
    <n v="38"/>
    <n v="0.31"/>
    <n v="0"/>
    <n v="0.99870999999999999"/>
    <n v="1.2882200000000001E-3"/>
    <s v="1.7310224816836906"/>
    <s v="29.85735287166529"/>
    <s v="59.85586249689116"/>
    <s v="16.043883345179147"/>
    <n v="718473558"/>
    <x v="1"/>
    <n v="0.99815830000000005"/>
    <x v="1"/>
  </r>
  <r>
    <n v="53"/>
    <n v="0"/>
    <n v="1"/>
    <n v="3"/>
    <n v="2"/>
    <n v="4"/>
    <n v="0"/>
    <n v="47"/>
    <n v="6"/>
    <n v="2"/>
    <n v="3"/>
    <n v="3378"/>
    <n v="2134"/>
    <n v="1244"/>
    <n v="0.54100000000000004"/>
    <n v="4464"/>
    <n v="83"/>
    <n v="0.93"/>
    <n v="0.63200000000000001"/>
    <n v="1.7468E-4"/>
    <n v="0.99983"/>
    <s v="45.99502396099401"/>
    <s v="4.585197062913791"/>
    <s v="22.12896661036153"/>
    <s v="3.373693966450296"/>
    <n v="785024808"/>
    <x v="0"/>
    <n v="3.2101269999999999E-4"/>
    <x v="0"/>
  </r>
  <r>
    <n v="42"/>
    <n v="1"/>
    <n v="1"/>
    <n v="5"/>
    <n v="1"/>
    <n v="3"/>
    <n v="0"/>
    <n v="36"/>
    <n v="6"/>
    <n v="1"/>
    <n v="2"/>
    <n v="9247"/>
    <n v="710"/>
    <n v="8537"/>
    <n v="0.73499999999999999"/>
    <n v="1190"/>
    <n v="30"/>
    <n v="0.5"/>
    <n v="7.6999999999999999E-2"/>
    <s v="5.3155e-05"/>
    <n v="0.99995000000000001"/>
    <s v="8.175164730166175"/>
    <s v="45.50818061485722"/>
    <s v="69.18378533777182"/>
    <s v="6.0839815191670175"/>
    <n v="711948333"/>
    <x v="0"/>
    <n v="2.2157454E-3"/>
    <x v="0"/>
  </r>
  <r>
    <n v="54"/>
    <n v="0"/>
    <n v="2"/>
    <n v="1"/>
    <n v="1"/>
    <n v="4"/>
    <n v="0"/>
    <n v="35"/>
    <n v="1"/>
    <n v="4"/>
    <n v="2"/>
    <n v="1685"/>
    <n v="0"/>
    <n v="1685"/>
    <n v="0.45700000000000002"/>
    <n v="4155"/>
    <n v="85"/>
    <n v="0.66700000000000004"/>
    <n v="0"/>
    <n v="3.1454999999999998E-4"/>
    <n v="0.99968999999999997"/>
    <s v="33.350351986887745"/>
    <s v="34.56493223048825"/>
    <s v="15.189269512944913"/>
    <s v="19.42285741806439"/>
    <n v="710518308"/>
    <x v="0"/>
    <n v="6.9517245999999998E-4"/>
    <x v="0"/>
  </r>
  <r>
    <n v="55"/>
    <n v="0"/>
    <n v="4"/>
    <n v="5"/>
    <n v="2"/>
    <n v="4"/>
    <n v="0"/>
    <n v="46"/>
    <n v="3"/>
    <n v="2"/>
    <n v="2"/>
    <n v="4978"/>
    <n v="923"/>
    <n v="4055"/>
    <n v="0.88300000000000001"/>
    <n v="5025"/>
    <n v="62"/>
    <n v="0.879"/>
    <n v="0.185"/>
    <n v="1.2274000000000001E-4"/>
    <n v="0.99987999999999999"/>
    <s v="39.88928933565133"/>
    <s v="33.257156827148926"/>
    <s v="149.3417244931512"/>
    <s v="8.145113436277232"/>
    <n v="714986583"/>
    <x v="0"/>
    <n v="4.4424269999999999E-4"/>
    <x v="0"/>
  </r>
  <r>
    <n v="48"/>
    <n v="1"/>
    <n v="5"/>
    <n v="3"/>
    <n v="1"/>
    <n v="1"/>
    <n v="0"/>
    <n v="39"/>
    <n v="3"/>
    <n v="3"/>
    <n v="1"/>
    <n v="7897"/>
    <n v="157"/>
    <n v="7740"/>
    <n v="0.69899999999999995"/>
    <n v="2270"/>
    <n v="46"/>
    <n v="0.39400000000000002"/>
    <n v="0.02"/>
    <n v="0.9909"/>
    <n v="9.1000000000000004E-3"/>
    <s v="19.17286823961251"/>
    <s v="53.86423181327152"/>
    <s v="59.28322824912687"/>
    <s v="15.548844535222903"/>
    <n v="716711433"/>
    <x v="1"/>
    <n v="0.99876772999999996"/>
    <x v="1"/>
  </r>
  <r>
    <n v="46"/>
    <n v="1"/>
    <n v="5"/>
    <n v="5"/>
    <n v="3"/>
    <n v="3"/>
    <n v="0"/>
    <n v="28"/>
    <n v="6"/>
    <n v="1"/>
    <n v="1"/>
    <n v="34516"/>
    <n v="1259"/>
    <n v="33257"/>
    <n v="0.67100000000000004"/>
    <n v="4300"/>
    <n v="94"/>
    <n v="0.74099999999999999"/>
    <n v="3.5999999999999997E-2"/>
    <s v="3.5257e-05"/>
    <n v="0.99995999999999996"/>
    <s v="5.829744256153675"/>
    <s v="37.93304763753621"/>
    <s v="6.510580364348925"/>
    <s v="3.776477867739332"/>
    <n v="779499933"/>
    <x v="0"/>
    <n v="3.5729867999999997E-4"/>
    <x v="0"/>
  </r>
  <r>
    <n v="54"/>
    <n v="1"/>
    <n v="2"/>
    <n v="5"/>
    <n v="2"/>
    <n v="1"/>
    <n v="0"/>
    <n v="50"/>
    <n v="2"/>
    <n v="1"/>
    <n v="3"/>
    <n v="3682"/>
    <n v="2517"/>
    <n v="1165"/>
    <n v="0.379"/>
    <n v="1642"/>
    <n v="35"/>
    <n v="0.25"/>
    <n v="0.68400000000000005"/>
    <n v="0.98960999999999999"/>
    <n v="1.039E-2"/>
    <s v="16.67872729692042"/>
    <s v="16.570588366972824"/>
    <s v="11.438820909531264"/>
    <s v="10.69563954907026"/>
    <n v="823615983"/>
    <x v="1"/>
    <n v="0.99578226000000003"/>
    <x v="1"/>
  </r>
  <r>
    <n v="44"/>
    <n v="0"/>
    <n v="4"/>
    <n v="6"/>
    <n v="1"/>
    <n v="4"/>
    <n v="0"/>
    <n v="36"/>
    <n v="4"/>
    <n v="1"/>
    <n v="4"/>
    <n v="2107"/>
    <n v="0"/>
    <n v="2107"/>
    <n v="0.97499999999999998"/>
    <n v="4007"/>
    <n v="82"/>
    <n v="0.95199999999999996"/>
    <n v="0"/>
    <n v="1.8217999999999999E-4"/>
    <n v="0.99982000000000004"/>
    <s v="21.817748974960416"/>
    <s v="41.40936533763621"/>
    <s v="97.02103659086052"/>
    <s v="3.6977724445343134"/>
    <n v="715849983"/>
    <x v="0"/>
    <n v="7.1297199999999998E-4"/>
    <x v="0"/>
  </r>
  <r>
    <n v="41"/>
    <n v="0"/>
    <n v="2"/>
    <n v="2"/>
    <n v="1"/>
    <n v="1"/>
    <n v="0"/>
    <n v="36"/>
    <n v="5"/>
    <n v="2"/>
    <n v="4"/>
    <n v="2990"/>
    <n v="1828"/>
    <n v="1162"/>
    <n v="0.48799999999999999"/>
    <n v="2265"/>
    <n v="41"/>
    <n v="0.41399999999999998"/>
    <n v="0.61099999999999999"/>
    <n v="0.99695"/>
    <n v="3.0518899999999998E-3"/>
    <s v="2.3810324170112627"/>
    <s v="46.64171288613553"/>
    <s v="30.00405317732546"/>
    <s v="9.271186836163706"/>
    <n v="709612983"/>
    <x v="1"/>
    <n v="0.99452750000000001"/>
    <x v="1"/>
  </r>
  <r>
    <n v="35"/>
    <n v="1"/>
    <n v="2"/>
    <n v="2"/>
    <n v="2"/>
    <n v="0"/>
    <n v="0"/>
    <n v="27"/>
    <n v="6"/>
    <n v="2"/>
    <n v="2"/>
    <n v="13655"/>
    <n v="1048"/>
    <n v="12607"/>
    <n v="0.50900000000000001"/>
    <n v="2383"/>
    <n v="59"/>
    <n v="0.59499999999999997"/>
    <n v="7.6999999999999999E-2"/>
    <n v="1.1382E-4"/>
    <n v="0.99988999999999995"/>
    <s v="3.7807936313287054"/>
    <s v="55.52820916178405"/>
    <s v="79.27762776250049"/>
    <s v="2.6982040071937727"/>
    <n v="717225258"/>
    <x v="0"/>
    <n v="5.1231279999999996E-4"/>
    <x v="0"/>
  </r>
  <r>
    <n v="40"/>
    <n v="0"/>
    <n v="2"/>
    <n v="3"/>
    <n v="1"/>
    <n v="4"/>
    <n v="0"/>
    <n v="28"/>
    <n v="1"/>
    <n v="3"/>
    <n v="3"/>
    <n v="2734"/>
    <n v="1661"/>
    <n v="1073"/>
    <n v="0.72599999999999998"/>
    <n v="4981"/>
    <n v="90"/>
    <n v="0.69799999999999995"/>
    <n v="0.60799999999999998"/>
    <n v="2.9408E-4"/>
    <n v="0.99970999999999999"/>
    <s v="14.248678807179862"/>
    <s v="16.280938251053605"/>
    <s v="78.21951092449034"/>
    <s v="10.673924245849737"/>
    <n v="789082758"/>
    <x v="0"/>
    <n v="3.2101269999999999E-4"/>
    <x v="0"/>
  </r>
  <r>
    <n v="48"/>
    <n v="0"/>
    <n v="4"/>
    <n v="1"/>
    <n v="3"/>
    <n v="5"/>
    <n v="0"/>
    <n v="24"/>
    <n v="4"/>
    <n v="2"/>
    <n v="3"/>
    <n v="1438.3"/>
    <n v="0"/>
    <n v="1438.3"/>
    <n v="0.73799999999999999"/>
    <n v="2306"/>
    <n v="46"/>
    <n v="0.48399999999999999"/>
    <n v="0"/>
    <n v="0.99656999999999996"/>
    <n v="3.42939E-3"/>
    <n v="51.023541147715299"/>
    <s v="15.112275618334248"/>
    <s v="92.56338966753977"/>
    <n v="3.5019303271979401"/>
    <n v="712229283"/>
    <x v="1"/>
    <n v="0.99873226999999998"/>
    <x v="1"/>
  </r>
  <r>
    <n v="54"/>
    <n v="1"/>
    <n v="2"/>
    <n v="2"/>
    <n v="2"/>
    <n v="3"/>
    <n v="0"/>
    <n v="36"/>
    <n v="5"/>
    <n v="3"/>
    <n v="3"/>
    <n v="12342"/>
    <n v="0"/>
    <n v="12342"/>
    <n v="0.43099999999999999"/>
    <n v="1430"/>
    <n v="37"/>
    <n v="0.42299999999999999"/>
    <n v="0"/>
    <n v="0.99670999999999998"/>
    <n v="3.29379E-3"/>
    <s v="10.046192535881591"/>
    <s v="49.878270149707774"/>
    <s v="2.8284930407854287"/>
    <n v="0.54515441652030205"/>
    <n v="718197108"/>
    <x v="1"/>
    <n v="0.99856453999999994"/>
    <x v="1"/>
  </r>
  <r>
    <n v="38"/>
    <n v="1"/>
    <n v="2"/>
    <n v="3"/>
    <n v="2"/>
    <n v="3"/>
    <n v="0"/>
    <n v="31"/>
    <n v="1"/>
    <n v="3"/>
    <n v="2"/>
    <n v="34516"/>
    <n v="0"/>
    <n v="34516"/>
    <n v="0.76800000000000002"/>
    <n v="14036"/>
    <n v="99"/>
    <n v="0.76800000000000002"/>
    <n v="0"/>
    <n v="1.7485999999999999E-4"/>
    <n v="0.99983"/>
    <s v="44.26021493431603"/>
    <s v="7.944203989968286"/>
    <s v="11.78491988357023"/>
    <s v="19.003890223860903"/>
    <n v="716655858"/>
    <x v="0"/>
    <n v="7.5047980000000002E-4"/>
    <x v="0"/>
  </r>
  <r>
    <n v="55"/>
    <n v="1"/>
    <n v="1"/>
    <n v="2"/>
    <n v="1"/>
    <n v="3"/>
    <n v="0"/>
    <n v="49"/>
    <n v="4"/>
    <n v="3"/>
    <n v="3"/>
    <n v="28751"/>
    <n v="2158"/>
    <n v="26593"/>
    <n v="0.53600000000000003"/>
    <n v="1502"/>
    <n v="34"/>
    <n v="0.78900000000000003"/>
    <n v="7.4999999999999997E-2"/>
    <n v="2.8394999999999999E-4"/>
    <n v="0.99972000000000005"/>
    <s v="22.634065901096072"/>
    <s v="5.507503391886183"/>
    <s v="42.17242573356996"/>
    <s v="5.883044181713274"/>
    <n v="784891458"/>
    <x v="0"/>
    <n v="1.0684258000000001E-3"/>
    <x v="0"/>
  </r>
  <r>
    <n v="41"/>
    <n v="0"/>
    <n v="4"/>
    <n v="5"/>
    <n v="1"/>
    <n v="4"/>
    <n v="0"/>
    <n v="36"/>
    <n v="3"/>
    <n v="5"/>
    <n v="1"/>
    <n v="1438.3"/>
    <n v="1055"/>
    <n v="383.3"/>
    <n v="0.80900000000000005"/>
    <n v="4532"/>
    <n v="78"/>
    <n v="0.47199999999999998"/>
    <n v="0.73399999999999999"/>
    <n v="1.3065E-4"/>
    <n v="0.99987000000000004"/>
    <s v="1.650141084928579"/>
    <s v="47.03845380666385"/>
    <s v="83.89150048528738"/>
    <s v="5.428129647390278"/>
    <n v="714585033"/>
    <x v="0"/>
    <n v="3.5747702000000001E-4"/>
    <x v="0"/>
  </r>
  <r>
    <n v="39"/>
    <n v="0"/>
    <n v="1"/>
    <n v="6"/>
    <n v="2"/>
    <n v="4"/>
    <n v="2"/>
    <n v="35"/>
    <n v="1"/>
    <n v="2"/>
    <n v="3"/>
    <n v="15987"/>
    <n v="1494"/>
    <n v="14493"/>
    <n v="0.73099999999999998"/>
    <n v="8438"/>
    <n v="92"/>
    <n v="0.84"/>
    <n v="9.2999999999999999E-2"/>
    <n v="3.4309E-4"/>
    <n v="0.99965999999999999"/>
    <s v="50.98862808637643"/>
    <s v="26.428237571986635"/>
    <s v="18.470767687769023"/>
    <n v="8.5336993600056203"/>
    <n v="823848183"/>
    <x v="0"/>
    <n v="3.7913927000000002E-4"/>
    <x v="0"/>
  </r>
  <r>
    <n v="54"/>
    <n v="0"/>
    <n v="2"/>
    <n v="6"/>
    <n v="3"/>
    <n v="4"/>
    <n v="0"/>
    <n v="39"/>
    <n v="4"/>
    <n v="3"/>
    <n v="3"/>
    <n v="1438.3"/>
    <n v="0"/>
    <n v="1438.3"/>
    <n v="0.72"/>
    <n v="2145"/>
    <n v="41"/>
    <n v="0.51900000000000002"/>
    <n v="0"/>
    <n v="0.997"/>
    <n v="2.9974300000000001E-3"/>
    <s v="54.13590502060714"/>
    <s v="14.340873444959955"/>
    <s v="2.821831263293599"/>
    <s v="13.369595308474974"/>
    <n v="789241308"/>
    <x v="1"/>
    <n v="0.99873226999999998"/>
    <x v="1"/>
  </r>
  <r>
    <n v="58"/>
    <n v="0"/>
    <n v="0"/>
    <n v="2"/>
    <n v="1"/>
    <n v="1"/>
    <n v="0"/>
    <n v="47"/>
    <n v="2"/>
    <n v="2"/>
    <n v="1"/>
    <n v="2194"/>
    <n v="1302"/>
    <n v="892"/>
    <n v="0.81399999999999995"/>
    <n v="4962"/>
    <n v="81"/>
    <n v="0.84099999999999997"/>
    <n v="0.59299999999999997"/>
    <s v="5.8902e-05"/>
    <n v="0.99994000000000005"/>
    <s v="23.94802122284212"/>
    <s v="30.784477592169843"/>
    <s v="44.10335773218949"/>
    <s v="3.428120324465525"/>
    <n v="780633483"/>
    <x v="0"/>
    <n v="3.2101269999999999E-4"/>
    <x v="0"/>
  </r>
  <r>
    <n v="45"/>
    <n v="1"/>
    <n v="2"/>
    <n v="2"/>
    <n v="2"/>
    <n v="3"/>
    <n v="0"/>
    <n v="39"/>
    <n v="6"/>
    <n v="3"/>
    <n v="3"/>
    <n v="1613"/>
    <n v="0"/>
    <n v="1613"/>
    <n v="0.63500000000000001"/>
    <n v="3549"/>
    <n v="65"/>
    <n v="0.44400000000000001"/>
    <n v="0"/>
    <n v="3.0250999999999998E-4"/>
    <n v="0.99970000000000003"/>
    <s v="29.416669167338696"/>
    <s v="33.571905866267855"/>
    <s v="13.530611802490853"/>
    <s v="10.363405808324249"/>
    <n v="769985883"/>
    <x v="0"/>
    <n v="8.5398539999999995E-4"/>
    <x v="0"/>
  </r>
  <r>
    <n v="43"/>
    <n v="1"/>
    <n v="3"/>
    <n v="2"/>
    <n v="3"/>
    <n v="3"/>
    <n v="0"/>
    <n v="30"/>
    <n v="3"/>
    <n v="1"/>
    <n v="4"/>
    <n v="3244"/>
    <n v="2260"/>
    <n v="984"/>
    <n v="0.71099999999999997"/>
    <n v="2313"/>
    <n v="39"/>
    <n v="0.85699999999999998"/>
    <n v="0.69699999999999995"/>
    <n v="1.6399000000000001E-4"/>
    <n v="0.99983999999999995"/>
    <n v="9.8242146422265009"/>
    <s v="25.469876677628196"/>
    <s v="42.26677554867472"/>
    <s v="2.1292625293908967"/>
    <n v="710194683"/>
    <x v="0"/>
    <n v="1.2830065999999999E-3"/>
    <x v="0"/>
  </r>
  <r>
    <n v="65"/>
    <n v="0"/>
    <n v="1"/>
    <n v="6"/>
    <n v="2"/>
    <n v="4"/>
    <n v="0"/>
    <n v="54"/>
    <n v="4"/>
    <n v="2"/>
    <n v="2"/>
    <n v="2209"/>
    <n v="0"/>
    <n v="2209"/>
    <n v="1.2989999999999999"/>
    <n v="3292"/>
    <n v="52"/>
    <n v="0.85699999999999998"/>
    <n v="0"/>
    <n v="1.1743000000000001E-4"/>
    <n v="0.99987999999999999"/>
    <s v="42.707023671178085"/>
    <s v="29.61324397856357"/>
    <s v="78.68905556600482"/>
    <s v="17.511719544005697"/>
    <n v="772277508"/>
    <x v="0"/>
    <n v="2.1379632000000002E-3"/>
    <x v="0"/>
  </r>
  <r>
    <n v="47"/>
    <n v="0"/>
    <n v="1"/>
    <n v="3"/>
    <n v="3"/>
    <n v="4"/>
    <n v="0"/>
    <n v="36"/>
    <n v="6"/>
    <n v="5"/>
    <n v="1"/>
    <n v="5222"/>
    <n v="2517"/>
    <n v="2705"/>
    <n v="0.56899999999999995"/>
    <n v="4433"/>
    <n v="81"/>
    <n v="0.58799999999999997"/>
    <n v="0.48199999999999998"/>
    <n v="1.1056E-4"/>
    <n v="0.99988999999999995"/>
    <s v="45.54545111335076"/>
    <s v="38.30708735553317"/>
    <s v="76.72633740885499"/>
    <s v="19.35781132153702"/>
    <n v="713941158"/>
    <x v="0"/>
    <n v="3.5570623000000002E-4"/>
    <x v="0"/>
  </r>
  <r>
    <n v="61"/>
    <n v="1"/>
    <n v="1"/>
    <n v="2"/>
    <n v="3"/>
    <n v="2"/>
    <n v="0"/>
    <n v="53"/>
    <n v="1"/>
    <n v="1"/>
    <n v="2"/>
    <n v="6157"/>
    <n v="581"/>
    <n v="5576"/>
    <n v="0.58299999999999996"/>
    <n v="4041"/>
    <n v="65"/>
    <n v="0.54800000000000004"/>
    <n v="9.4E-2"/>
    <n v="0.98102"/>
    <n v="1.898E-2"/>
    <s v="34.15541253368202"/>
    <s v="45.446658025373104"/>
    <s v="31.062340545646517"/>
    <s v="6.881722082731617"/>
    <n v="709764483"/>
    <x v="1"/>
    <n v="0.99116086999999997"/>
    <x v="1"/>
  </r>
  <r>
    <n v="47"/>
    <n v="1"/>
    <n v="1"/>
    <n v="2"/>
    <n v="1"/>
    <n v="3"/>
    <n v="0"/>
    <n v="37"/>
    <n v="6"/>
    <n v="3"/>
    <n v="3"/>
    <n v="11722"/>
    <n v="1667"/>
    <n v="10055"/>
    <n v="0.56599999999999995"/>
    <n v="1497"/>
    <n v="35"/>
    <n v="0.25"/>
    <n v="0.14199999999999999"/>
    <n v="2.8394999999999999E-4"/>
    <n v="0.99972000000000005"/>
    <s v="5.5826453533462175"/>
    <s v="11.724895034882437"/>
    <s v="46.93906554335824"/>
    <s v="8.588859013687605"/>
    <n v="716966808"/>
    <x v="0"/>
    <n v="1.1982243E-3"/>
    <x v="0"/>
  </r>
  <r>
    <n v="43"/>
    <n v="0"/>
    <n v="1"/>
    <n v="2"/>
    <n v="1"/>
    <n v="4"/>
    <n v="0"/>
    <n v="36"/>
    <n v="4"/>
    <n v="2"/>
    <n v="4"/>
    <n v="1536"/>
    <n v="0"/>
    <n v="1536"/>
    <n v="0.57099999999999995"/>
    <n v="1973"/>
    <n v="36"/>
    <n v="0.33300000000000002"/>
    <n v="0"/>
    <n v="0.99675000000000002"/>
    <n v="3.25077E-3"/>
    <s v="13.518301915292271"/>
    <s v="28.444646488666592"/>
    <s v="18.83243691008985"/>
    <s v="2.8771479313858146"/>
    <n v="709663608"/>
    <x v="1"/>
    <n v="0.99828760000000005"/>
    <x v="1"/>
  </r>
  <r>
    <n v="48"/>
    <n v="1"/>
    <n v="2"/>
    <n v="1"/>
    <n v="2"/>
    <n v="2"/>
    <n v="0"/>
    <n v="39"/>
    <n v="3"/>
    <n v="2"/>
    <n v="2"/>
    <n v="10033"/>
    <n v="0"/>
    <n v="10033"/>
    <n v="0.64400000000000002"/>
    <n v="4106"/>
    <n v="78"/>
    <n v="0.90200000000000002"/>
    <n v="0"/>
    <n v="1.6470999999999999E-4"/>
    <n v="0.99983999999999995"/>
    <s v="2.238270153770505"/>
    <s v="19.262737064504627"/>
    <s v="61.23399656739952"/>
    <s v="19.42109130479407"/>
    <n v="789487308"/>
    <x v="0"/>
    <n v="6.9517245999999998E-4"/>
    <x v="0"/>
  </r>
  <r>
    <n v="41"/>
    <n v="1"/>
    <n v="5"/>
    <n v="2"/>
    <n v="2"/>
    <n v="3"/>
    <n v="0"/>
    <n v="28"/>
    <n v="3"/>
    <n v="2"/>
    <n v="0"/>
    <n v="2491"/>
    <n v="1979"/>
    <n v="512"/>
    <n v="0.629"/>
    <n v="1911"/>
    <n v="35"/>
    <n v="0.75"/>
    <n v="0.79400000000000004"/>
    <s v="4.3347e-05"/>
    <n v="0.99995999999999996"/>
    <s v="11.69120296378572"/>
    <s v="44.54867130828282"/>
    <s v="21.29487180642228"/>
    <s v="29.717998467507066"/>
    <n v="716974383"/>
    <x v="0"/>
    <n v="1.1781214E-3"/>
    <x v="0"/>
  </r>
  <r>
    <n v="50"/>
    <n v="1"/>
    <n v="1"/>
    <n v="3"/>
    <n v="2"/>
    <n v="3"/>
    <n v="3"/>
    <n v="36"/>
    <n v="4"/>
    <n v="5"/>
    <n v="3"/>
    <n v="34516"/>
    <n v="0"/>
    <n v="34516"/>
    <n v="0.73199999999999998"/>
    <n v="16019"/>
    <n v="105"/>
    <n v="0.69399999999999995"/>
    <n v="0"/>
    <n v="2.7858000000000001E-4"/>
    <n v="0.99972000000000005"/>
    <s v="42.44172575988673"/>
    <s v="23.25976776770523"/>
    <s v="12.503271467713777"/>
    <s v="0.4132525538280609"/>
    <n v="711283008"/>
    <x v="0"/>
    <n v="7.5047980000000002E-4"/>
    <x v="0"/>
  </r>
  <r>
    <n v="51"/>
    <n v="1"/>
    <n v="2"/>
    <n v="2"/>
    <n v="1"/>
    <n v="2"/>
    <n v="0"/>
    <n v="32"/>
    <n v="6"/>
    <n v="3"/>
    <n v="4"/>
    <n v="10824"/>
    <n v="0"/>
    <n v="10824"/>
    <n v="0.96199999999999997"/>
    <n v="3700"/>
    <n v="73"/>
    <n v="0.73799999999999999"/>
    <n v="0"/>
    <n v="5.1599999999999997E-4"/>
    <n v="0.99948000000000004"/>
    <n v="22.583544892494199"/>
    <s v="20.17517194223627"/>
    <s v="7.142566450522933"/>
    <s v="38.384890470087385"/>
    <n v="712866933"/>
    <x v="0"/>
    <n v="7.4699510000000001E-4"/>
    <x v="0"/>
  </r>
  <r>
    <n v="36"/>
    <n v="0"/>
    <n v="4"/>
    <n v="5"/>
    <n v="3"/>
    <n v="1"/>
    <n v="0"/>
    <n v="16"/>
    <n v="1"/>
    <n v="2"/>
    <n v="2"/>
    <n v="4370"/>
    <n v="1222"/>
    <n v="3148"/>
    <n v="0.64800000000000002"/>
    <n v="7223"/>
    <n v="90"/>
    <n v="0.55200000000000005"/>
    <n v="0.28000000000000003"/>
    <n v="1.2274000000000001E-4"/>
    <n v="0.99987999999999999"/>
    <s v="43.557985627564754"/>
    <s v="15.392313345466864"/>
    <s v="22.689310970476345"/>
    <s v="19.347159312130632"/>
    <n v="712955433"/>
    <x v="0"/>
    <n v="3.7789578000000003E-4"/>
    <x v="0"/>
  </r>
  <r>
    <n v="54"/>
    <n v="1"/>
    <n v="1"/>
    <n v="6"/>
    <n v="2"/>
    <n v="2"/>
    <n v="0"/>
    <n v="48"/>
    <n v="4"/>
    <n v="5"/>
    <n v="4"/>
    <n v="4752"/>
    <n v="1230"/>
    <n v="3522"/>
    <n v="0.88300000000000001"/>
    <n v="15678"/>
    <n v="103"/>
    <n v="0.71699999999999997"/>
    <n v="0.25900000000000001"/>
    <n v="5.9458999999999998E-4"/>
    <n v="0.99941000000000002"/>
    <s v="33.19604806722838"/>
    <s v="65.50217670606317"/>
    <s v="39.269379871813534"/>
    <n v="7.08887980944034"/>
    <n v="773306658"/>
    <x v="0"/>
    <n v="3.4656386999999997E-4"/>
    <x v="0"/>
  </r>
  <r>
    <n v="36"/>
    <n v="0"/>
    <n v="1"/>
    <n v="5"/>
    <n v="2"/>
    <n v="4"/>
    <n v="0"/>
    <n v="30"/>
    <n v="6"/>
    <n v="1"/>
    <n v="2"/>
    <n v="5494"/>
    <n v="2078"/>
    <n v="3416"/>
    <n v="0.79"/>
    <n v="2661"/>
    <n v="58"/>
    <n v="0.871"/>
    <n v="0.378"/>
    <s v="5.3155e-05"/>
    <n v="0.99995000000000001"/>
    <s v="22.069977190691027"/>
    <s v="62.800991082808295"/>
    <s v="68.59442405217547"/>
    <s v="12.25635856198641"/>
    <n v="794818833"/>
    <x v="0"/>
    <n v="4.6623436999999998E-4"/>
    <x v="0"/>
  </r>
  <r>
    <n v="42"/>
    <n v="0"/>
    <n v="3"/>
    <n v="3"/>
    <n v="3"/>
    <n v="5"/>
    <n v="0"/>
    <n v="34"/>
    <n v="1"/>
    <n v="3"/>
    <n v="1"/>
    <n v="2798"/>
    <n v="1049"/>
    <n v="1749"/>
    <n v="0.89"/>
    <n v="5758"/>
    <n v="87"/>
    <n v="0.70599999999999996"/>
    <n v="0.375"/>
    <n v="1.0943E-4"/>
    <n v="0.99988999999999995"/>
    <s v="58.67806884978704"/>
    <s v="30.402563669073743"/>
    <s v="49.04985306028315"/>
    <s v="0.9745037777554916"/>
    <n v="788199858"/>
    <x v="0"/>
    <n v="3.6984833000000002E-4"/>
    <x v="0"/>
  </r>
  <r>
    <n v="39"/>
    <n v="0"/>
    <n v="2"/>
    <n v="5"/>
    <n v="2"/>
    <n v="4"/>
    <n v="0"/>
    <n v="36"/>
    <n v="4"/>
    <n v="3"/>
    <n v="1"/>
    <n v="1438.3"/>
    <n v="576"/>
    <n v="862.3"/>
    <n v="0.84899999999999998"/>
    <n v="2567"/>
    <n v="48"/>
    <n v="0.6"/>
    <n v="0.4"/>
    <n v="0.99111000000000005"/>
    <n v="8.8900000000000003E-3"/>
    <n v="2.5277567898025501"/>
    <s v="38.11389463481718"/>
    <s v="0.8532430671042122"/>
    <s v="3.0496916101130904"/>
    <n v="719751483"/>
    <x v="1"/>
    <n v="0.99828450000000002"/>
    <x v="1"/>
  </r>
  <r>
    <n v="44"/>
    <n v="1"/>
    <n v="2"/>
    <n v="0"/>
    <n v="1"/>
    <n v="2"/>
    <n v="0"/>
    <n v="27"/>
    <n v="3"/>
    <n v="1"/>
    <n v="2"/>
    <n v="19114"/>
    <n v="1754"/>
    <n v="17360"/>
    <n v="0.86499999999999999"/>
    <n v="4413"/>
    <n v="69"/>
    <n v="0.72499999999999998"/>
    <n v="9.1999999999999998E-2"/>
    <s v="5.3547e-05"/>
    <n v="0.99995000000000001"/>
    <s v="16.050547235974847"/>
    <s v="7.568465311434298"/>
    <s v="22.155538859133827"/>
    <s v="15.445103604883874"/>
    <n v="817089408"/>
    <x v="0"/>
    <n v="3.3022385E-4"/>
    <x v="0"/>
  </r>
  <r>
    <n v="56"/>
    <n v="1"/>
    <n v="2"/>
    <n v="5"/>
    <n v="2"/>
    <n v="3"/>
    <n v="0"/>
    <n v="49"/>
    <n v="5"/>
    <n v="3"/>
    <n v="2"/>
    <n v="5466"/>
    <n v="0"/>
    <n v="5466"/>
    <n v="0.58699999999999997"/>
    <n v="4435"/>
    <n v="79"/>
    <n v="0.88100000000000001"/>
    <n v="0"/>
    <n v="1.8494E-4"/>
    <n v="0.99982000000000004"/>
    <s v="34.88184048111425"/>
    <s v="38.89071057171854"/>
    <s v="222.0614924987665"/>
    <s v="17.088252300329493"/>
    <n v="758367933"/>
    <x v="0"/>
    <n v="6.9517245999999998E-4"/>
    <x v="0"/>
  </r>
  <r>
    <n v="45"/>
    <n v="1"/>
    <n v="4"/>
    <n v="0"/>
    <n v="2"/>
    <n v="0"/>
    <n v="0"/>
    <n v="40"/>
    <n v="3"/>
    <n v="3"/>
    <n v="3"/>
    <n v="2900"/>
    <n v="1782"/>
    <n v="1118"/>
    <n v="1.351"/>
    <n v="4686"/>
    <n v="64"/>
    <n v="0.56100000000000005"/>
    <n v="0.61399999999999999"/>
    <n v="3.0844999999999999E-4"/>
    <n v="0.99968999999999997"/>
    <s v="5.690704168243832"/>
    <s v="5.451534016371232"/>
    <s v="86.35414249141294"/>
    <s v="24.36402978635334"/>
    <n v="813230208"/>
    <x v="0"/>
    <n v="3.3892176E-4"/>
    <x v="0"/>
  </r>
  <r>
    <n v="43"/>
    <n v="0"/>
    <n v="1"/>
    <n v="3"/>
    <n v="2"/>
    <n v="1"/>
    <n v="0"/>
    <n v="36"/>
    <n v="5"/>
    <n v="2"/>
    <n v="1"/>
    <n v="8156"/>
    <n v="0"/>
    <n v="8156"/>
    <n v="0.66300000000000003"/>
    <n v="3992"/>
    <n v="73"/>
    <n v="0.55300000000000005"/>
    <n v="0"/>
    <s v="6.2633e-05"/>
    <n v="0.99994000000000005"/>
    <s v="22.36311216551818"/>
    <n v="91.081922937571505"/>
    <s v="33.46903393520867"/>
    <s v="4.797015031971028"/>
    <n v="753443583"/>
    <x v="0"/>
    <n v="7.387203E-4"/>
    <x v="0"/>
  </r>
  <r>
    <n v="41"/>
    <n v="1"/>
    <n v="3"/>
    <n v="3"/>
    <n v="1"/>
    <n v="1"/>
    <n v="0"/>
    <n v="33"/>
    <n v="4"/>
    <n v="2"/>
    <n v="1"/>
    <n v="4470"/>
    <n v="680"/>
    <n v="3790"/>
    <n v="1.6080000000000001"/>
    <n v="931"/>
    <n v="18"/>
    <n v="1.571"/>
    <n v="0.152"/>
    <s v="6.9242e-05"/>
    <n v="0.99992999999999999"/>
    <s v="32.51533000759476"/>
    <s v="25.82552501091845"/>
    <n v="12.5836697608222"/>
    <s v="15.092635362159449"/>
    <n v="784725333"/>
    <x v="0"/>
    <n v="1.8691603E-3"/>
    <x v="0"/>
  </r>
  <r>
    <n v="30"/>
    <n v="0"/>
    <n v="0"/>
    <n v="2"/>
    <n v="0"/>
    <n v="4"/>
    <n v="0"/>
    <n v="17"/>
    <n v="4"/>
    <n v="1"/>
    <n v="3"/>
    <n v="4704"/>
    <n v="0"/>
    <n v="4704"/>
    <n v="1.177"/>
    <n v="3294"/>
    <n v="87"/>
    <n v="0.89100000000000001"/>
    <n v="0"/>
    <s v="7.9494e-05"/>
    <n v="0.99992000000000003"/>
    <s v="15.28103443441326"/>
    <n v="41.282499668792099"/>
    <s v="10.043255675117363"/>
    <s v="10.922948059965444"/>
    <n v="771228183"/>
    <x v="0"/>
    <n v="7.4699510000000001E-4"/>
    <x v="0"/>
  </r>
  <r>
    <n v="42"/>
    <n v="0"/>
    <n v="2"/>
    <n v="2"/>
    <n v="2"/>
    <n v="1"/>
    <n v="3"/>
    <n v="32"/>
    <n v="4"/>
    <n v="3"/>
    <n v="3"/>
    <n v="17909"/>
    <n v="0"/>
    <n v="17909"/>
    <n v="0.22500000000000001"/>
    <n v="5977"/>
    <n v="58"/>
    <n v="0.48699999999999999"/>
    <n v="0"/>
    <n v="0.99636000000000002"/>
    <n v="3.6440800000000001E-3"/>
    <n v="7.8262085556804202"/>
    <s v="21.854866345532184"/>
    <n v="54.372462170791898"/>
    <s v="2.8107574422461576"/>
    <n v="714022833"/>
    <x v="1"/>
    <n v="0.99564372999999995"/>
    <x v="1"/>
  </r>
  <r>
    <n v="53"/>
    <n v="1"/>
    <n v="2"/>
    <n v="3"/>
    <n v="2"/>
    <n v="0"/>
    <n v="0"/>
    <n v="35"/>
    <n v="4"/>
    <n v="2"/>
    <n v="1"/>
    <n v="19040"/>
    <n v="2056"/>
    <n v="16984"/>
    <n v="0.60699999999999998"/>
    <n v="1212"/>
    <n v="31"/>
    <n v="0.72199999999999998"/>
    <n v="0.108"/>
    <s v="6.6728e-05"/>
    <n v="0.99992999999999999"/>
    <s v="7.241110507553376"/>
    <s v="59.44765068140377"/>
    <s v="26.899430769709635"/>
    <s v="10.917038810633205"/>
    <n v="715398033"/>
    <x v="0"/>
    <n v="1.0337284E-3"/>
    <x v="0"/>
  </r>
  <r>
    <n v="54"/>
    <n v="0"/>
    <n v="2"/>
    <n v="2"/>
    <n v="1"/>
    <n v="4"/>
    <n v="0"/>
    <n v="46"/>
    <n v="6"/>
    <n v="2"/>
    <n v="2"/>
    <n v="2737"/>
    <n v="2517"/>
    <n v="220"/>
    <n v="0.53300000000000003"/>
    <n v="1619"/>
    <n v="37"/>
    <n v="0.48"/>
    <n v="0.92"/>
    <n v="1.1382E-4"/>
    <n v="0.99988999999999995"/>
    <s v="4.7934352677359175"/>
    <s v="16.853917197896838"/>
    <s v="102.31458016244974"/>
    <n v="0.49997535005516303"/>
    <n v="789530208"/>
    <x v="0"/>
    <n v="1.2315542E-3"/>
    <x v="0"/>
  </r>
  <r>
    <n v="59"/>
    <n v="0"/>
    <n v="1"/>
    <n v="2"/>
    <n v="2"/>
    <n v="1"/>
    <n v="0"/>
    <n v="36"/>
    <n v="3"/>
    <n v="3"/>
    <n v="1"/>
    <n v="1528"/>
    <n v="0"/>
    <n v="1528"/>
    <n v="0.66900000000000004"/>
    <n v="4411"/>
    <n v="77"/>
    <n v="0.83299999999999996"/>
    <n v="0"/>
    <n v="1.0182E-4"/>
    <n v="0.99990000000000001"/>
    <s v="1.3149230337158049"/>
    <s v="63.42424966589159"/>
    <s v="46.923402084766906"/>
    <s v="28.164275778943647"/>
    <n v="714673833"/>
    <x v="0"/>
    <n v="6.9517245999999998E-4"/>
    <x v="0"/>
  </r>
  <r>
    <n v="50"/>
    <n v="1"/>
    <n v="3"/>
    <n v="2"/>
    <n v="2"/>
    <n v="0"/>
    <n v="0"/>
    <n v="33"/>
    <n v="1"/>
    <n v="2"/>
    <n v="2"/>
    <n v="34516"/>
    <n v="1134"/>
    <n v="33382"/>
    <n v="0.58499999999999996"/>
    <n v="4520"/>
    <n v="73"/>
    <n v="0.65900000000000003"/>
    <n v="3.3000000000000002E-2"/>
    <n v="1.1811000000000001E-4"/>
    <n v="0.99987999999999999"/>
    <s v="17.519607634293088"/>
    <s v="32.91864785306864"/>
    <s v="40.49367498796083"/>
    <s v="0.3365179455602554"/>
    <n v="710257683"/>
    <x v="0"/>
    <n v="3.5729867999999997E-4"/>
    <x v="0"/>
  </r>
  <r>
    <n v="59"/>
    <n v="0"/>
    <n v="0"/>
    <n v="0"/>
    <n v="2"/>
    <n v="4"/>
    <n v="0"/>
    <n v="55"/>
    <n v="2"/>
    <n v="2"/>
    <n v="3"/>
    <n v="2645"/>
    <n v="1127"/>
    <n v="1518"/>
    <n v="0.623"/>
    <n v="4251"/>
    <n v="76"/>
    <n v="0.76700000000000002"/>
    <n v="0.42599999999999999"/>
    <n v="1.5971E-4"/>
    <n v="0.99983999999999995"/>
    <s v="6.206313748438584"/>
    <s v="22.404325136950693"/>
    <s v="246.7862789238232"/>
    <s v="2.090356808011495"/>
    <n v="824763783"/>
    <x v="0"/>
    <n v="3.2101269999999999E-4"/>
    <x v="0"/>
  </r>
  <r>
    <n v="55"/>
    <n v="1"/>
    <n v="3"/>
    <n v="2"/>
    <n v="1"/>
    <n v="1"/>
    <n v="0"/>
    <n v="36"/>
    <n v="3"/>
    <n v="3"/>
    <n v="3"/>
    <n v="2205"/>
    <n v="1337"/>
    <n v="868"/>
    <n v="0.65"/>
    <n v="1591"/>
    <n v="38"/>
    <n v="0.72699999999999998"/>
    <n v="0.60599999999999998"/>
    <n v="3.1389999999999999E-4"/>
    <n v="0.99968999999999997"/>
    <s v="63.71319608844691"/>
    <s v="59.81374543176542"/>
    <s v="45.84177734454485"/>
    <s v="22.031306716482984"/>
    <n v="718011783"/>
    <x v="0"/>
    <n v="1.0634780000000001E-3"/>
    <x v="0"/>
  </r>
  <r>
    <n v="38"/>
    <n v="0"/>
    <n v="1"/>
    <n v="3"/>
    <n v="1"/>
    <n v="4"/>
    <n v="0"/>
    <n v="31"/>
    <n v="2"/>
    <n v="6"/>
    <n v="3"/>
    <n v="3416"/>
    <n v="2517"/>
    <n v="899"/>
    <n v="0.92500000000000004"/>
    <n v="14230"/>
    <n v="105"/>
    <n v="0.78"/>
    <n v="0.73699999999999999"/>
    <n v="2.1791000000000001E-4"/>
    <n v="0.99978"/>
    <s v="33.40368589881303"/>
    <s v="35.60849097276367"/>
    <s v="8.901706904754581"/>
    <s v="9.803093517772298"/>
    <n v="790131033"/>
    <x v="0"/>
    <n v="3.758384E-4"/>
    <x v="0"/>
  </r>
  <r>
    <n v="53"/>
    <n v="0"/>
    <n v="1"/>
    <n v="6"/>
    <n v="1"/>
    <n v="4"/>
    <n v="0"/>
    <n v="40"/>
    <n v="4"/>
    <n v="2"/>
    <n v="4"/>
    <n v="2383"/>
    <n v="1938"/>
    <n v="445"/>
    <n v="0.59699999999999998"/>
    <n v="1616"/>
    <n v="37"/>
    <n v="0.68200000000000005"/>
    <n v="0.81299999999999994"/>
    <n v="3.3691999999999999E-4"/>
    <n v="0.99965999999999999"/>
    <s v="18.53111776043063"/>
    <s v="28.89830542268109"/>
    <s v="69.19761466359101"/>
    <s v="10.415860412732291"/>
    <n v="770952933"/>
    <x v="0"/>
    <n v="1.0337284E-3"/>
    <x v="0"/>
  </r>
  <r>
    <n v="54"/>
    <n v="1"/>
    <n v="3"/>
    <n v="2"/>
    <n v="1"/>
    <n v="0"/>
    <n v="0"/>
    <n v="44"/>
    <n v="2"/>
    <n v="1"/>
    <n v="3"/>
    <n v="34516"/>
    <n v="862"/>
    <n v="33654"/>
    <n v="0.81499999999999995"/>
    <n v="15034"/>
    <n v="111"/>
    <n v="0.76200000000000001"/>
    <n v="2.5000000000000001E-2"/>
    <s v="9.6126e-05"/>
    <n v="0.99990000000000001"/>
    <n v="9.9069052269549793"/>
    <s v="70.63574173230913"/>
    <s v="39.194404088893926"/>
    <s v="14.903966679725832"/>
    <n v="709615458"/>
    <x v="0"/>
    <n v="5.8837880000000003E-4"/>
    <x v="0"/>
  </r>
  <r>
    <n v="41"/>
    <n v="0"/>
    <n v="1"/>
    <n v="2"/>
    <n v="2"/>
    <n v="4"/>
    <n v="0"/>
    <n v="32"/>
    <n v="2"/>
    <n v="2"/>
    <n v="1"/>
    <n v="1438.3"/>
    <n v="0"/>
    <n v="1438.3"/>
    <n v="0.82399999999999995"/>
    <n v="4897"/>
    <n v="96"/>
    <n v="0.77800000000000002"/>
    <n v="0"/>
    <s v="6.4428e-05"/>
    <n v="0.99994000000000005"/>
    <s v="30.41347886062874"/>
    <s v="39.79961993003443"/>
    <s v="72.37353417288855"/>
    <s v="21.546360823086843"/>
    <n v="712300683"/>
    <x v="0"/>
    <n v="6.9517245999999998E-4"/>
    <x v="0"/>
  </r>
  <r>
    <n v="61"/>
    <n v="1"/>
    <n v="1"/>
    <n v="2"/>
    <n v="3"/>
    <n v="3"/>
    <n v="0"/>
    <n v="52"/>
    <n v="6"/>
    <n v="6"/>
    <n v="1"/>
    <n v="8851"/>
    <n v="0"/>
    <n v="8851"/>
    <n v="0.73099999999999998"/>
    <n v="1257"/>
    <n v="36"/>
    <n v="0.44"/>
    <n v="0"/>
    <s v="8.0376e-05"/>
    <n v="0.99992000000000003"/>
    <s v="34.59397141086558"/>
    <n v="7.7177556038103203"/>
    <s v="73.49291399969363"/>
    <s v="8.349773994518094"/>
    <n v="715848408"/>
    <x v="0"/>
    <n v="4.459518E-3"/>
    <x v="0"/>
  </r>
  <r>
    <n v="42"/>
    <n v="0"/>
    <n v="4"/>
    <n v="5"/>
    <n v="0"/>
    <n v="5"/>
    <n v="0"/>
    <n v="38"/>
    <n v="6"/>
    <n v="3"/>
    <n v="2"/>
    <n v="10039"/>
    <n v="1600"/>
    <n v="8439"/>
    <n v="0.7"/>
    <n v="4685"/>
    <n v="76"/>
    <n v="0.9"/>
    <n v="0.159"/>
    <n v="1.9395999999999999E-4"/>
    <n v="0.99980999999999998"/>
    <s v="26.84818384810248"/>
    <s v="76.17392462041717"/>
    <s v="22.30920854858033"/>
    <s v="24.263298981666946"/>
    <n v="826490133"/>
    <x v="0"/>
    <n v="3.2101269999999999E-4"/>
    <x v="0"/>
  </r>
  <r>
    <n v="43"/>
    <n v="0"/>
    <n v="3"/>
    <n v="0"/>
    <n v="1"/>
    <n v="1"/>
    <n v="0"/>
    <n v="31"/>
    <n v="5"/>
    <n v="3"/>
    <n v="2"/>
    <n v="2800"/>
    <n v="2517"/>
    <n v="283"/>
    <n v="0.81599999999999995"/>
    <n v="1994"/>
    <n v="41"/>
    <n v="0.64"/>
    <n v="0.89900000000000002"/>
    <n v="1.8145999999999999E-4"/>
    <n v="0.99982000000000004"/>
    <s v="6.043244624531411"/>
    <s v="18.61904966638968"/>
    <s v="35.23330057306665"/>
    <s v="15.179260729663865"/>
    <n v="709056558"/>
    <x v="0"/>
    <n v="1.2198269999999999E-3"/>
    <x v="0"/>
  </r>
  <r>
    <n v="51"/>
    <n v="1"/>
    <n v="3"/>
    <n v="2"/>
    <n v="1"/>
    <n v="3"/>
    <n v="0"/>
    <n v="36"/>
    <n v="4"/>
    <n v="1"/>
    <n v="0"/>
    <n v="3418"/>
    <n v="0"/>
    <n v="3418"/>
    <n v="2.5939999999999999"/>
    <n v="1887"/>
    <n v="20"/>
    <n v="2.3330000000000002"/>
    <n v="0"/>
    <s v="2.1081e-05"/>
    <n v="0.99997999999999998"/>
    <s v="0.3599619143353462"/>
    <s v="2.2050160683145306"/>
    <s v="175.45570315567895"/>
    <s v="7.123526413257327"/>
    <n v="713982108"/>
    <x v="0"/>
    <n v="3.0595150000000001E-3"/>
    <x v="0"/>
  </r>
  <r>
    <n v="31"/>
    <n v="0"/>
    <n v="0"/>
    <n v="3"/>
    <n v="2"/>
    <n v="4"/>
    <n v="3"/>
    <n v="21"/>
    <n v="3"/>
    <n v="1"/>
    <n v="3"/>
    <n v="14305"/>
    <n v="1288"/>
    <n v="13017"/>
    <n v="0.77400000000000002"/>
    <n v="14769"/>
    <n v="119"/>
    <n v="0.63"/>
    <n v="0.09"/>
    <s v="6.9827e-05"/>
    <n v="0.99992999999999999"/>
    <s v="39.33103562068451"/>
    <s v="111.2737545148996"/>
    <s v="64.70830770951792"/>
    <s v="9.750224654121862"/>
    <n v="717324183"/>
    <x v="0"/>
    <n v="3.6553218E-4"/>
    <x v="0"/>
  </r>
  <r>
    <n v="45"/>
    <n v="1"/>
    <n v="4"/>
    <n v="2"/>
    <n v="2"/>
    <n v="1"/>
    <n v="3"/>
    <n v="37"/>
    <n v="4"/>
    <n v="3"/>
    <n v="4"/>
    <n v="15578"/>
    <n v="0"/>
    <n v="15578"/>
    <n v="0.71599999999999997"/>
    <n v="4449"/>
    <n v="81"/>
    <n v="0.72299999999999998"/>
    <n v="0"/>
    <n v="4.8899000000000002E-4"/>
    <n v="0.99951000000000001"/>
    <s v="26.289829684819612"/>
    <s v="28.715798884505336"/>
    <s v="47.30404486725783"/>
    <s v="2.979193110322337"/>
    <n v="721538883"/>
    <x v="0"/>
    <n v="6.9517245999999998E-4"/>
    <x v="0"/>
  </r>
  <r>
    <n v="45"/>
    <n v="1"/>
    <n v="5"/>
    <n v="3"/>
    <n v="1"/>
    <n v="2"/>
    <n v="0"/>
    <n v="37"/>
    <n v="3"/>
    <n v="1"/>
    <n v="3"/>
    <n v="15626"/>
    <n v="1148"/>
    <n v="14478"/>
    <n v="1.028"/>
    <n v="3386"/>
    <n v="65"/>
    <n v="0.71099999999999997"/>
    <n v="7.2999999999999995E-2"/>
    <s v="9.2974e-05"/>
    <n v="0.99990999999999997"/>
    <s v="8.818878199045514"/>
    <s v="59.17865602097528"/>
    <s v="22.465098787472407"/>
    <s v="11.442927785528148"/>
    <n v="709742958"/>
    <x v="0"/>
    <n v="3.756586E-4"/>
    <x v="0"/>
  </r>
  <r>
    <n v="54"/>
    <n v="1"/>
    <n v="1"/>
    <n v="6"/>
    <n v="2"/>
    <n v="3"/>
    <n v="0"/>
    <n v="47"/>
    <n v="5"/>
    <n v="6"/>
    <n v="5"/>
    <n v="7570"/>
    <n v="965"/>
    <n v="6605"/>
    <n v="0.70899999999999996"/>
    <n v="2599"/>
    <n v="61"/>
    <n v="0.84799999999999998"/>
    <n v="0.127"/>
    <n v="0.99863000000000002"/>
    <n v="1.3724399999999999E-3"/>
    <s v="35.88921971141334"/>
    <s v="33.15711336693447"/>
    <n v="91.974521992276905"/>
    <s v="24.08859700581895"/>
    <n v="712378983"/>
    <x v="1"/>
    <n v="0.98097389999999995"/>
    <x v="1"/>
  </r>
  <r>
    <n v="50"/>
    <n v="1"/>
    <n v="2"/>
    <n v="6"/>
    <n v="2"/>
    <n v="0"/>
    <n v="0"/>
    <n v="38"/>
    <n v="4"/>
    <n v="4"/>
    <n v="2"/>
    <n v="2123"/>
    <n v="995"/>
    <n v="1128"/>
    <n v="0.626"/>
    <n v="4516"/>
    <n v="78"/>
    <n v="0.625"/>
    <n v="0.46899999999999997"/>
    <n v="2.3892999999999999E-4"/>
    <n v="0.99975999999999998"/>
    <s v="46.29932593087784"/>
    <s v="18.590838954465216"/>
    <s v="17.92827385464269"/>
    <s v="0.1118934136417171"/>
    <n v="710443833"/>
    <x v="0"/>
    <n v="3.2914013999999999E-4"/>
    <x v="0"/>
  </r>
  <r>
    <n v="37"/>
    <n v="0"/>
    <n v="3"/>
    <n v="3"/>
    <n v="2"/>
    <n v="5"/>
    <n v="0"/>
    <n v="28"/>
    <n v="3"/>
    <n v="1"/>
    <n v="4"/>
    <n v="18570"/>
    <n v="1524"/>
    <n v="17046"/>
    <n v="1.385"/>
    <n v="3999"/>
    <n v="96"/>
    <n v="0.84599999999999997"/>
    <n v="8.2000000000000003E-2"/>
    <n v="1.5941999999999999E-4"/>
    <n v="0.99983999999999995"/>
    <s v="30.920549249940557"/>
    <s v="37.91875486521347"/>
    <s v="17.107995122210806"/>
    <s v="14.063353953707011"/>
    <n v="710607408"/>
    <x v="0"/>
    <n v="3.5627351999999998E-4"/>
    <x v="0"/>
  </r>
  <r>
    <n v="57"/>
    <n v="0"/>
    <n v="3"/>
    <n v="2"/>
    <n v="1"/>
    <n v="4"/>
    <n v="0"/>
    <n v="49"/>
    <n v="4"/>
    <n v="2"/>
    <n v="1"/>
    <n v="1781"/>
    <n v="0"/>
    <n v="1781"/>
    <n v="0.56999999999999995"/>
    <n v="4593"/>
    <n v="81"/>
    <n v="0.8"/>
    <n v="0"/>
    <s v="7.1226e-05"/>
    <n v="0.99992999999999999"/>
    <s v="5.7185729046494505"/>
    <s v="21.11833440358069"/>
    <s v="59.97543398648276"/>
    <s v="4.617160477364367"/>
    <n v="714443883"/>
    <x v="0"/>
    <n v="6.9517245999999998E-4"/>
    <x v="0"/>
  </r>
  <r>
    <n v="34"/>
    <n v="1"/>
    <n v="2"/>
    <n v="3"/>
    <n v="1"/>
    <n v="0"/>
    <n v="0"/>
    <n v="21"/>
    <n v="3"/>
    <n v="3"/>
    <n v="3"/>
    <n v="6259"/>
    <n v="1063"/>
    <n v="5196"/>
    <n v="0.66800000000000004"/>
    <n v="1836"/>
    <n v="50"/>
    <n v="0.51500000000000001"/>
    <n v="0.17"/>
    <n v="2.9408E-4"/>
    <n v="0.99970999999999999"/>
    <s v="0.1881877886639081"/>
    <s v="40.31474918876221"/>
    <n v="21.568577822259201"/>
    <s v="21.115320360904843"/>
    <n v="719338383"/>
    <x v="0"/>
    <n v="9.8006890000000004E-4"/>
    <x v="0"/>
  </r>
  <r>
    <n v="53"/>
    <n v="1"/>
    <n v="2"/>
    <n v="5"/>
    <n v="1"/>
    <n v="3"/>
    <n v="0"/>
    <n v="43"/>
    <n v="6"/>
    <n v="1"/>
    <n v="3"/>
    <n v="6704"/>
    <n v="1354"/>
    <n v="5350"/>
    <n v="0.41099999999999998"/>
    <n v="1331"/>
    <n v="30"/>
    <n v="0.36399999999999999"/>
    <n v="0.20200000000000001"/>
    <s v="9.5249e-05"/>
    <n v="0.99990000000000001"/>
    <s v="37.62588383548295"/>
    <s v="50.671585116423664"/>
    <s v="25.98389981625408"/>
    <s v="15.134858163342596"/>
    <n v="718983333"/>
    <x v="0"/>
    <n v="1.1982243E-3"/>
    <x v="0"/>
  </r>
  <r>
    <n v="42"/>
    <n v="0"/>
    <n v="2"/>
    <n v="3"/>
    <n v="1"/>
    <n v="5"/>
    <n v="0"/>
    <n v="30"/>
    <n v="5"/>
    <n v="3"/>
    <n v="2"/>
    <n v="1898"/>
    <n v="725"/>
    <n v="1173"/>
    <n v="0.66400000000000003"/>
    <n v="5051"/>
    <n v="64"/>
    <n v="1.0649999999999999"/>
    <n v="0.38200000000000001"/>
    <n v="1.7485999999999999E-4"/>
    <n v="0.99983"/>
    <s v="12.747219075619435"/>
    <s v="0.8623216780343068"/>
    <s v="37.00810255208495"/>
    <s v="8.123320968528859"/>
    <n v="716733933"/>
    <x v="0"/>
    <n v="5.7287519999999999E-4"/>
    <x v="0"/>
  </r>
  <r>
    <n v="38"/>
    <n v="0"/>
    <n v="2"/>
    <n v="0"/>
    <n v="1"/>
    <n v="5"/>
    <n v="0"/>
    <n v="28"/>
    <n v="5"/>
    <n v="1"/>
    <n v="3"/>
    <n v="4693"/>
    <n v="634"/>
    <n v="4059"/>
    <n v="0.90900000000000003"/>
    <n v="4460"/>
    <n v="79"/>
    <n v="0.83699999999999997"/>
    <n v="0.13500000000000001"/>
    <s v="9.0064e-05"/>
    <n v="0.99990999999999997"/>
    <s v="20.414547302980345"/>
    <s v="14.082450576836893"/>
    <s v="18.70718764572989"/>
    <s v="9.669261122173715"/>
    <n v="716932308"/>
    <x v="0"/>
    <n v="5.7288585000000005E-4"/>
    <x v="0"/>
  </r>
  <r>
    <n v="48"/>
    <n v="0"/>
    <n v="1"/>
    <n v="2"/>
    <n v="2"/>
    <n v="5"/>
    <n v="0"/>
    <n v="38"/>
    <n v="3"/>
    <n v="2"/>
    <n v="2"/>
    <n v="23007"/>
    <n v="1239"/>
    <n v="21768"/>
    <n v="0.71299999999999997"/>
    <n v="3395"/>
    <n v="63"/>
    <n v="0.46500000000000002"/>
    <n v="5.3999999999999999E-2"/>
    <n v="1.0684E-4"/>
    <n v="0.99988999999999995"/>
    <s v="30.43023251671504"/>
    <s v="42.36617699620525"/>
    <s v="63.74806900809984"/>
    <s v="1.385775382780956"/>
    <n v="718672233"/>
    <x v="0"/>
    <n v="4.3122784999999997E-4"/>
    <x v="0"/>
  </r>
  <r>
    <n v="54"/>
    <n v="1"/>
    <n v="2"/>
    <n v="3"/>
    <n v="1"/>
    <n v="3"/>
    <n v="0"/>
    <n v="50"/>
    <n v="4"/>
    <n v="2"/>
    <n v="3"/>
    <n v="9519"/>
    <n v="1936"/>
    <n v="7583"/>
    <n v="0.92900000000000005"/>
    <n v="2489"/>
    <n v="62"/>
    <n v="1"/>
    <n v="0.20300000000000001"/>
    <n v="1.861E-4"/>
    <n v="0.99980999999999998"/>
    <s v="5.782612946799143"/>
    <s v="30.890281786745216"/>
    <s v="76.04486803191516"/>
    <s v="3.1333191889979277"/>
    <n v="824761458"/>
    <x v="0"/>
    <n v="4.3876081999999998E-4"/>
    <x v="0"/>
  </r>
  <r>
    <n v="51"/>
    <n v="0"/>
    <n v="0"/>
    <n v="2"/>
    <n v="1"/>
    <n v="4"/>
    <n v="0"/>
    <n v="42"/>
    <n v="5"/>
    <n v="3"/>
    <n v="2"/>
    <n v="1858"/>
    <n v="925"/>
    <n v="933"/>
    <n v="1.056"/>
    <n v="3660"/>
    <n v="72"/>
    <n v="0.6"/>
    <n v="0.498"/>
    <n v="1.5435000000000001E-4"/>
    <n v="0.99985000000000002"/>
    <s v="5.2438026421192525"/>
    <s v="7.953553893665135"/>
    <s v="33.06667328677828"/>
    <s v="17.106431129435208"/>
    <n v="713079108"/>
    <x v="0"/>
    <n v="4.0664538000000002E-4"/>
    <x v="0"/>
  </r>
  <r>
    <n v="48"/>
    <n v="0"/>
    <n v="2"/>
    <n v="2"/>
    <n v="1"/>
    <n v="5"/>
    <n v="0"/>
    <n v="35"/>
    <n v="3"/>
    <n v="1"/>
    <n v="1"/>
    <n v="1755"/>
    <n v="1058"/>
    <n v="697"/>
    <n v="0.69699999999999995"/>
    <n v="4719"/>
    <n v="90"/>
    <n v="0.8"/>
    <n v="0.60299999999999998"/>
    <s v="3.3214e-05"/>
    <n v="0.99997000000000003"/>
    <n v="65.393394248317804"/>
    <s v="70.39768410845993"/>
    <s v="23.16354211761285"/>
    <s v="3.3359197997948327"/>
    <n v="713509908"/>
    <x v="0"/>
    <n v="3.2101269999999999E-4"/>
    <x v="0"/>
  </r>
  <r>
    <n v="48"/>
    <n v="1"/>
    <n v="3"/>
    <n v="2"/>
    <n v="0"/>
    <n v="2"/>
    <n v="0"/>
    <n v="34"/>
    <n v="6"/>
    <n v="3"/>
    <n v="2"/>
    <n v="11062"/>
    <n v="0"/>
    <n v="11062"/>
    <n v="0.76100000000000001"/>
    <n v="4084"/>
    <n v="72"/>
    <n v="0.8"/>
    <n v="0"/>
    <n v="1.8665000000000001E-4"/>
    <n v="0.99980999999999998"/>
    <s v="7.809379056064771"/>
    <s v="32.09396903698903"/>
    <s v="79.19283433325879"/>
    <s v="14.803231588626415"/>
    <n v="770783508"/>
    <x v="0"/>
    <n v="6.9517245999999998E-4"/>
    <x v="0"/>
  </r>
  <r>
    <n v="40"/>
    <n v="0"/>
    <n v="4"/>
    <n v="2"/>
    <n v="2"/>
    <n v="4"/>
    <n v="1"/>
    <n v="20"/>
    <n v="6"/>
    <n v="4"/>
    <n v="3"/>
    <n v="15987"/>
    <n v="1965"/>
    <n v="14022"/>
    <n v="0.72199999999999998"/>
    <n v="4542"/>
    <n v="70"/>
    <n v="0.59099999999999997"/>
    <n v="0.123"/>
    <n v="4.417E-4"/>
    <n v="0.99956"/>
    <s v="15.596608548404516"/>
    <s v="4.535054531564458"/>
    <s v="29.433945457972825"/>
    <s v="19.745191484390848"/>
    <n v="716899233"/>
    <x v="0"/>
    <n v="3.2914013999999999E-4"/>
    <x v="0"/>
  </r>
  <r>
    <n v="57"/>
    <n v="1"/>
    <n v="2"/>
    <n v="6"/>
    <n v="2"/>
    <n v="3"/>
    <n v="0"/>
    <n v="48"/>
    <n v="6"/>
    <n v="4"/>
    <n v="3"/>
    <n v="13457"/>
    <n v="1044"/>
    <n v="12413"/>
    <n v="0.72199999999999998"/>
    <n v="3303"/>
    <n v="66"/>
    <n v="0.73699999999999999"/>
    <n v="7.8E-2"/>
    <n v="4.0182999999999999E-4"/>
    <n v="0.99960000000000004"/>
    <s v="24.768510385371176"/>
    <n v="32.557546010355502"/>
    <s v="114.36541595035452"/>
    <s v="12.276937586063603"/>
    <n v="714124983"/>
    <x v="0"/>
    <n v="3.3885973999999997E-4"/>
    <x v="0"/>
  </r>
  <r>
    <n v="57"/>
    <n v="0"/>
    <n v="3"/>
    <n v="5"/>
    <n v="2"/>
    <n v="5"/>
    <n v="0"/>
    <n v="48"/>
    <n v="1"/>
    <n v="1"/>
    <n v="2"/>
    <n v="7176"/>
    <n v="1493"/>
    <n v="5683"/>
    <n v="0.66500000000000004"/>
    <n v="5063"/>
    <n v="83"/>
    <n v="0.93"/>
    <n v="0.20799999999999999"/>
    <s v="5.8763e-05"/>
    <n v="0.99994000000000005"/>
    <s v="17.926350144800523"/>
    <s v="21.74335183947251"/>
    <s v="24.973408918652865"/>
    <s v="4.686850777355314"/>
    <n v="714843483"/>
    <x v="0"/>
    <n v="3.2101269999999999E-4"/>
    <x v="0"/>
  </r>
  <r>
    <n v="43"/>
    <n v="1"/>
    <n v="3"/>
    <n v="5"/>
    <n v="1"/>
    <n v="0"/>
    <n v="0"/>
    <n v="37"/>
    <n v="1"/>
    <n v="2"/>
    <n v="3"/>
    <n v="16909"/>
    <n v="1171"/>
    <n v="15738"/>
    <n v="0.76700000000000002"/>
    <n v="15740"/>
    <n v="120"/>
    <n v="0.73899999999999999"/>
    <n v="6.9000000000000006E-2"/>
    <n v="2.0424000000000001E-4"/>
    <n v="0.99980000000000002"/>
    <s v="32.545938724414846"/>
    <s v="41.94051714803829"/>
    <n v="103.84114091954"/>
    <s v="1.7653041846098407"/>
    <n v="799011558"/>
    <x v="0"/>
    <n v="3.8573547000000003E-4"/>
    <x v="0"/>
  </r>
  <r>
    <n v="44"/>
    <n v="0"/>
    <n v="2"/>
    <n v="2"/>
    <n v="2"/>
    <n v="4"/>
    <n v="0"/>
    <n v="31"/>
    <n v="1"/>
    <n v="2"/>
    <n v="1"/>
    <n v="4291"/>
    <n v="1285"/>
    <n v="3006"/>
    <n v="0.84599999999999997"/>
    <n v="15511"/>
    <n v="101"/>
    <n v="0.629"/>
    <n v="0.29899999999999999"/>
    <s v="6.864e-05"/>
    <n v="0.99992999999999999"/>
    <s v="7.342008879683255"/>
    <s v="48.89010714858981"/>
    <s v="56.820412487689175"/>
    <s v="4.699730853382429"/>
    <n v="771062733"/>
    <x v="0"/>
    <n v="3.5533762999999998E-4"/>
    <x v="0"/>
  </r>
  <r>
    <n v="37"/>
    <n v="0"/>
    <n v="3"/>
    <n v="3"/>
    <n v="1"/>
    <n v="5"/>
    <n v="0"/>
    <n v="30"/>
    <n v="3"/>
    <n v="3"/>
    <n v="3"/>
    <n v="9874"/>
    <n v="0"/>
    <n v="9874"/>
    <n v="0.49099999999999999"/>
    <n v="2446"/>
    <n v="47"/>
    <n v="0.56699999999999995"/>
    <n v="0"/>
    <n v="0.99673"/>
    <n v="3.2652800000000002E-3"/>
    <s v="0.9704090444061644"/>
    <s v="19.43486234657251"/>
    <s v="16.025400132926638"/>
    <s v="21.843878258572605"/>
    <n v="762020133"/>
    <x v="1"/>
    <n v="0.99876772999999996"/>
    <x v="1"/>
  </r>
  <r>
    <n v="48"/>
    <n v="1"/>
    <n v="3"/>
    <n v="3"/>
    <n v="3"/>
    <n v="1"/>
    <n v="0"/>
    <n v="43"/>
    <n v="2"/>
    <n v="2"/>
    <n v="3"/>
    <n v="1753"/>
    <n v="1434"/>
    <n v="319"/>
    <n v="0.80500000000000005"/>
    <n v="4588"/>
    <n v="77"/>
    <n v="1.026"/>
    <n v="0.81799999999999995"/>
    <n v="1.9311E-4"/>
    <n v="0.99980999999999998"/>
    <s v="36.86566264802117"/>
    <s v="28.907808843726876"/>
    <s v="102.43990597666829"/>
    <s v="1.4864581510106345"/>
    <n v="806970033"/>
    <x v="0"/>
    <n v="3.2101269999999999E-4"/>
    <x v="0"/>
  </r>
  <r>
    <n v="42"/>
    <n v="0"/>
    <n v="4"/>
    <n v="0"/>
    <n v="1"/>
    <n v="1"/>
    <n v="0"/>
    <n v="37"/>
    <n v="3"/>
    <n v="3"/>
    <n v="1"/>
    <n v="4139"/>
    <n v="0"/>
    <n v="4139"/>
    <n v="0.54700000000000004"/>
    <n v="2232"/>
    <n v="41"/>
    <n v="0.46400000000000002"/>
    <n v="0"/>
    <n v="0.99104000000000003"/>
    <n v="8.9599999999999992E-3"/>
    <s v="7.3027337176733536"/>
    <s v="15.81669426972606"/>
    <s v="66.79781512135125"/>
    <s v="37.69584100125621"/>
    <n v="820276908"/>
    <x v="1"/>
    <n v="0.99876772999999996"/>
    <x v="1"/>
  </r>
  <r>
    <n v="49"/>
    <n v="1"/>
    <n v="3"/>
    <n v="5"/>
    <n v="2"/>
    <n v="3"/>
    <n v="3"/>
    <n v="41"/>
    <n v="4"/>
    <n v="1"/>
    <n v="2"/>
    <n v="34516"/>
    <n v="0"/>
    <n v="34516"/>
    <n v="0.499"/>
    <n v="1506"/>
    <n v="47"/>
    <n v="0.51600000000000001"/>
    <n v="0"/>
    <s v="5.3096e-05"/>
    <n v="0.99995000000000001"/>
    <n v="5.0250356127981899"/>
    <s v="9.544540203096654"/>
    <s v="35.10878627546497"/>
    <s v="4.378861329081448"/>
    <n v="710383158"/>
    <x v="0"/>
    <n v="4.459518E-3"/>
    <x v="0"/>
  </r>
  <r>
    <n v="51"/>
    <n v="0"/>
    <n v="4"/>
    <n v="4"/>
    <n v="1"/>
    <n v="1"/>
    <n v="3"/>
    <n v="43"/>
    <n v="1"/>
    <n v="3"/>
    <n v="3"/>
    <n v="3735"/>
    <n v="0"/>
    <n v="3735"/>
    <n v="0.76200000000000001"/>
    <n v="6826"/>
    <n v="61"/>
    <n v="0.84799999999999998"/>
    <n v="0"/>
    <n v="0.99704999999999999"/>
    <n v="2.9549400000000001E-3"/>
    <s v="5.023431895376977"/>
    <s v="56.350120941276906"/>
    <s v="136.3017938054683"/>
    <s v="15.034207532088027"/>
    <n v="712941483"/>
    <x v="1"/>
    <n v="0.99520869999999995"/>
    <x v="1"/>
  </r>
  <r>
    <n v="41"/>
    <n v="0"/>
    <n v="3"/>
    <n v="5"/>
    <n v="1"/>
    <n v="4"/>
    <n v="0"/>
    <n v="29"/>
    <n v="5"/>
    <n v="3"/>
    <n v="3"/>
    <n v="3022"/>
    <n v="1142"/>
    <n v="1880"/>
    <n v="0.40300000000000002"/>
    <n v="1184"/>
    <n v="21"/>
    <n v="0.61499999999999999"/>
    <n v="0.378"/>
    <n v="3.2275000000000001E-4"/>
    <n v="0.99968000000000001"/>
    <s v="7.625841765194563"/>
    <s v="39.33051655925598"/>
    <s v="87.89844593847552"/>
    <s v="9.141777664932516"/>
    <n v="712742808"/>
    <x v="0"/>
    <n v="1.0598798E-3"/>
    <x v="0"/>
  </r>
  <r>
    <n v="45"/>
    <n v="0"/>
    <n v="3"/>
    <n v="0"/>
    <n v="1"/>
    <n v="4"/>
    <n v="0"/>
    <n v="35"/>
    <n v="3"/>
    <n v="2"/>
    <n v="2"/>
    <n v="1717"/>
    <n v="1156"/>
    <n v="561"/>
    <n v="0.64700000000000002"/>
    <n v="4301"/>
    <n v="64"/>
    <n v="0.64100000000000001"/>
    <n v="0.67300000000000004"/>
    <n v="1.1483E-4"/>
    <n v="0.99988999999999995"/>
    <s v="34.67734003382754"/>
    <n v="84.364236606891396"/>
    <s v="219.1280088882121"/>
    <s v="7.794000113750775"/>
    <n v="718932633"/>
    <x v="0"/>
    <n v="3.4604817999999999E-4"/>
    <x v="0"/>
  </r>
  <r>
    <n v="47"/>
    <n v="0"/>
    <n v="2"/>
    <n v="1"/>
    <n v="2"/>
    <n v="4"/>
    <n v="0"/>
    <n v="37"/>
    <n v="3"/>
    <n v="0"/>
    <n v="1"/>
    <n v="4254"/>
    <n v="1204"/>
    <n v="3050"/>
    <n v="0.53800000000000003"/>
    <n v="5385"/>
    <n v="93"/>
    <n v="0.69099999999999995"/>
    <n v="0.28299999999999997"/>
    <s v="1.7785e-05"/>
    <n v="0.99997999999999998"/>
    <s v="18.92522424576544"/>
    <s v="48.73759346525208"/>
    <s v="114.31221505040314"/>
    <s v="16.663180304652062"/>
    <n v="772457583"/>
    <x v="0"/>
    <n v="3.6588970000000001E-4"/>
    <x v="0"/>
  </r>
  <r>
    <n v="47"/>
    <n v="0"/>
    <n v="3"/>
    <n v="5"/>
    <n v="2"/>
    <n v="5"/>
    <n v="0"/>
    <n v="35"/>
    <n v="1"/>
    <n v="4"/>
    <n v="3"/>
    <n v="2446"/>
    <n v="1899"/>
    <n v="547"/>
    <n v="0.71399999999999997"/>
    <n v="5347"/>
    <n v="87"/>
    <n v="0.74"/>
    <n v="0.77600000000000002"/>
    <n v="3.9004000000000003E-4"/>
    <n v="0.99961"/>
    <s v="1.5352612824694285"/>
    <s v="12.968860779079078"/>
    <s v="80.81226136534224"/>
    <s v="14.681403448703673"/>
    <n v="709948233"/>
    <x v="0"/>
    <n v="3.6588970000000001E-4"/>
    <x v="0"/>
  </r>
  <r>
    <n v="51"/>
    <n v="0"/>
    <n v="2"/>
    <n v="3"/>
    <n v="1"/>
    <n v="4"/>
    <n v="0"/>
    <n v="37"/>
    <n v="3"/>
    <n v="2"/>
    <n v="1"/>
    <n v="2258"/>
    <n v="1250"/>
    <n v="1008"/>
    <n v="0.61099999999999999"/>
    <n v="4368"/>
    <n v="75"/>
    <n v="0.59599999999999997"/>
    <n v="0.55400000000000005"/>
    <s v="6.6728e-05"/>
    <n v="0.99992999999999999"/>
    <s v="101.1945456135501"/>
    <s v="49.55925613383408"/>
    <s v="10.500969185161935"/>
    <s v="2.161070032536766"/>
    <n v="788920308"/>
    <x v="0"/>
    <n v="3.2914013999999999E-4"/>
    <x v="0"/>
  </r>
  <r>
    <n v="47"/>
    <n v="1"/>
    <n v="3"/>
    <n v="5"/>
    <n v="2"/>
    <n v="3"/>
    <n v="0"/>
    <n v="36"/>
    <n v="5"/>
    <n v="3"/>
    <n v="2"/>
    <n v="26058"/>
    <n v="1664"/>
    <n v="24394"/>
    <n v="0.91600000000000004"/>
    <n v="3489"/>
    <n v="58"/>
    <n v="0.61099999999999999"/>
    <n v="6.4000000000000001E-2"/>
    <n v="1.9191E-4"/>
    <n v="0.99980999999999998"/>
    <s v="7.299065077256754"/>
    <s v="16.82327512225422"/>
    <s v="49.91705750613949"/>
    <s v="5.567933915809857"/>
    <n v="714622833"/>
    <x v="0"/>
    <n v="4.5890589999999999E-4"/>
    <x v="0"/>
  </r>
  <r>
    <n v="50"/>
    <n v="1"/>
    <n v="2"/>
    <n v="4"/>
    <n v="2"/>
    <n v="2"/>
    <n v="0"/>
    <n v="36"/>
    <n v="1"/>
    <n v="3"/>
    <n v="2"/>
    <n v="2296"/>
    <n v="1371"/>
    <n v="925"/>
    <n v="0.60399999999999998"/>
    <n v="5483"/>
    <n v="77"/>
    <n v="0.79100000000000004"/>
    <n v="0.59699999999999998"/>
    <n v="2.1164999999999999E-4"/>
    <n v="0.99978999999999996"/>
    <n v="6.3506432096077896"/>
    <s v="91.10027356047225"/>
    <s v="103.75198669430146"/>
    <s v="3.760027127611093"/>
    <n v="720518283"/>
    <x v="0"/>
    <n v="5.5846529999999995E-4"/>
    <x v="0"/>
  </r>
  <r>
    <n v="58"/>
    <n v="1"/>
    <n v="1"/>
    <n v="3"/>
    <n v="1"/>
    <n v="1"/>
    <n v="0"/>
    <n v="36"/>
    <n v="3"/>
    <n v="2"/>
    <n v="5"/>
    <n v="2165"/>
    <n v="1135"/>
    <n v="1030"/>
    <n v="0.70699999999999996"/>
    <n v="1541"/>
    <n v="33"/>
    <n v="0.83299999999999996"/>
    <n v="0.52400000000000002"/>
    <n v="5.1555999999999998E-4"/>
    <n v="0.99948000000000004"/>
    <s v="46.56501999182367"/>
    <n v="58.295268750858298"/>
    <s v="2.319287280365163"/>
    <s v="16.42110250435475"/>
    <n v="721467258"/>
    <x v="0"/>
    <n v="1.0249399E-3"/>
    <x v="0"/>
  </r>
  <r>
    <n v="47"/>
    <n v="0"/>
    <n v="4"/>
    <n v="3"/>
    <n v="1"/>
    <n v="4"/>
    <n v="0"/>
    <n v="36"/>
    <n v="1"/>
    <n v="3"/>
    <n v="1"/>
    <n v="3216"/>
    <n v="1480"/>
    <n v="1736"/>
    <n v="0.73299999999999998"/>
    <n v="14178"/>
    <n v="123"/>
    <n v="0.80900000000000005"/>
    <n v="0.46"/>
    <n v="1.106E-4"/>
    <n v="0.99988999999999995"/>
    <s v="29.95443017073942"/>
    <s v="27.55702107664827"/>
    <s v="2.3540528550097743"/>
    <s v="12.442030003303078"/>
    <n v="716728233"/>
    <x v="0"/>
    <n v="3.4656386999999997E-4"/>
    <x v="0"/>
  </r>
  <r>
    <n v="30"/>
    <n v="1"/>
    <n v="0"/>
    <n v="2"/>
    <n v="0"/>
    <n v="2"/>
    <n v="0"/>
    <n v="22"/>
    <n v="3"/>
    <n v="3"/>
    <n v="3"/>
    <n v="6476"/>
    <n v="0"/>
    <n v="6476"/>
    <n v="0.55100000000000005"/>
    <n v="2723"/>
    <n v="66"/>
    <n v="0.65"/>
    <n v="0"/>
    <n v="2.5960000000000002E-4"/>
    <n v="0.99973999999999996"/>
    <s v="5.161127019988621"/>
    <s v="27.038885356615253"/>
    <n v="4.3377462408228702"/>
    <s v="0.6639979033793711"/>
    <n v="709516458"/>
    <x v="0"/>
    <n v="9.0940940000000005E-4"/>
    <x v="0"/>
  </r>
  <r>
    <n v="59"/>
    <n v="1"/>
    <n v="0"/>
    <n v="0"/>
    <n v="1"/>
    <n v="3"/>
    <n v="0"/>
    <n v="50"/>
    <n v="3"/>
    <n v="2"/>
    <n v="3"/>
    <n v="12918"/>
    <n v="2352"/>
    <n v="10566"/>
    <n v="1.008"/>
    <n v="9138"/>
    <n v="76"/>
    <n v="0.9"/>
    <n v="0.182"/>
    <n v="0.99378"/>
    <n v="6.2199999999999998E-3"/>
    <s v="16.16874482336074"/>
    <n v="1.81164396389933"/>
    <s v="53.37321963053999"/>
    <s v="8.323629787542464"/>
    <n v="716238483"/>
    <x v="1"/>
    <n v="0.98915814999999996"/>
    <x v="1"/>
  </r>
  <r>
    <n v="48"/>
    <n v="0"/>
    <n v="4"/>
    <n v="5"/>
    <n v="1"/>
    <n v="4"/>
    <n v="0"/>
    <n v="41"/>
    <n v="5"/>
    <n v="3"/>
    <n v="4"/>
    <n v="2340"/>
    <n v="1680"/>
    <n v="660"/>
    <n v="0.79100000000000004"/>
    <n v="4751"/>
    <n v="83"/>
    <n v="0.80400000000000005"/>
    <n v="0.71799999999999997"/>
    <n v="5.5639999999999997E-4"/>
    <n v="0.99944"/>
    <s v="5.639606256476349"/>
    <s v="45.03897615225419"/>
    <s v="84.56622146218339"/>
    <s v="8.783927157297892"/>
    <n v="760807608"/>
    <x v="0"/>
    <n v="3.2101269999999999E-4"/>
    <x v="0"/>
  </r>
  <r>
    <n v="49"/>
    <n v="0"/>
    <n v="2"/>
    <n v="5"/>
    <n v="1"/>
    <n v="4"/>
    <n v="0"/>
    <n v="35"/>
    <n v="5"/>
    <n v="2"/>
    <n v="3"/>
    <n v="2081"/>
    <n v="0"/>
    <n v="2081"/>
    <n v="1.004"/>
    <n v="4863"/>
    <n v="87"/>
    <n v="0.70599999999999996"/>
    <n v="0"/>
    <n v="1.9683E-4"/>
    <n v="0.99980000000000002"/>
    <s v="24.71119902018696"/>
    <s v="24.171722635847416"/>
    <s v="2.4279640054575937"/>
    <n v="1.59897021848511"/>
    <n v="721287183"/>
    <x v="0"/>
    <n v="7.1297199999999998E-4"/>
    <x v="0"/>
  </r>
  <r>
    <n v="52"/>
    <n v="1"/>
    <n v="2"/>
    <n v="1"/>
    <n v="1"/>
    <n v="0"/>
    <n v="0"/>
    <n v="44"/>
    <n v="1"/>
    <n v="2"/>
    <n v="2"/>
    <n v="34516"/>
    <n v="1382"/>
    <n v="33134"/>
    <n v="0.85599999999999998"/>
    <n v="8604"/>
    <n v="108"/>
    <n v="0.71399999999999997"/>
    <n v="0.04"/>
    <n v="1.6470999999999999E-4"/>
    <n v="0.99983999999999995"/>
    <s v="29.324986165033245"/>
    <s v="4.213995675502962"/>
    <s v="43.35021020345467"/>
    <s v="5.560318933970914"/>
    <n v="709619433"/>
    <x v="0"/>
    <n v="4.1022256E-4"/>
    <x v="0"/>
  </r>
  <r>
    <n v="43"/>
    <n v="0"/>
    <n v="4"/>
    <n v="2"/>
    <n v="0"/>
    <n v="4"/>
    <n v="0"/>
    <n v="36"/>
    <n v="3"/>
    <n v="2"/>
    <n v="2"/>
    <n v="1438.3"/>
    <n v="743"/>
    <n v="695.3"/>
    <n v="0.624"/>
    <n v="4484"/>
    <n v="78"/>
    <n v="0.625"/>
    <n v="0.51700000000000002"/>
    <n v="1.1937E-4"/>
    <n v="0.99987999999999999"/>
    <s v="33.17886661262003"/>
    <s v="50.98178671180047"/>
    <s v="6.121647504115054"/>
    <s v="4.1653333794536165"/>
    <n v="720307683"/>
    <x v="0"/>
    <n v="5.5868360000000002E-4"/>
    <x v="0"/>
  </r>
  <r>
    <n v="54"/>
    <n v="1"/>
    <n v="1"/>
    <n v="2"/>
    <n v="1"/>
    <n v="2"/>
    <n v="0"/>
    <n v="36"/>
    <n v="3"/>
    <n v="3"/>
    <n v="2"/>
    <n v="2947"/>
    <n v="2216"/>
    <n v="731"/>
    <n v="0.76"/>
    <n v="1744"/>
    <n v="53"/>
    <n v="0.60599999999999998"/>
    <n v="0.752"/>
    <n v="1.6882999999999999E-4"/>
    <n v="0.99983"/>
    <n v="29.497265883240399"/>
    <s v="11.695883312015914"/>
    <s v="8.614428193539581"/>
    <s v="6.567921939465434"/>
    <n v="712138983"/>
    <x v="0"/>
    <n v="7.2498636999999999E-4"/>
    <x v="0"/>
  </r>
  <r>
    <n v="36"/>
    <n v="1"/>
    <n v="3"/>
    <n v="2"/>
    <n v="2"/>
    <n v="2"/>
    <n v="0"/>
    <n v="30"/>
    <n v="3"/>
    <n v="4"/>
    <n v="3"/>
    <n v="2789"/>
    <n v="1584"/>
    <n v="1205"/>
    <n v="0.996"/>
    <n v="2688"/>
    <n v="60"/>
    <n v="0.71399999999999997"/>
    <n v="0.56799999999999995"/>
    <n v="3.7934999999999998E-4"/>
    <n v="0.99961999999999995"/>
    <s v="37.882881370866265"/>
    <s v="6.393756499069466"/>
    <s v="107.74670312663392"/>
    <s v="16.736931838030287"/>
    <n v="769145733"/>
    <x v="0"/>
    <n v="4.2238505999999998E-4"/>
    <x v="0"/>
  </r>
  <r>
    <n v="29"/>
    <n v="1"/>
    <n v="1"/>
    <n v="2"/>
    <n v="1"/>
    <n v="2"/>
    <n v="0"/>
    <n v="17"/>
    <n v="5"/>
    <n v="1"/>
    <n v="4"/>
    <n v="6500"/>
    <n v="2517"/>
    <n v="3983"/>
    <n v="0.91500000000000004"/>
    <n v="9451"/>
    <n v="79"/>
    <n v="0.64600000000000002"/>
    <n v="0.38700000000000001"/>
    <n v="0.99329999999999996"/>
    <n v="6.7000000000000002E-3"/>
    <n v="90.710221918468207"/>
    <s v="21.584302475498795"/>
    <s v="55.88452469027366"/>
    <s v="16.25641566446735"/>
    <n v="709608708"/>
    <x v="1"/>
    <n v="0.98615174999999999"/>
    <x v="1"/>
  </r>
  <r>
    <n v="46"/>
    <n v="1"/>
    <n v="3"/>
    <n v="0"/>
    <n v="1"/>
    <n v="0"/>
    <n v="0"/>
    <n v="40"/>
    <n v="6"/>
    <n v="3"/>
    <n v="3"/>
    <n v="1438.3"/>
    <n v="0"/>
    <n v="1438.3"/>
    <n v="0.68100000000000005"/>
    <n v="4833"/>
    <n v="69"/>
    <n v="0.76900000000000002"/>
    <n v="0"/>
    <n v="3.0519E-4"/>
    <n v="0.99968999999999997"/>
    <s v="14.169289522380392"/>
    <s v="21.265633078040057"/>
    <s v="30.280541071432328"/>
    <s v="0.8326071418033045"/>
    <n v="801783108"/>
    <x v="0"/>
    <n v="7.4965424999999997E-4"/>
    <x v="0"/>
  </r>
  <r>
    <n v="39"/>
    <n v="1"/>
    <n v="3"/>
    <n v="2"/>
    <n v="1"/>
    <n v="1"/>
    <n v="0"/>
    <n v="29"/>
    <n v="2"/>
    <n v="2"/>
    <n v="2"/>
    <n v="3152"/>
    <n v="1174"/>
    <n v="1978"/>
    <n v="0.86199999999999999"/>
    <n v="13670"/>
    <n v="117"/>
    <n v="0.85699999999999998"/>
    <n v="0.372"/>
    <n v="1.1811000000000001E-4"/>
    <n v="0.99987999999999999"/>
    <s v="10.09453593991465"/>
    <s v="44.73536345717089"/>
    <s v="33.19580188303315"/>
    <s v="12.297944786671453"/>
    <n v="789878283"/>
    <x v="0"/>
    <n v="3.4656386999999997E-4"/>
    <x v="0"/>
  </r>
  <r>
    <n v="56"/>
    <n v="0"/>
    <n v="3"/>
    <n v="3"/>
    <n v="1"/>
    <n v="1"/>
    <n v="0"/>
    <n v="51"/>
    <n v="5"/>
    <n v="2"/>
    <n v="1"/>
    <n v="1438.3"/>
    <n v="0"/>
    <n v="1438.3"/>
    <n v="0.59699999999999998"/>
    <n v="594"/>
    <n v="14"/>
    <n v="0.55600000000000005"/>
    <n v="0"/>
    <n v="0.98575999999999997"/>
    <n v="1.4239999999999999E-2"/>
    <s v="28.363320697841157"/>
    <s v="67.24173231628988"/>
    <s v="21.311112284501142"/>
    <s v="17.263340953587868"/>
    <n v="803595858"/>
    <x v="1"/>
    <n v="0.99867176999999996"/>
    <x v="1"/>
  </r>
  <r>
    <n v="42"/>
    <n v="0"/>
    <n v="4"/>
    <n v="5"/>
    <n v="1"/>
    <n v="4"/>
    <n v="0"/>
    <n v="31"/>
    <n v="2"/>
    <n v="2"/>
    <n v="2"/>
    <n v="2410"/>
    <n v="1769"/>
    <n v="641"/>
    <n v="0.75900000000000001"/>
    <n v="1217"/>
    <n v="30"/>
    <n v="1.143"/>
    <n v="0.73399999999999999"/>
    <n v="1.2274000000000001E-4"/>
    <n v="0.99987999999999999"/>
    <s v="63.742501136831066"/>
    <s v="39.05920132493964"/>
    <s v="3.720797282652355"/>
    <s v="12.44734008145685"/>
    <n v="721132233"/>
    <x v="0"/>
    <n v="1.2280571000000001E-3"/>
    <x v="0"/>
  </r>
  <r>
    <n v="53"/>
    <n v="1"/>
    <n v="1"/>
    <n v="6"/>
    <n v="1"/>
    <n v="1"/>
    <n v="0"/>
    <n v="41"/>
    <n v="5"/>
    <n v="1"/>
    <n v="3"/>
    <n v="2885"/>
    <n v="1433"/>
    <n v="1452"/>
    <n v="1.0169999999999999"/>
    <n v="1170"/>
    <n v="23"/>
    <n v="0.76900000000000002"/>
    <n v="0.497"/>
    <s v="9.5577e-05"/>
    <n v="0.99990000000000001"/>
    <s v="23.495222638173107"/>
    <s v="19.89976498374929"/>
    <s v="126.95374605509468"/>
    <s v="4.073004331774683"/>
    <n v="780605508"/>
    <x v="0"/>
    <n v="1.0337284E-3"/>
    <x v="0"/>
  </r>
  <r>
    <n v="51"/>
    <n v="0"/>
    <n v="3"/>
    <n v="3"/>
    <n v="2"/>
    <n v="4"/>
    <n v="0"/>
    <n v="39"/>
    <n v="5"/>
    <n v="2"/>
    <n v="1"/>
    <n v="4038"/>
    <n v="1237"/>
    <n v="2801"/>
    <n v="0.61"/>
    <n v="4188"/>
    <n v="68"/>
    <n v="0.54500000000000004"/>
    <n v="0.30599999999999999"/>
    <s v="6.9242e-05"/>
    <n v="0.99992999999999999"/>
    <s v="5.667053854356723"/>
    <s v="31.182968297515053"/>
    <s v="1.0443630041095335"/>
    <s v="3.509763693532939"/>
    <n v="787501758"/>
    <x v="0"/>
    <n v="3.2914013999999999E-4"/>
    <x v="0"/>
  </r>
  <r>
    <n v="35"/>
    <n v="1"/>
    <n v="3"/>
    <n v="0"/>
    <n v="2"/>
    <n v="2"/>
    <n v="0"/>
    <n v="36"/>
    <n v="5"/>
    <n v="1"/>
    <n v="3"/>
    <n v="2780"/>
    <n v="0"/>
    <n v="2780"/>
    <n v="0.56499999999999995"/>
    <n v="2469"/>
    <n v="67"/>
    <n v="0.81100000000000005"/>
    <n v="0"/>
    <s v="9.3457e-05"/>
    <n v="0.99990999999999997"/>
    <n v="30.056627778709998"/>
    <s v="42.07685296475498"/>
    <s v="37.67256827223017"/>
    <s v="0.3257729316930411"/>
    <n v="718274283"/>
    <x v="0"/>
    <n v="9.3934225E-4"/>
    <x v="0"/>
  </r>
  <r>
    <n v="51"/>
    <n v="1"/>
    <n v="3"/>
    <n v="3"/>
    <n v="1"/>
    <n v="0"/>
    <n v="0"/>
    <n v="40"/>
    <n v="6"/>
    <n v="3"/>
    <n v="2"/>
    <n v="7319"/>
    <n v="1692"/>
    <n v="5627"/>
    <n v="0.70099999999999996"/>
    <n v="1233"/>
    <n v="29"/>
    <n v="0.61099999999999999"/>
    <n v="0.23100000000000001"/>
    <n v="1.8144999999999999E-4"/>
    <n v="0.99982000000000004"/>
    <s v="13.50805991063716"/>
    <s v="10.415987306576124"/>
    <s v="17.507156575240558"/>
    <s v="2.071798207014406"/>
    <n v="719366358"/>
    <x v="0"/>
    <n v="1.0598798E-3"/>
    <x v="0"/>
  </r>
  <r>
    <n v="51"/>
    <n v="1"/>
    <n v="2"/>
    <n v="2"/>
    <n v="1"/>
    <n v="1"/>
    <n v="0"/>
    <n v="45"/>
    <n v="2"/>
    <n v="2"/>
    <n v="2"/>
    <n v="11467"/>
    <n v="1146"/>
    <n v="10321"/>
    <n v="1.018"/>
    <n v="14373"/>
    <n v="97"/>
    <n v="0.76400000000000001"/>
    <n v="0.1"/>
    <n v="1.1382E-4"/>
    <n v="0.99988999999999995"/>
    <s v="32.37566248347279"/>
    <s v="8.740828968433963"/>
    <s v="9.827244261438398"/>
    <s v="8.706818057130251"/>
    <n v="799468083"/>
    <x v="0"/>
    <n v="3.6437239999999999E-4"/>
    <x v="0"/>
  </r>
  <r>
    <n v="39"/>
    <n v="0"/>
    <n v="2"/>
    <n v="3"/>
    <n v="2"/>
    <n v="1"/>
    <n v="0"/>
    <n v="28"/>
    <n v="3"/>
    <n v="2"/>
    <n v="2"/>
    <n v="2751"/>
    <n v="2258"/>
    <n v="493"/>
    <n v="0.63400000000000001"/>
    <n v="4386"/>
    <n v="67"/>
    <n v="0.67500000000000004"/>
    <n v="0.82099999999999995"/>
    <n v="1.1065000000000001E-4"/>
    <n v="0.99988999999999995"/>
    <s v="32.027444580811284"/>
    <n v="74.3327582423926"/>
    <s v="54.08022030695235"/>
    <s v="7.342959072865709"/>
    <n v="710622333"/>
    <x v="0"/>
    <n v="3.2101269999999999E-4"/>
    <x v="0"/>
  </r>
  <r>
    <n v="47"/>
    <n v="1"/>
    <n v="3"/>
    <n v="2"/>
    <n v="1"/>
    <n v="3"/>
    <n v="0"/>
    <n v="41"/>
    <n v="6"/>
    <n v="1"/>
    <n v="4"/>
    <n v="11997"/>
    <n v="1424"/>
    <n v="10573"/>
    <n v="0.749"/>
    <n v="4125"/>
    <n v="80"/>
    <n v="0.86"/>
    <n v="0.11899999999999999"/>
    <n v="1.6399000000000001E-4"/>
    <n v="0.99983999999999995"/>
    <s v="45.06274378707617"/>
    <s v="11.068539488255004"/>
    <s v="19.61981368311503"/>
    <s v="4.277950341627371"/>
    <n v="714207483"/>
    <x v="0"/>
    <n v="3.2101269999999999E-4"/>
    <x v="0"/>
  </r>
  <r>
    <n v="41"/>
    <n v="0"/>
    <n v="4"/>
    <n v="2"/>
    <n v="2"/>
    <n v="4"/>
    <n v="0"/>
    <n v="24"/>
    <n v="3"/>
    <n v="3"/>
    <n v="1"/>
    <n v="2069"/>
    <n v="1393"/>
    <n v="676"/>
    <n v="0.875"/>
    <n v="4962"/>
    <n v="70"/>
    <n v="0.75"/>
    <n v="0.67300000000000004"/>
    <n v="1.1377E-4"/>
    <n v="0.99988999999999995"/>
    <s v="45.03786728626635"/>
    <s v="10.670683970377375"/>
    <n v="95.608650510520604"/>
    <s v="13.40394147278534"/>
    <n v="779703258"/>
    <x v="0"/>
    <n v="3.2101269999999999E-4"/>
    <x v="0"/>
  </r>
  <r>
    <n v="56"/>
    <n v="1"/>
    <n v="2"/>
    <n v="5"/>
    <n v="0"/>
    <n v="2"/>
    <n v="0"/>
    <n v="50"/>
    <n v="4"/>
    <n v="1"/>
    <n v="2"/>
    <n v="7261"/>
    <n v="1079"/>
    <n v="6182"/>
    <n v="1.3120000000000001"/>
    <n v="3723"/>
    <n v="58"/>
    <n v="1.071"/>
    <n v="0.14899999999999999"/>
    <s v="5.663e-05"/>
    <n v="0.99994000000000005"/>
    <s v="2.8402830437181987"/>
    <s v="23.40370107635052"/>
    <n v="91.025929716964995"/>
    <s v="26.69940700074352"/>
    <n v="711699183"/>
    <x v="0"/>
    <n v="4.0212742000000001E-4"/>
    <x v="0"/>
  </r>
  <r>
    <n v="46"/>
    <n v="0"/>
    <n v="2"/>
    <n v="6"/>
    <n v="1"/>
    <n v="5"/>
    <n v="3"/>
    <n v="39"/>
    <n v="1"/>
    <n v="1"/>
    <n v="2"/>
    <n v="32587"/>
    <n v="992"/>
    <n v="31595"/>
    <n v="1.139"/>
    <n v="15958"/>
    <n v="113"/>
    <n v="0.68700000000000006"/>
    <n v="0.03"/>
    <s v="5.4701e-05"/>
    <n v="0.99995000000000001"/>
    <s v="24.28654622652983"/>
    <n v="0.83676437548904503"/>
    <s v="107.20529784090824"/>
    <s v="1.4167775077986224"/>
    <n v="756639708"/>
    <x v="0"/>
    <n v="4.0555582000000002E-4"/>
    <x v="0"/>
  </r>
  <r>
    <n v="50"/>
    <n v="0"/>
    <n v="2"/>
    <n v="2"/>
    <n v="1"/>
    <n v="4"/>
    <n v="0"/>
    <n v="36"/>
    <n v="2"/>
    <n v="3"/>
    <n v="2"/>
    <n v="1912"/>
    <n v="0"/>
    <n v="1912"/>
    <n v="0.72799999999999998"/>
    <n v="4851"/>
    <n v="87"/>
    <n v="0.64200000000000002"/>
    <n v="0"/>
    <n v="1.7987E-4"/>
    <n v="0.99982000000000004"/>
    <s v="23.22291364221076"/>
    <s v="33.983948919868176"/>
    <s v="125.84917694572584"/>
    <s v="0.5837317069252308"/>
    <n v="715309083"/>
    <x v="0"/>
    <n v="7.1276520000000004E-4"/>
    <x v="0"/>
  </r>
  <r>
    <n v="45"/>
    <n v="0"/>
    <n v="3"/>
    <n v="4"/>
    <n v="1"/>
    <n v="4"/>
    <n v="0"/>
    <n v="32"/>
    <n v="2"/>
    <n v="3"/>
    <n v="2"/>
    <n v="2726"/>
    <n v="2127"/>
    <n v="599"/>
    <n v="0.81399999999999995"/>
    <n v="5578"/>
    <n v="89"/>
    <n v="0.85399999999999998"/>
    <n v="0.78"/>
    <n v="2.1961999999999999E-4"/>
    <n v="0.99978"/>
    <s v="6.069334927237753"/>
    <n v="9.0206751096350395"/>
    <s v="15.272499233048068"/>
    <s v="20.84874366102473"/>
    <n v="710464683"/>
    <x v="0"/>
    <n v="3.6856539999999998E-4"/>
    <x v="0"/>
  </r>
  <r>
    <n v="39"/>
    <n v="0"/>
    <n v="2"/>
    <n v="5"/>
    <n v="1"/>
    <n v="4"/>
    <n v="3"/>
    <n v="34"/>
    <n v="3"/>
    <n v="3"/>
    <n v="3"/>
    <n v="14386"/>
    <n v="2517"/>
    <n v="11869"/>
    <n v="0.73499999999999999"/>
    <n v="13377"/>
    <n v="114"/>
    <n v="0.86899999999999999"/>
    <n v="0.17499999999999999"/>
    <n v="2.8104999999999997E-4"/>
    <n v="0.99972000000000005"/>
    <s v="12.668675216789866"/>
    <s v="7.771426499670394"/>
    <n v="69.272780204086203"/>
    <s v="5.450758508051562"/>
    <n v="803968233"/>
    <x v="0"/>
    <n v="3.7453471999999999E-4"/>
    <x v="0"/>
  </r>
  <r>
    <n v="57"/>
    <n v="1"/>
    <n v="2"/>
    <n v="6"/>
    <n v="0"/>
    <n v="0"/>
    <n v="0"/>
    <n v="38"/>
    <n v="1"/>
    <n v="2"/>
    <n v="4"/>
    <n v="24379"/>
    <n v="1116"/>
    <n v="23263"/>
    <n v="0.62"/>
    <n v="2836"/>
    <n v="41"/>
    <n v="0.28100000000000003"/>
    <n v="4.5999999999999999E-2"/>
    <n v="0.99722"/>
    <n v="2.7772299999999999E-3"/>
    <s v="29.543687437877956"/>
    <s v="27.125822200883555"/>
    <s v="40.890310119729484"/>
    <s v="4.469759590522324"/>
    <n v="778860783"/>
    <x v="1"/>
    <n v="0.99563990000000002"/>
    <x v="1"/>
  </r>
  <r>
    <n v="29"/>
    <n v="1"/>
    <n v="0"/>
    <n v="2"/>
    <n v="1"/>
    <n v="1"/>
    <n v="0"/>
    <n v="18"/>
    <n v="4"/>
    <n v="3"/>
    <n v="4"/>
    <n v="4532"/>
    <n v="0"/>
    <n v="4532"/>
    <n v="0.73399999999999999"/>
    <n v="1885"/>
    <n v="55"/>
    <n v="0.52800000000000002"/>
    <n v="0"/>
    <n v="4.4282000000000002E-4"/>
    <n v="0.99956"/>
    <s v="14.345661339178177"/>
    <s v="55.049849815395206"/>
    <s v="46.98699621304599"/>
    <s v="17.21130779497683"/>
    <n v="779611008"/>
    <x v="0"/>
    <n v="1.7888193E-3"/>
    <x v="0"/>
  </r>
  <r>
    <n v="54"/>
    <n v="1"/>
    <n v="2"/>
    <n v="5"/>
    <n v="1"/>
    <n v="2"/>
    <n v="0"/>
    <n v="35"/>
    <n v="4"/>
    <n v="3"/>
    <n v="4"/>
    <n v="2189"/>
    <n v="382"/>
    <n v="1807"/>
    <n v="0.88400000000000001"/>
    <n v="2750"/>
    <n v="51"/>
    <n v="0.59399999999999997"/>
    <n v="0.17499999999999999"/>
    <n v="0.99812000000000001"/>
    <n v="1.8803100000000001E-3"/>
    <s v="14.661370394257707"/>
    <n v="49.513801302357301"/>
    <s v="32.419860680757246"/>
    <s v="17.450890310920343"/>
    <n v="718707933"/>
    <x v="1"/>
    <n v="0.99761330000000004"/>
    <x v="1"/>
  </r>
  <r>
    <n v="45"/>
    <n v="0"/>
    <n v="3"/>
    <n v="2"/>
    <n v="2"/>
    <n v="1"/>
    <n v="3"/>
    <n v="39"/>
    <n v="5"/>
    <n v="2"/>
    <n v="4"/>
    <n v="21425"/>
    <n v="1459"/>
    <n v="19966"/>
    <n v="1.0609999999999999"/>
    <n v="3704"/>
    <n v="60"/>
    <n v="0.53800000000000003"/>
    <n v="6.8000000000000005E-2"/>
    <n v="3.0619000000000002E-4"/>
    <n v="0.99968999999999997"/>
    <n v="5.4596171714735799"/>
    <n v="46.749126315838801"/>
    <s v="90.72317062989691"/>
    <s v="8.577381543595052"/>
    <n v="715140933"/>
    <x v="0"/>
    <n v="4.2448603E-4"/>
    <x v="0"/>
  </r>
  <r>
    <n v="44"/>
    <n v="1"/>
    <n v="3"/>
    <n v="6"/>
    <n v="1"/>
    <n v="3"/>
    <n v="0"/>
    <n v="38"/>
    <n v="3"/>
    <n v="1"/>
    <n v="4"/>
    <n v="4198"/>
    <n v="1782"/>
    <n v="2416"/>
    <n v="1.526"/>
    <n v="2051"/>
    <n v="36"/>
    <n v="1"/>
    <n v="0.42399999999999999"/>
    <n v="1.8024999999999999E-4"/>
    <n v="0.99982000000000004"/>
    <s v="44.23491774023551"/>
    <s v="88.86700981142268"/>
    <s v="9.770518965339347"/>
    <n v="16.002910140892499"/>
    <n v="786509358"/>
    <x v="0"/>
    <n v="1.0139119E-3"/>
    <x v="0"/>
  </r>
  <r>
    <n v="50"/>
    <n v="1"/>
    <n v="1"/>
    <n v="2"/>
    <n v="2"/>
    <n v="0"/>
    <n v="0"/>
    <n v="40"/>
    <n v="4"/>
    <n v="2"/>
    <n v="3"/>
    <n v="34516"/>
    <n v="1185"/>
    <n v="33331"/>
    <n v="0.72499999999999998"/>
    <n v="3874"/>
    <n v="72"/>
    <n v="0.71399999999999997"/>
    <n v="3.4000000000000002E-2"/>
    <n v="1.7969000000000001E-4"/>
    <n v="0.99982000000000004"/>
    <s v="33.777447652425685"/>
    <s v="30.652114135210137"/>
    <s v="70.99813511792209"/>
    <s v="9.813908666837724"/>
    <n v="717582558"/>
    <x v="0"/>
    <n v="3.5729867999999997E-4"/>
    <x v="0"/>
  </r>
  <r>
    <n v="44"/>
    <n v="0"/>
    <n v="2"/>
    <n v="1"/>
    <n v="0"/>
    <n v="4"/>
    <n v="0"/>
    <n v="36"/>
    <n v="1"/>
    <n v="2"/>
    <n v="2"/>
    <n v="1916"/>
    <n v="0"/>
    <n v="1916"/>
    <n v="1.0409999999999999"/>
    <n v="2888"/>
    <n v="39"/>
    <n v="0.44400000000000001"/>
    <n v="0"/>
    <n v="0.99397000000000002"/>
    <n v="6.0299999999999998E-3"/>
    <s v="15.859918280652014"/>
    <s v="26.631088072853345"/>
    <s v="52.76016537969313"/>
    <s v="15.89327353256308"/>
    <n v="708804633"/>
    <x v="1"/>
    <n v="0.99858899999999995"/>
    <x v="1"/>
  </r>
  <r>
    <n v="45"/>
    <n v="1"/>
    <n v="3"/>
    <n v="2"/>
    <n v="2"/>
    <n v="1"/>
    <n v="0"/>
    <n v="38"/>
    <n v="1"/>
    <n v="3"/>
    <n v="1"/>
    <n v="3751"/>
    <n v="1869"/>
    <n v="1882"/>
    <n v="0.92600000000000005"/>
    <n v="9497"/>
    <n v="106"/>
    <n v="0.71"/>
    <n v="0.498"/>
    <n v="1.1256000000000001E-4"/>
    <n v="0.99988999999999995"/>
    <s v="36.71043481502078"/>
    <s v="29.791530880025093"/>
    <s v="32.824705797427214"/>
    <s v="14.565124300114372"/>
    <n v="781171908"/>
    <x v="0"/>
    <n v="3.6984833000000002E-4"/>
    <x v="0"/>
  </r>
  <r>
    <n v="54"/>
    <n v="0"/>
    <n v="2"/>
    <n v="6"/>
    <n v="2"/>
    <n v="4"/>
    <n v="0"/>
    <n v="46"/>
    <n v="3"/>
    <n v="2"/>
    <n v="3"/>
    <n v="4170"/>
    <n v="641"/>
    <n v="3529"/>
    <n v="0.81499999999999995"/>
    <n v="3669"/>
    <n v="67"/>
    <n v="0.59499999999999997"/>
    <n v="0.154"/>
    <n v="2.1042000000000001E-4"/>
    <n v="0.99978999999999996"/>
    <s v="31.57025011227128"/>
    <s v="46.58656960315917"/>
    <s v="23.37421469360837"/>
    <n v="19.0985227959473"/>
    <n v="789508758"/>
    <x v="0"/>
    <n v="5.5868360000000002E-4"/>
    <x v="0"/>
  </r>
  <r>
    <n v="47"/>
    <n v="1"/>
    <n v="4"/>
    <n v="6"/>
    <n v="0"/>
    <n v="3"/>
    <n v="0"/>
    <n v="28"/>
    <n v="6"/>
    <n v="1"/>
    <n v="3"/>
    <n v="8757"/>
    <n v="0"/>
    <n v="8757"/>
    <n v="0.50700000000000001"/>
    <n v="2108"/>
    <n v="47"/>
    <n v="0.51600000000000001"/>
    <n v="0"/>
    <n v="0.99072000000000005"/>
    <n v="9.2800000000000001E-3"/>
    <s v="11.232551846545082"/>
    <s v="7.708040596391816"/>
    <s v="127.69280637974006"/>
    <s v="22.880839928816936"/>
    <n v="721427358"/>
    <x v="1"/>
    <n v="0.99873226999999998"/>
    <x v="1"/>
  </r>
  <r>
    <n v="40"/>
    <n v="1"/>
    <n v="4"/>
    <n v="1"/>
    <n v="2"/>
    <n v="5"/>
    <n v="0"/>
    <n v="24"/>
    <n v="3"/>
    <n v="2"/>
    <n v="4"/>
    <n v="18806"/>
    <n v="1192"/>
    <n v="17614"/>
    <n v="0.745"/>
    <n v="3142"/>
    <n v="62"/>
    <n v="0.82399999999999995"/>
    <n v="6.3E-2"/>
    <n v="4.9554000000000004E-4"/>
    <n v="0.99950000000000006"/>
    <s v="22.66257149843054"/>
    <s v="15.224202120532729"/>
    <s v="47.66525171032215"/>
    <s v="14.061446427767686"/>
    <n v="779906658"/>
    <x v="0"/>
    <n v="3.8724514999999998E-4"/>
    <x v="0"/>
  </r>
  <r>
    <n v="55"/>
    <n v="1"/>
    <n v="2"/>
    <n v="5"/>
    <n v="2"/>
    <n v="2"/>
    <n v="0"/>
    <n v="36"/>
    <n v="2"/>
    <n v="1"/>
    <n v="1"/>
    <n v="17540"/>
    <n v="1337"/>
    <n v="16203"/>
    <n v="0.73399999999999999"/>
    <n v="14244"/>
    <n v="96"/>
    <n v="0.6"/>
    <n v="7.5999999999999998E-2"/>
    <s v="3.415e-05"/>
    <n v="0.99997000000000003"/>
    <s v="6.038252260921215"/>
    <n v="52.220350411529601"/>
    <s v="49.72717307286204"/>
    <s v="10.322930948983114"/>
    <n v="711108408"/>
    <x v="0"/>
    <n v="3.8464556999999997E-4"/>
    <x v="0"/>
  </r>
  <r>
    <n v="35"/>
    <n v="0"/>
    <n v="1"/>
    <n v="6"/>
    <n v="1"/>
    <n v="1"/>
    <n v="0"/>
    <n v="26"/>
    <n v="6"/>
    <n v="4"/>
    <n v="4"/>
    <n v="2045"/>
    <n v="1707"/>
    <n v="338"/>
    <n v="0.57699999999999996"/>
    <n v="2183"/>
    <n v="39"/>
    <n v="0.69599999999999995"/>
    <n v="0.83499999999999996"/>
    <n v="0.99844999999999995"/>
    <n v="1.5510000000000001E-3"/>
    <s v="4.236993507098855"/>
    <s v="45.24174011767639"/>
    <s v="144.27913644207896"/>
    <s v="5.553377289571703"/>
    <n v="708703308"/>
    <x v="1"/>
    <n v="0.99366116999999998"/>
    <x v="1"/>
  </r>
  <r>
    <n v="43"/>
    <n v="1"/>
    <n v="4"/>
    <n v="2"/>
    <n v="3"/>
    <n v="1"/>
    <n v="0"/>
    <n v="38"/>
    <n v="5"/>
    <n v="1"/>
    <n v="3"/>
    <n v="3771"/>
    <n v="0"/>
    <n v="3771"/>
    <n v="0.67500000000000004"/>
    <n v="14662"/>
    <n v="125"/>
    <n v="0.66700000000000004"/>
    <n v="0"/>
    <s v="9.7154e-05"/>
    <n v="0.99990000000000001"/>
    <n v="2.71538262166462E-2"/>
    <s v="32.18012673924711"/>
    <s v="11.209908107080796"/>
    <s v="15.649996208524673"/>
    <n v="818987958"/>
    <x v="0"/>
    <n v="7.5047980000000002E-4"/>
    <x v="0"/>
  </r>
  <r>
    <n v="48"/>
    <n v="1"/>
    <n v="1"/>
    <n v="5"/>
    <n v="1"/>
    <n v="2"/>
    <n v="0"/>
    <n v="42"/>
    <n v="6"/>
    <n v="1"/>
    <n v="1"/>
    <n v="4429"/>
    <n v="883"/>
    <n v="3546"/>
    <n v="0.68799999999999994"/>
    <n v="4386"/>
    <n v="63"/>
    <n v="0.53700000000000003"/>
    <n v="0.19900000000000001"/>
    <s v="3.2055e-05"/>
    <n v="0.99997000000000003"/>
    <s v="35.97464221481838"/>
    <s v="45.872968654865936"/>
    <s v="96.94631840101746"/>
    <s v="15.423897268915791"/>
    <n v="716216958"/>
    <x v="0"/>
    <n v="4.6853168E-4"/>
    <x v="0"/>
  </r>
  <r>
    <n v="50"/>
    <n v="0"/>
    <n v="2"/>
    <n v="4"/>
    <n v="2"/>
    <n v="4"/>
    <n v="0"/>
    <n v="45"/>
    <n v="2"/>
    <n v="3"/>
    <n v="2"/>
    <n v="1529"/>
    <n v="710"/>
    <n v="819"/>
    <n v="0.65700000000000003"/>
    <n v="4751"/>
    <n v="81"/>
    <n v="0.88400000000000001"/>
    <n v="0.46400000000000002"/>
    <n v="2.1164999999999999E-4"/>
    <n v="0.99978999999999996"/>
    <s v="41.46998550525171"/>
    <s v="27.03511841330535"/>
    <s v="8.444108517348404"/>
    <s v="0.1742010064451215"/>
    <n v="820925433"/>
    <x v="0"/>
    <n v="5.4489190000000002E-4"/>
    <x v="0"/>
  </r>
  <r>
    <n v="37"/>
    <n v="1"/>
    <n v="2"/>
    <n v="2"/>
    <n v="1"/>
    <n v="0"/>
    <n v="0"/>
    <n v="30"/>
    <n v="2"/>
    <n v="4"/>
    <n v="4"/>
    <n v="13662"/>
    <n v="0"/>
    <n v="13662"/>
    <n v="0.153"/>
    <n v="725"/>
    <n v="22"/>
    <n v="0"/>
    <n v="0"/>
    <n v="0.99839999999999995"/>
    <n v="1.60016E-3"/>
    <s v="37.55759192486399"/>
    <s v="1.7188695205266502"/>
    <s v="36.13925122825088"/>
    <s v="5.751955699255231"/>
    <n v="708892833"/>
    <x v="1"/>
    <n v="0.99843305000000004"/>
    <x v="1"/>
  </r>
  <r>
    <n v="37"/>
    <n v="1"/>
    <n v="3"/>
    <n v="5"/>
    <n v="1"/>
    <n v="3"/>
    <n v="0"/>
    <n v="28"/>
    <n v="6"/>
    <n v="2"/>
    <n v="2"/>
    <n v="2672"/>
    <n v="1259"/>
    <n v="1413"/>
    <n v="1.375"/>
    <n v="2487"/>
    <n v="52"/>
    <n v="0.625"/>
    <n v="0.47099999999999997"/>
    <n v="1.2144E-4"/>
    <n v="0.99987999999999999"/>
    <s v="27.617456655148704"/>
    <s v="6.429388581190793"/>
    <s v="12.732183393671368"/>
    <n v="14.929301798839999"/>
    <n v="789911808"/>
    <x v="0"/>
    <n v="8.1776799999999997E-4"/>
    <x v="0"/>
  </r>
  <r>
    <n v="46"/>
    <n v="1"/>
    <n v="5"/>
    <n v="0"/>
    <n v="1"/>
    <n v="2"/>
    <n v="0"/>
    <n v="39"/>
    <n v="3"/>
    <n v="2"/>
    <n v="3"/>
    <n v="24248"/>
    <n v="1020"/>
    <n v="23228"/>
    <n v="1.19"/>
    <n v="3311"/>
    <n v="84"/>
    <n v="0.75"/>
    <n v="4.2000000000000003E-2"/>
    <n v="1.9215000000000001E-4"/>
    <n v="0.99980999999999998"/>
    <s v="5.217267019424475"/>
    <s v="64.41775646582886"/>
    <s v="14.890814724912245"/>
    <s v="3.905066791177758"/>
    <n v="789593058"/>
    <x v="0"/>
    <n v="3.756586E-4"/>
    <x v="0"/>
  </r>
  <r>
    <n v="51"/>
    <n v="1"/>
    <n v="1"/>
    <n v="2"/>
    <n v="1"/>
    <n v="0"/>
    <n v="0"/>
    <n v="39"/>
    <n v="2"/>
    <n v="3"/>
    <n v="2"/>
    <n v="34516"/>
    <n v="2452"/>
    <n v="32064"/>
    <n v="0.70699999999999996"/>
    <n v="7111"/>
    <n v="82"/>
    <n v="0.60799999999999998"/>
    <n v="7.0999999999999994E-2"/>
    <n v="1.6882999999999999E-4"/>
    <n v="0.99983"/>
    <s v="9.376509809042584"/>
    <s v="19.00342042904345"/>
    <s v="36.45557438962317"/>
    <s v="7.421288319274881"/>
    <n v="715839708"/>
    <x v="0"/>
    <n v="4.2060707000000003E-4"/>
    <x v="0"/>
  </r>
  <r>
    <n v="43"/>
    <n v="0"/>
    <n v="2"/>
    <n v="3"/>
    <n v="2"/>
    <n v="1"/>
    <n v="0"/>
    <n v="38"/>
    <n v="4"/>
    <n v="2"/>
    <n v="2"/>
    <n v="5070"/>
    <n v="0"/>
    <n v="5070"/>
    <n v="0.67"/>
    <n v="4193"/>
    <n v="67"/>
    <n v="0.81100000000000005"/>
    <n v="0"/>
    <n v="1.1065000000000001E-4"/>
    <n v="0.99988999999999995"/>
    <s v="10.868477459054434"/>
    <s v="47.02253347178435"/>
    <s v="112.45623663375274"/>
    <s v="8.414722883925368"/>
    <n v="819969933"/>
    <x v="0"/>
    <n v="7.4965424999999997E-4"/>
    <x v="0"/>
  </r>
  <r>
    <n v="47"/>
    <n v="0"/>
    <n v="1"/>
    <n v="5"/>
    <n v="2"/>
    <n v="4"/>
    <n v="0"/>
    <n v="36"/>
    <n v="5"/>
    <n v="2"/>
    <n v="3"/>
    <n v="1438.3"/>
    <n v="735"/>
    <n v="703.3"/>
    <n v="0.76200000000000001"/>
    <n v="4220"/>
    <n v="87"/>
    <n v="0.67300000000000004"/>
    <n v="0.51100000000000001"/>
    <n v="1.8474999999999999E-4"/>
    <n v="0.99982000000000004"/>
    <s v="68.95055999388575"/>
    <s v="34.102945690847115"/>
    <s v="38.83213940538667"/>
    <s v="19.164682647358084"/>
    <n v="714176133"/>
    <x v="0"/>
    <n v="5.4489190000000002E-4"/>
    <x v="0"/>
  </r>
  <r>
    <n v="48"/>
    <n v="1"/>
    <n v="2"/>
    <n v="6"/>
    <n v="1"/>
    <n v="3"/>
    <n v="0"/>
    <n v="37"/>
    <n v="4"/>
    <n v="3"/>
    <n v="3"/>
    <n v="6593"/>
    <n v="0"/>
    <n v="6593"/>
    <n v="0.66700000000000004"/>
    <n v="3520"/>
    <n v="69"/>
    <n v="0.76900000000000002"/>
    <n v="0"/>
    <n v="3.3251E-4"/>
    <n v="0.99966999999999995"/>
    <s v="0.5742693091727076"/>
    <s v="17.507517885637128"/>
    <s v="134.50465141128709"/>
    <s v="23.034383025407028"/>
    <n v="780657708"/>
    <x v="0"/>
    <n v="7.4965424999999997E-4"/>
    <x v="0"/>
  </r>
  <r>
    <n v="63"/>
    <n v="0"/>
    <n v="1"/>
    <n v="0"/>
    <n v="1"/>
    <n v="5"/>
    <n v="0"/>
    <n v="36"/>
    <n v="6"/>
    <n v="2"/>
    <n v="3"/>
    <n v="3967"/>
    <n v="1568"/>
    <n v="2399"/>
    <n v="1.236"/>
    <n v="1657"/>
    <n v="29"/>
    <n v="1.2310000000000001"/>
    <n v="0.39500000000000002"/>
    <n v="1.7469999999999999E-4"/>
    <n v="0.99983"/>
    <n v="7.2557951884968899E-2"/>
    <s v="18.570995348149538"/>
    <s v="169.35716841940214"/>
    <s v="2.514996345053204"/>
    <n v="711112683"/>
    <x v="0"/>
    <n v="9.8706899999999992E-4"/>
    <x v="0"/>
  </r>
  <r>
    <n v="45"/>
    <n v="0"/>
    <n v="4"/>
    <n v="2"/>
    <n v="1"/>
    <n v="5"/>
    <n v="0"/>
    <n v="36"/>
    <n v="6"/>
    <n v="1"/>
    <n v="2"/>
    <n v="5989"/>
    <n v="0"/>
    <n v="5989"/>
    <n v="0.66800000000000004"/>
    <n v="4246"/>
    <n v="78"/>
    <n v="0.85699999999999998"/>
    <n v="0"/>
    <s v="5.7762e-05"/>
    <n v="0.99994000000000005"/>
    <s v="25.325178146672503"/>
    <s v="101.83194021703308"/>
    <s v="123.71160836081916"/>
    <n v="14.17211291273"/>
    <n v="710820783"/>
    <x v="0"/>
    <n v="6.9517245999999998E-4"/>
    <x v="0"/>
  </r>
  <r>
    <n v="51"/>
    <n v="0"/>
    <n v="3"/>
    <n v="2"/>
    <n v="1"/>
    <n v="1"/>
    <n v="3"/>
    <n v="44"/>
    <n v="4"/>
    <n v="2"/>
    <n v="3"/>
    <n v="16406"/>
    <n v="0"/>
    <n v="16406"/>
    <n v="0.627"/>
    <n v="4075"/>
    <n v="75"/>
    <n v="0.63"/>
    <n v="0"/>
    <n v="1.7949E-4"/>
    <n v="0.99982000000000004"/>
    <s v="25.509616592493717"/>
    <s v="29.94621850714097"/>
    <n v="9.2579146037814404"/>
    <s v="11.03765040572106"/>
    <n v="713000058"/>
    <x v="0"/>
    <n v="7.1276520000000004E-4"/>
    <x v="0"/>
  </r>
  <r>
    <n v="41"/>
    <n v="1"/>
    <n v="3"/>
    <n v="6"/>
    <n v="1"/>
    <n v="2"/>
    <n v="3"/>
    <n v="35"/>
    <n v="2"/>
    <n v="3"/>
    <n v="2"/>
    <n v="33889"/>
    <n v="1203"/>
    <n v="32686"/>
    <n v="0.94399999999999995"/>
    <n v="14954"/>
    <n v="112"/>
    <n v="0.623"/>
    <n v="3.5000000000000003E-2"/>
    <n v="1.8537999999999999E-4"/>
    <n v="0.99980999999999998"/>
    <s v="21.42569147715464"/>
    <n v="21.177429292471899"/>
    <s v="132.37449993031396"/>
    <s v="37.03237340325517"/>
    <n v="783361533"/>
    <x v="0"/>
    <n v="4.1582222999999999E-4"/>
    <x v="0"/>
  </r>
  <r>
    <n v="52"/>
    <n v="0"/>
    <n v="2"/>
    <n v="2"/>
    <n v="1"/>
    <n v="4"/>
    <n v="0"/>
    <n v="36"/>
    <n v="5"/>
    <n v="3"/>
    <n v="4"/>
    <n v="2160"/>
    <n v="0"/>
    <n v="2160"/>
    <n v="0.64500000000000002"/>
    <n v="2360"/>
    <n v="56"/>
    <n v="0.64700000000000002"/>
    <n v="0"/>
    <n v="0.99807000000000001"/>
    <n v="1.93323E-3"/>
    <s v="2.356800554048041"/>
    <s v="0.8909837746815782"/>
    <s v="31.73147419987144"/>
    <s v="6.612888107186779"/>
    <n v="720142308"/>
    <x v="1"/>
    <n v="0.99534520000000004"/>
    <x v="1"/>
  </r>
  <r>
    <n v="41"/>
    <n v="0"/>
    <n v="5"/>
    <n v="2"/>
    <n v="1"/>
    <n v="4"/>
    <n v="0"/>
    <n v="31"/>
    <n v="2"/>
    <n v="3"/>
    <n v="1"/>
    <n v="7531"/>
    <n v="1692"/>
    <n v="5839"/>
    <n v="0.77100000000000002"/>
    <n v="7768"/>
    <n v="92"/>
    <n v="0.878"/>
    <n v="0.22500000000000001"/>
    <n v="1.1199E-4"/>
    <n v="0.99988999999999995"/>
    <s v="1.888424153983411"/>
    <s v="30.216585069090588"/>
    <s v="73.70873922488741"/>
    <n v="7.6912279912155501"/>
    <n v="789827208"/>
    <x v="0"/>
    <n v="3.6856539999999998E-4"/>
    <x v="0"/>
  </r>
  <r>
    <n v="41"/>
    <n v="1"/>
    <n v="2"/>
    <n v="2"/>
    <n v="1"/>
    <n v="2"/>
    <n v="3"/>
    <n v="31"/>
    <n v="2"/>
    <n v="3"/>
    <n v="3"/>
    <n v="31497"/>
    <n v="2192"/>
    <n v="29305"/>
    <n v="0.86799999999999999"/>
    <n v="7685"/>
    <n v="92"/>
    <n v="0.53300000000000003"/>
    <n v="7.0000000000000007E-2"/>
    <n v="2.7334000000000001E-4"/>
    <n v="0.99973000000000001"/>
    <s v="6.793245232837662"/>
    <s v="0.1704165952854724"/>
    <s v="110.11412549161096"/>
    <s v="2.4180109236683487"/>
    <n v="719121708"/>
    <x v="0"/>
    <n v="4.2060707000000003E-4"/>
    <x v="0"/>
  </r>
  <r>
    <n v="50"/>
    <n v="1"/>
    <n v="2"/>
    <n v="3"/>
    <n v="1"/>
    <n v="0"/>
    <n v="3"/>
    <n v="37"/>
    <n v="5"/>
    <n v="2"/>
    <n v="1"/>
    <n v="34516"/>
    <n v="399"/>
    <n v="34117"/>
    <n v="0.72599999999999998"/>
    <n v="2118"/>
    <n v="41"/>
    <n v="0.51900000000000002"/>
    <n v="1.2E-2"/>
    <n v="0.98368999999999995"/>
    <n v="1.6310000000000002E-2"/>
    <s v="13.396737860026011"/>
    <s v="70.94537998682493"/>
    <n v="105.16351466108701"/>
    <s v="14.056840311143343"/>
    <n v="789013833"/>
    <x v="1"/>
    <n v="0.99873226999999998"/>
    <x v="1"/>
  </r>
  <r>
    <n v="59"/>
    <n v="1"/>
    <n v="1"/>
    <n v="2"/>
    <n v="1"/>
    <n v="2"/>
    <n v="0"/>
    <n v="48"/>
    <n v="4"/>
    <n v="3"/>
    <n v="2"/>
    <n v="14257"/>
    <n v="1113"/>
    <n v="13144"/>
    <n v="0.40600000000000003"/>
    <n v="1809"/>
    <n v="23"/>
    <n v="0.27800000000000002"/>
    <n v="7.8E-2"/>
    <n v="1.6882999999999999E-4"/>
    <n v="0.99983"/>
    <s v="17.954423402597374"/>
    <s v="49.26506983012602"/>
    <s v="65.01263482489541"/>
    <s v="21.70549142039813"/>
    <n v="772000533"/>
    <x v="0"/>
    <n v="1.2647773E-3"/>
    <x v="0"/>
  </r>
  <r>
    <n v="36"/>
    <n v="1"/>
    <n v="3"/>
    <n v="3"/>
    <n v="1"/>
    <n v="3"/>
    <n v="0"/>
    <n v="36"/>
    <n v="5"/>
    <n v="3"/>
    <n v="2"/>
    <n v="2607"/>
    <n v="1880"/>
    <n v="727"/>
    <n v="1.464"/>
    <n v="2045"/>
    <n v="39"/>
    <n v="0.95"/>
    <n v="0.72099999999999997"/>
    <n v="1.8144999999999999E-4"/>
    <n v="0.99982000000000004"/>
    <s v="19.23863572338226"/>
    <s v="58.47737515015678"/>
    <s v="20.99609699292424"/>
    <s v="12.054790272750155"/>
    <n v="708543258"/>
    <x v="0"/>
    <n v="9.7644794999999997E-4"/>
    <x v="0"/>
  </r>
  <r>
    <n v="49"/>
    <n v="0"/>
    <n v="4"/>
    <n v="2"/>
    <n v="2"/>
    <n v="5"/>
    <n v="0"/>
    <n v="42"/>
    <n v="5"/>
    <n v="3"/>
    <n v="2"/>
    <n v="16424"/>
    <n v="1368"/>
    <n v="15056"/>
    <n v="0.55000000000000004"/>
    <n v="4025"/>
    <n v="79"/>
    <n v="0.88100000000000001"/>
    <n v="8.3000000000000004E-2"/>
    <n v="1.8864000000000001E-4"/>
    <n v="0.99980999999999998"/>
    <s v="49.00846841751677"/>
    <s v="19.54343119163144"/>
    <n v="72.526305358335406"/>
    <s v="3.2328261744392908"/>
    <n v="788407833"/>
    <x v="0"/>
    <n v="3.3885973999999997E-4"/>
    <x v="0"/>
  </r>
  <r>
    <n v="33"/>
    <n v="1"/>
    <n v="2"/>
    <n v="2"/>
    <n v="1"/>
    <n v="1"/>
    <n v="0"/>
    <n v="20"/>
    <n v="4"/>
    <n v="3"/>
    <n v="3"/>
    <n v="5657"/>
    <n v="1792"/>
    <n v="3865"/>
    <n v="0.90400000000000003"/>
    <n v="1914"/>
    <n v="46"/>
    <n v="0.76900000000000002"/>
    <n v="0.317"/>
    <n v="3.0250999999999998E-4"/>
    <n v="0.99970000000000003"/>
    <s v="12.690941371017464"/>
    <s v="70.66008746409473"/>
    <s v="22.847024751535763"/>
    <s v="3.0213718290799547"/>
    <n v="771349458"/>
    <x v="0"/>
    <n v="1.1451696999999999E-3"/>
    <x v="0"/>
  </r>
  <r>
    <n v="45"/>
    <n v="0"/>
    <n v="3"/>
    <n v="3"/>
    <n v="2"/>
    <n v="4"/>
    <n v="0"/>
    <n v="34"/>
    <n v="2"/>
    <n v="3"/>
    <n v="2"/>
    <n v="2976"/>
    <n v="2372"/>
    <n v="604"/>
    <n v="0.77200000000000002"/>
    <n v="4799"/>
    <n v="83"/>
    <n v="0.72899999999999998"/>
    <n v="0.79700000000000004"/>
    <n v="1.8144999999999999E-4"/>
    <n v="0.99982000000000004"/>
    <s v="2.351257934411475"/>
    <s v="11.399205155160445"/>
    <n v="93.360512678012398"/>
    <s v="14.716692482754762"/>
    <n v="789138258"/>
    <x v="0"/>
    <n v="3.2101269999999999E-4"/>
    <x v="0"/>
  </r>
  <r>
    <n v="55"/>
    <n v="0"/>
    <n v="1"/>
    <n v="3"/>
    <n v="2"/>
    <n v="4"/>
    <n v="0"/>
    <n v="36"/>
    <n v="5"/>
    <n v="2"/>
    <n v="3"/>
    <n v="7982"/>
    <n v="897"/>
    <n v="7085"/>
    <n v="0.77800000000000002"/>
    <n v="4387"/>
    <n v="71"/>
    <n v="0.51100000000000001"/>
    <n v="0.112"/>
    <n v="1.7468E-4"/>
    <n v="0.99983"/>
    <s v="4.362242293295574"/>
    <s v="39.11236486376357"/>
    <s v="155.92644605476664"/>
    <s v="10.776078713640622"/>
    <n v="721440633"/>
    <x v="0"/>
    <n v="4.5233250000000001E-4"/>
    <x v="0"/>
  </r>
  <r>
    <n v="49"/>
    <n v="0"/>
    <n v="2"/>
    <n v="5"/>
    <n v="2"/>
    <n v="4"/>
    <n v="0"/>
    <n v="39"/>
    <n v="6"/>
    <n v="1"/>
    <n v="3"/>
    <n v="1768"/>
    <n v="0"/>
    <n v="1768"/>
    <n v="0.78800000000000003"/>
    <n v="4628"/>
    <n v="90"/>
    <n v="0.83699999999999997"/>
    <n v="0"/>
    <s v="9.5249e-05"/>
    <n v="0.99990000000000001"/>
    <s v="22.71651090656016"/>
    <s v="8.026014274258893"/>
    <s v="42.17956625899247"/>
    <s v="2.6517262561592285"/>
    <n v="719723658"/>
    <x v="0"/>
    <n v="6.9517245999999998E-4"/>
    <x v="0"/>
  </r>
  <r>
    <n v="35"/>
    <n v="1"/>
    <n v="2"/>
    <n v="3"/>
    <n v="1"/>
    <n v="1"/>
    <n v="0"/>
    <n v="21"/>
    <n v="3"/>
    <n v="3"/>
    <n v="1"/>
    <n v="2967"/>
    <n v="1843"/>
    <n v="1124"/>
    <n v="0.68100000000000005"/>
    <n v="1673"/>
    <n v="58"/>
    <n v="0.52600000000000002"/>
    <n v="0.621"/>
    <n v="1.0545E-4"/>
    <n v="0.99988999999999995"/>
    <s v="22.90921582167509"/>
    <s v="16.602622098652876"/>
    <s v="6.841978412766427"/>
    <s v="12.642341356778454"/>
    <n v="720697908"/>
    <x v="0"/>
    <n v="4.5540747999999999E-4"/>
    <x v="0"/>
  </r>
  <r>
    <n v="57"/>
    <n v="0"/>
    <n v="1"/>
    <n v="2"/>
    <n v="1"/>
    <n v="4"/>
    <n v="0"/>
    <n v="50"/>
    <n v="3"/>
    <n v="2"/>
    <n v="3"/>
    <n v="1665"/>
    <n v="983"/>
    <n v="682"/>
    <n v="0.88900000000000001"/>
    <n v="4420"/>
    <n v="86"/>
    <n v="0.72"/>
    <n v="0.59"/>
    <n v="1.7969000000000001E-4"/>
    <n v="0.99982000000000004"/>
    <s v="1.2632936441075373"/>
    <s v="20.84416123715207"/>
    <s v="114.38513325152287"/>
    <s v="7.038752991278054"/>
    <n v="710579583"/>
    <x v="0"/>
    <n v="3.6474510000000001E-4"/>
    <x v="0"/>
  </r>
  <r>
    <n v="54"/>
    <n v="1"/>
    <n v="3"/>
    <n v="6"/>
    <n v="1"/>
    <n v="2"/>
    <n v="0"/>
    <n v="39"/>
    <n v="4"/>
    <n v="3"/>
    <n v="4"/>
    <n v="6348"/>
    <n v="798"/>
    <n v="5550"/>
    <n v="1.042"/>
    <n v="4135"/>
    <n v="71"/>
    <n v="0.97199999999999998"/>
    <n v="0.126"/>
    <n v="5.8850999999999999E-4"/>
    <n v="0.99941000000000002"/>
    <s v="1.6969823995820692"/>
    <s v="27.48634504114928"/>
    <s v="15.977643434274508"/>
    <s v="6.303021100278269"/>
    <n v="713339283"/>
    <x v="0"/>
    <n v="5.526754E-4"/>
    <x v="0"/>
  </r>
  <r>
    <n v="40"/>
    <n v="1"/>
    <n v="3"/>
    <n v="2"/>
    <n v="1"/>
    <n v="2"/>
    <n v="0"/>
    <n v="36"/>
    <n v="6"/>
    <n v="2"/>
    <n v="2"/>
    <n v="15008"/>
    <n v="0"/>
    <n v="15008"/>
    <n v="0.78400000000000003"/>
    <n v="3943"/>
    <n v="85"/>
    <n v="0.77100000000000002"/>
    <n v="0"/>
    <n v="1.1811000000000001E-4"/>
    <n v="0.99987999999999999"/>
    <s v="22.517702643001435"/>
    <s v="16.293328324895036"/>
    <s v="58.12257073300064"/>
    <s v="16.33279865345052"/>
    <n v="826780683"/>
    <x v="0"/>
    <n v="6.9517245999999998E-4"/>
    <x v="0"/>
  </r>
  <r>
    <n v="59"/>
    <n v="0"/>
    <n v="0"/>
    <n v="4"/>
    <n v="2"/>
    <n v="1"/>
    <n v="0"/>
    <n v="40"/>
    <n v="5"/>
    <n v="3"/>
    <n v="3"/>
    <n v="2634"/>
    <n v="1644"/>
    <n v="990"/>
    <n v="1.0920000000000001"/>
    <n v="4190"/>
    <n v="71"/>
    <n v="0.73199999999999998"/>
    <n v="0.624"/>
    <n v="3.0545000000000002E-4"/>
    <n v="0.99968999999999997"/>
    <s v="40.486507004853216"/>
    <s v="55.53530493885813"/>
    <s v="26.76672202968905"/>
    <s v="4.078104853934614"/>
    <n v="709904508"/>
    <x v="0"/>
    <n v="3.221314E-4"/>
    <x v="0"/>
  </r>
  <r>
    <n v="34"/>
    <n v="1"/>
    <n v="1"/>
    <n v="2"/>
    <n v="3"/>
    <n v="2"/>
    <n v="0"/>
    <n v="27"/>
    <n v="5"/>
    <n v="2"/>
    <n v="4"/>
    <n v="19900"/>
    <n v="1581"/>
    <n v="18319"/>
    <n v="0.83799999999999997"/>
    <n v="3948"/>
    <n v="96"/>
    <n v="0.84599999999999997"/>
    <n v="7.9000000000000001E-2"/>
    <n v="3.0653000000000001E-4"/>
    <n v="0.99968999999999997"/>
    <n v="35.327764691553803"/>
    <s v="17.48923084176575"/>
    <s v="55.09370762417821"/>
    <s v="2.569185094672849"/>
    <n v="755365233"/>
    <x v="0"/>
    <n v="3.3885973999999997E-4"/>
    <x v="0"/>
  </r>
  <r>
    <n v="38"/>
    <n v="1"/>
    <n v="3"/>
    <n v="5"/>
    <n v="2"/>
    <n v="2"/>
    <n v="3"/>
    <n v="31"/>
    <n v="5"/>
    <n v="3"/>
    <n v="2"/>
    <n v="34516"/>
    <n v="1566"/>
    <n v="32950"/>
    <n v="1.1060000000000001"/>
    <n v="3961"/>
    <n v="53"/>
    <n v="0.89300000000000002"/>
    <n v="4.4999999999999998E-2"/>
    <n v="1.7340000000000001E-4"/>
    <n v="0.99983"/>
    <s v="45.13975927219096"/>
    <s v="12.28126976559449"/>
    <s v="82.01733274243604"/>
    <s v="10.863195255581577"/>
    <n v="719260608"/>
    <x v="0"/>
    <n v="6.7210169999999995E-4"/>
    <x v="0"/>
  </r>
  <r>
    <n v="41"/>
    <n v="0"/>
    <n v="4"/>
    <n v="6"/>
    <n v="2"/>
    <n v="5"/>
    <n v="0"/>
    <n v="25"/>
    <n v="2"/>
    <n v="2"/>
    <n v="3"/>
    <n v="29295"/>
    <n v="0"/>
    <n v="29295"/>
    <n v="1.411"/>
    <n v="9865"/>
    <n v="65"/>
    <n v="0.71099999999999997"/>
    <n v="0"/>
    <n v="0.99548999999999999"/>
    <n v="4.5100699999999997E-3"/>
    <s v="27.75756496442995"/>
    <s v="16.84489134474919"/>
    <s v="32.16031194800113"/>
    <s v="14.60045814741892"/>
    <n v="712441308"/>
    <x v="1"/>
    <n v="0.9954307"/>
    <x v="1"/>
  </r>
  <r>
    <n v="35"/>
    <n v="1"/>
    <n v="1"/>
    <n v="2"/>
    <n v="1"/>
    <n v="1"/>
    <n v="0"/>
    <n v="25"/>
    <n v="5"/>
    <n v="4"/>
    <n v="4"/>
    <n v="5801"/>
    <n v="1176"/>
    <n v="4625"/>
    <n v="1.1200000000000001"/>
    <n v="2987"/>
    <n v="52"/>
    <n v="0.85699999999999998"/>
    <n v="0.20300000000000001"/>
    <n v="5.8531000000000002E-4"/>
    <n v="0.99941000000000002"/>
    <s v="27.93914697760736"/>
    <s v="46.79903468198779"/>
    <s v="23.01430986160573"/>
    <s v="6.823458813133449"/>
    <n v="720906033"/>
    <x v="0"/>
    <n v="7.0819790000000002E-4"/>
    <x v="0"/>
  </r>
  <r>
    <n v="47"/>
    <n v="1"/>
    <n v="4"/>
    <n v="0"/>
    <n v="1"/>
    <n v="1"/>
    <n v="0"/>
    <n v="35"/>
    <n v="6"/>
    <n v="1"/>
    <n v="2"/>
    <n v="3560"/>
    <n v="751"/>
    <n v="2809"/>
    <n v="1.0960000000000001"/>
    <n v="4060"/>
    <n v="79"/>
    <n v="0.97499999999999998"/>
    <n v="0.21099999999999999"/>
    <s v="5.6158e-05"/>
    <n v="0.99994000000000005"/>
    <s v="42.793516313839405"/>
    <s v="9.994389364695245"/>
    <s v="24.66645131991798"/>
    <n v="2.83728319346471E-2"/>
    <n v="713482608"/>
    <x v="0"/>
    <n v="5.7288585000000005E-4"/>
    <x v="0"/>
  </r>
  <r>
    <n v="52"/>
    <n v="0"/>
    <n v="3"/>
    <n v="2"/>
    <n v="3"/>
    <n v="1"/>
    <n v="0"/>
    <n v="45"/>
    <n v="5"/>
    <n v="2"/>
    <n v="0"/>
    <n v="10859"/>
    <n v="1710"/>
    <n v="9149"/>
    <n v="0.97399999999999998"/>
    <n v="3987"/>
    <n v="64"/>
    <n v="0.82899999999999996"/>
    <n v="0.157"/>
    <s v="4.3568e-05"/>
    <n v="0.99995999999999996"/>
    <s v="16.936378614815837"/>
    <s v="11.104694714087032"/>
    <s v="57.673005239603725"/>
    <s v="15.171207197070126"/>
    <n v="708773583"/>
    <x v="0"/>
    <n v="3.463343E-4"/>
    <x v="0"/>
  </r>
  <r>
    <n v="53"/>
    <n v="1"/>
    <n v="3"/>
    <n v="5"/>
    <n v="2"/>
    <n v="3"/>
    <n v="0"/>
    <n v="36"/>
    <n v="4"/>
    <n v="3"/>
    <n v="1"/>
    <n v="2611"/>
    <n v="787"/>
    <n v="1824"/>
    <n v="0.29799999999999999"/>
    <n v="2955"/>
    <n v="56"/>
    <n v="0.6"/>
    <n v="0.30099999999999999"/>
    <n v="1.1574E-4"/>
    <n v="0.99987999999999999"/>
    <s v="5.612993251955603"/>
    <s v="5.7663163135712665"/>
    <n v="45.695586221963197"/>
    <s v="1.0779347964284582"/>
    <n v="716357058"/>
    <x v="0"/>
    <n v="9.2773360000000002E-4"/>
    <x v="0"/>
  </r>
  <r>
    <n v="53"/>
    <n v="0"/>
    <n v="1"/>
    <n v="0"/>
    <n v="3"/>
    <n v="1"/>
    <n v="0"/>
    <n v="35"/>
    <n v="4"/>
    <n v="3"/>
    <n v="3"/>
    <n v="3585"/>
    <n v="0"/>
    <n v="3585"/>
    <n v="0.78200000000000003"/>
    <n v="4806"/>
    <n v="81"/>
    <n v="0.65300000000000002"/>
    <n v="0"/>
    <n v="2.7607E-4"/>
    <n v="0.99972000000000005"/>
    <s v="2.667453039291322"/>
    <s v="0.7497468916988652"/>
    <s v="77.40655890853637"/>
    <s v="8.800973615720926"/>
    <n v="779307558"/>
    <x v="0"/>
    <n v="6.9517245999999998E-4"/>
    <x v="0"/>
  </r>
  <r>
    <n v="53"/>
    <n v="1"/>
    <n v="1"/>
    <n v="2"/>
    <n v="2"/>
    <n v="0"/>
    <n v="0"/>
    <n v="38"/>
    <n v="4"/>
    <n v="3"/>
    <n v="3"/>
    <n v="1891"/>
    <n v="922"/>
    <n v="969"/>
    <n v="0.81200000000000006"/>
    <n v="3822"/>
    <n v="69"/>
    <n v="0.53300000000000003"/>
    <n v="0.48799999999999999"/>
    <n v="2.8394999999999999E-4"/>
    <n v="0.99972000000000005"/>
    <n v="11.1036191031253"/>
    <s v="0.8653182588382243"/>
    <s v="27.700002370235648"/>
    <s v="2.680461623458913"/>
    <n v="780068283"/>
    <x v="0"/>
    <n v="4.2026640000000001E-4"/>
    <x v="0"/>
  </r>
  <r>
    <n v="54"/>
    <n v="1"/>
    <n v="1"/>
    <n v="3"/>
    <n v="1"/>
    <n v="2"/>
    <n v="0"/>
    <n v="36"/>
    <n v="4"/>
    <n v="1"/>
    <n v="4"/>
    <n v="20050"/>
    <n v="1225"/>
    <n v="18825"/>
    <n v="0.90700000000000003"/>
    <n v="1306"/>
    <n v="26"/>
    <n v="0.23799999999999999"/>
    <n v="6.0999999999999999E-2"/>
    <n v="1.4421E-4"/>
    <n v="0.99985999999999997"/>
    <s v="36.36276282070666"/>
    <s v="29.428003266257083"/>
    <n v="91.021678321736701"/>
    <s v="15.439258063780692"/>
    <n v="718561458"/>
    <x v="0"/>
    <n v="1.3335287000000001E-3"/>
    <x v="0"/>
  </r>
  <r>
    <n v="42"/>
    <n v="1"/>
    <n v="4"/>
    <n v="5"/>
    <n v="1"/>
    <n v="4"/>
    <n v="0"/>
    <n v="37"/>
    <n v="4"/>
    <n v="3"/>
    <n v="2"/>
    <n v="2411"/>
    <n v="1797"/>
    <n v="614"/>
    <n v="0.60699999999999998"/>
    <n v="4331"/>
    <n v="63"/>
    <n v="0.5"/>
    <n v="0.745"/>
    <n v="1.9395999999999999E-4"/>
    <n v="0.99980999999999998"/>
    <s v="22.44572981148309"/>
    <s v="57.16811180540526"/>
    <s v="47.891422609392485"/>
    <s v="3.478342844421137"/>
    <n v="812785158"/>
    <x v="0"/>
    <n v="3.8743845999999999E-4"/>
    <x v="0"/>
  </r>
  <r>
    <n v="43"/>
    <n v="0"/>
    <n v="5"/>
    <n v="2"/>
    <n v="1"/>
    <n v="5"/>
    <n v="0"/>
    <n v="34"/>
    <n v="5"/>
    <n v="1"/>
    <n v="3"/>
    <n v="3146"/>
    <n v="808"/>
    <n v="2338"/>
    <n v="0.71099999999999997"/>
    <n v="4149"/>
    <n v="66"/>
    <n v="0.78400000000000003"/>
    <n v="0.25700000000000001"/>
    <s v="9.5638e-05"/>
    <n v="0.99990000000000001"/>
    <s v="33.82255433735239"/>
    <s v="1.5709971082979677"/>
    <n v="59.535275914732203"/>
    <s v="18.264552577136683"/>
    <n v="780747033"/>
    <x v="0"/>
    <n v="5.1030780000000005E-4"/>
    <x v="0"/>
  </r>
  <r>
    <n v="50"/>
    <n v="0"/>
    <n v="2"/>
    <n v="0"/>
    <n v="0"/>
    <n v="4"/>
    <n v="0"/>
    <n v="36"/>
    <n v="3"/>
    <n v="3"/>
    <n v="0"/>
    <n v="1491"/>
    <n v="0"/>
    <n v="1491"/>
    <n v="0.876"/>
    <n v="1058"/>
    <n v="34"/>
    <n v="0.88900000000000001"/>
    <n v="0"/>
    <s v="6.4511e-05"/>
    <n v="0.99994000000000005"/>
    <s v="4.471784797283428"/>
    <s v="26.855129277293507"/>
    <s v="131.94502609035868"/>
    <s v="21.232748654294717"/>
    <n v="711089733"/>
    <x v="0"/>
    <n v="3.8943621000000002E-3"/>
    <x v="0"/>
  </r>
  <r>
    <n v="34"/>
    <n v="1"/>
    <n v="3"/>
    <n v="5"/>
    <n v="1"/>
    <n v="3"/>
    <n v="0"/>
    <n v="25"/>
    <n v="6"/>
    <n v="3"/>
    <n v="2"/>
    <n v="9131"/>
    <n v="916"/>
    <n v="8215"/>
    <n v="0.86299999999999999"/>
    <n v="1893"/>
    <n v="36"/>
    <n v="0.56499999999999995"/>
    <n v="0.1"/>
    <n v="1.9191E-4"/>
    <n v="0.99980999999999998"/>
    <s v="35.91658336101292"/>
    <s v="13.847603091810594"/>
    <s v="15.844066509048288"/>
    <s v="9.193648461576304"/>
    <n v="717495258"/>
    <x v="0"/>
    <n v="1.5030918000000001E-3"/>
    <x v="0"/>
  </r>
  <r>
    <n v="47"/>
    <n v="0"/>
    <n v="5"/>
    <n v="0"/>
    <n v="2"/>
    <n v="4"/>
    <n v="0"/>
    <n v="34"/>
    <n v="4"/>
    <n v="3"/>
    <n v="2"/>
    <n v="5950"/>
    <n v="0"/>
    <n v="5950"/>
    <n v="0.44"/>
    <n v="4655"/>
    <n v="66"/>
    <n v="0.78400000000000003"/>
    <n v="0"/>
    <n v="1.8054E-4"/>
    <n v="0.99982000000000004"/>
    <s v="27.027458032656625"/>
    <s v="69.99710213259999"/>
    <s v="38.80912097486136"/>
    <s v="11.616182104447732"/>
    <n v="789692283"/>
    <x v="0"/>
    <n v="7.4965424999999997E-4"/>
    <x v="0"/>
  </r>
  <r>
    <n v="51"/>
    <n v="0"/>
    <n v="3"/>
    <n v="2"/>
    <n v="2"/>
    <n v="5"/>
    <n v="0"/>
    <n v="45"/>
    <n v="4"/>
    <n v="3"/>
    <n v="4"/>
    <n v="2420"/>
    <n v="2379"/>
    <n v="41"/>
    <n v="0.74099999999999999"/>
    <n v="4348"/>
    <n v="86"/>
    <n v="0.95499999999999996"/>
    <n v="0.98299999999999998"/>
    <n v="5.3543000000000004E-4"/>
    <n v="0.99946000000000002"/>
    <n v="9.6958969024769193"/>
    <s v="14.228510506070194"/>
    <s v="21.186468892033755"/>
    <s v="4.238244740555487"/>
    <n v="803205258"/>
    <x v="0"/>
    <n v="3.2101269999999999E-4"/>
    <x v="0"/>
  </r>
  <r>
    <n v="45"/>
    <n v="0"/>
    <n v="3"/>
    <n v="2"/>
    <n v="1"/>
    <n v="1"/>
    <n v="0"/>
    <n v="34"/>
    <n v="4"/>
    <n v="5"/>
    <n v="2"/>
    <n v="1533"/>
    <n v="728"/>
    <n v="805"/>
    <n v="0.90600000000000003"/>
    <n v="4659"/>
    <n v="83"/>
    <n v="0.76600000000000001"/>
    <n v="0.47499999999999998"/>
    <n v="2.0846999999999999E-4"/>
    <n v="0.99978999999999996"/>
    <s v="9.319151684383309"/>
    <s v="13.675762739535598"/>
    <s v="44.595460401426415"/>
    <s v="11.785547475803796"/>
    <n v="718021608"/>
    <x v="0"/>
    <n v="5.4678856000000002E-4"/>
    <x v="0"/>
  </r>
  <r>
    <n v="37"/>
    <n v="1"/>
    <n v="3"/>
    <n v="5"/>
    <n v="3"/>
    <n v="2"/>
    <n v="0"/>
    <n v="26"/>
    <n v="6"/>
    <n v="2"/>
    <n v="1"/>
    <n v="14485"/>
    <n v="2124"/>
    <n v="12361"/>
    <n v="0.52700000000000002"/>
    <n v="3895"/>
    <n v="87"/>
    <n v="0.77600000000000002"/>
    <n v="0.14699999999999999"/>
    <s v="7.3235e-05"/>
    <n v="0.99992999999999999"/>
    <s v="28.89799417110415"/>
    <s v="13.93925661767725"/>
    <s v="111.27570207353118"/>
    <s v="2.068632824186756"/>
    <n v="710040483"/>
    <x v="0"/>
    <n v="3.2101269999999999E-4"/>
    <x v="0"/>
  </r>
  <r>
    <n v="53"/>
    <n v="1"/>
    <n v="4"/>
    <n v="3"/>
    <n v="1"/>
    <n v="3"/>
    <n v="0"/>
    <n v="43"/>
    <n v="3"/>
    <n v="1"/>
    <n v="2"/>
    <n v="16692"/>
    <n v="2446"/>
    <n v="14246"/>
    <n v="0.85299999999999998"/>
    <n v="1288"/>
    <n v="29"/>
    <n v="0.45"/>
    <n v="0.14699999999999999"/>
    <s v="5.6153e-05"/>
    <n v="0.99994000000000005"/>
    <s v="55.88688016540167"/>
    <s v="61.78758898696432"/>
    <s v="40.76689455863424"/>
    <s v="8.548628151297246"/>
    <n v="713182458"/>
    <x v="0"/>
    <n v="1.2669897000000001E-3"/>
    <x v="0"/>
  </r>
  <r>
    <n v="43"/>
    <n v="0"/>
    <n v="3"/>
    <n v="1"/>
    <n v="1"/>
    <n v="4"/>
    <n v="0"/>
    <n v="29"/>
    <n v="4"/>
    <n v="2"/>
    <n v="3"/>
    <n v="3186"/>
    <n v="2517"/>
    <n v="669"/>
    <n v="0.59"/>
    <n v="4197"/>
    <n v="84"/>
    <n v="0.90900000000000003"/>
    <n v="0.79"/>
    <n v="2.8744000000000003E-4"/>
    <n v="0.99970999999999999"/>
    <s v="23.203768195448053"/>
    <s v="35.525528802935746"/>
    <s v="37.40326509013733"/>
    <s v="18.191337434392587"/>
    <n v="717733158"/>
    <x v="0"/>
    <n v="3.4692350000000002E-4"/>
    <x v="0"/>
  </r>
  <r>
    <n v="62"/>
    <n v="1"/>
    <n v="1"/>
    <n v="2"/>
    <n v="2"/>
    <n v="2"/>
    <n v="0"/>
    <n v="54"/>
    <n v="4"/>
    <n v="1"/>
    <n v="4"/>
    <n v="13284"/>
    <n v="607"/>
    <n v="12677"/>
    <n v="0.85699999999999998"/>
    <n v="4942"/>
    <n v="76"/>
    <n v="0.65200000000000002"/>
    <n v="4.5999999999999999E-2"/>
    <n v="1.4834000000000001E-4"/>
    <n v="0.99985000000000002"/>
    <s v="25.437802581767613"/>
    <s v="48.62169978284391"/>
    <s v="47.852150113845845"/>
    <s v="12.641340549416196"/>
    <n v="714691683"/>
    <x v="0"/>
    <n v="6.4120400000000004E-4"/>
    <x v="0"/>
  </r>
  <r>
    <n v="46"/>
    <n v="0"/>
    <n v="2"/>
    <n v="0"/>
    <n v="1"/>
    <n v="1"/>
    <n v="0"/>
    <n v="34"/>
    <n v="2"/>
    <n v="1"/>
    <n v="3"/>
    <n v="1441"/>
    <n v="642"/>
    <n v="799"/>
    <n v="0.56299999999999994"/>
    <n v="4894"/>
    <n v="84"/>
    <n v="0.82599999999999996"/>
    <n v="0.44600000000000001"/>
    <s v="9.0064e-05"/>
    <n v="0.99990999999999997"/>
    <s v="5.4614058108038055"/>
    <s v="62.03713733996329"/>
    <s v="75.03592339825401"/>
    <s v="0.5603054230344541"/>
    <n v="721164483"/>
    <x v="0"/>
    <n v="5.4489190000000002E-4"/>
    <x v="0"/>
  </r>
  <r>
    <n v="45"/>
    <n v="0"/>
    <n v="3"/>
    <n v="4"/>
    <n v="1"/>
    <n v="5"/>
    <n v="0"/>
    <n v="38"/>
    <n v="5"/>
    <n v="2"/>
    <n v="1"/>
    <n v="2883"/>
    <n v="1732"/>
    <n v="1151"/>
    <n v="0.63800000000000001"/>
    <n v="4053"/>
    <n v="85"/>
    <n v="0.63500000000000001"/>
    <n v="0.60099999999999998"/>
    <s v="8.381e-05"/>
    <n v="0.99992000000000003"/>
    <s v="9.250293678568102"/>
    <s v="15.677855819975234"/>
    <s v="79.84906662492425"/>
    <s v="2.332736258907341"/>
    <n v="789586833"/>
    <x v="0"/>
    <n v="3.2914013999999999E-4"/>
    <x v="0"/>
  </r>
  <r>
    <n v="50"/>
    <n v="0"/>
    <n v="2"/>
    <n v="3"/>
    <n v="1"/>
    <n v="5"/>
    <n v="0"/>
    <n v="40"/>
    <n v="2"/>
    <n v="3"/>
    <n v="2"/>
    <n v="10748"/>
    <n v="1084"/>
    <n v="9664"/>
    <n v="0.86799999999999999"/>
    <n v="16541"/>
    <n v="126"/>
    <n v="0.68"/>
    <n v="0.10100000000000001"/>
    <n v="1.7485999999999999E-4"/>
    <n v="0.99983"/>
    <n v="9.5764948884161694"/>
    <s v="9.788076299373005"/>
    <n v="28.685575685486601"/>
    <s v="5.030097824502817"/>
    <n v="713986908"/>
    <x v="0"/>
    <n v="3.4656386999999997E-4"/>
    <x v="0"/>
  </r>
  <r>
    <n v="44"/>
    <n v="1"/>
    <n v="4"/>
    <n v="6"/>
    <n v="2"/>
    <n v="3"/>
    <n v="0"/>
    <n v="34"/>
    <n v="4"/>
    <n v="1"/>
    <n v="2"/>
    <n v="21573"/>
    <n v="1585"/>
    <n v="19988"/>
    <n v="0.621"/>
    <n v="1384"/>
    <n v="36"/>
    <n v="2.2730000000000001"/>
    <n v="7.2999999999999995E-2"/>
    <s v="6.3492e-05"/>
    <n v="0.99994000000000005"/>
    <s v="37.919955721349126"/>
    <s v="34.60249503126483"/>
    <s v="2.5529540652247693"/>
    <s v="14.009297804755173"/>
    <n v="789830058"/>
    <x v="0"/>
    <n v="1.0985557E-3"/>
    <x v="0"/>
  </r>
  <r>
    <n v="61"/>
    <n v="0"/>
    <n v="0"/>
    <n v="2"/>
    <n v="1"/>
    <n v="4"/>
    <n v="0"/>
    <n v="56"/>
    <n v="3"/>
    <n v="3"/>
    <n v="3"/>
    <n v="2122"/>
    <n v="554"/>
    <n v="1568"/>
    <n v="0.85699999999999998"/>
    <n v="949"/>
    <n v="17"/>
    <n v="0.13300000000000001"/>
    <n v="0.26100000000000001"/>
    <n v="0.99616000000000005"/>
    <n v="3.8363E-3"/>
    <s v="27.687572805226537"/>
    <s v="32.16676591679644"/>
    <s v="18.228313818627623"/>
    <n v="4.0638156619390804"/>
    <n v="812420358"/>
    <x v="1"/>
    <n v="0.99844080000000002"/>
    <x v="1"/>
  </r>
  <r>
    <n v="49"/>
    <n v="0"/>
    <n v="2"/>
    <n v="2"/>
    <n v="3"/>
    <n v="4"/>
    <n v="0"/>
    <n v="36"/>
    <n v="3"/>
    <n v="1"/>
    <n v="3"/>
    <n v="3252"/>
    <n v="2517"/>
    <n v="735"/>
    <n v="0.878"/>
    <n v="7418"/>
    <n v="90"/>
    <n v="0.57899999999999996"/>
    <n v="0.77400000000000002"/>
    <s v="9.2637e-05"/>
    <n v="0.99990999999999997"/>
    <s v="22.872045561686477"/>
    <s v="42.39240361361905"/>
    <s v="143.33812984137083"/>
    <s v="4.440503339916968"/>
    <n v="719269308"/>
    <x v="0"/>
    <n v="4.0839396999999998E-4"/>
    <x v="0"/>
  </r>
  <r>
    <n v="54"/>
    <n v="0"/>
    <n v="0"/>
    <n v="3"/>
    <n v="1"/>
    <n v="4"/>
    <n v="0"/>
    <n v="45"/>
    <n v="5"/>
    <n v="2"/>
    <n v="2"/>
    <n v="2704"/>
    <n v="789"/>
    <n v="1915"/>
    <n v="1.0389999999999999"/>
    <n v="4839"/>
    <n v="92"/>
    <n v="0.76900000000000002"/>
    <n v="0.29199999999999998"/>
    <s v="9.4951e-05"/>
    <n v="0.99990999999999997"/>
    <s v="2.364621103777837"/>
    <n v="90.589682985565403"/>
    <n v="47.162126377659298"/>
    <s v="3.213801988913826"/>
    <n v="717400533"/>
    <x v="0"/>
    <n v="5.2749825000000003E-4"/>
    <x v="0"/>
  </r>
  <r>
    <n v="56"/>
    <n v="1"/>
    <n v="2"/>
    <n v="6"/>
    <n v="1"/>
    <n v="2"/>
    <n v="0"/>
    <n v="41"/>
    <n v="3"/>
    <n v="2"/>
    <n v="2"/>
    <n v="5887"/>
    <n v="659"/>
    <n v="5228"/>
    <n v="0.65"/>
    <n v="1193"/>
    <n v="26"/>
    <n v="0.3"/>
    <n v="0.112"/>
    <n v="1.2511E-4"/>
    <n v="0.99987000000000004"/>
    <s v="23.97810025593265"/>
    <s v="13.137473727974628"/>
    <s v="145.93265376620968"/>
    <s v="6.909374819617824"/>
    <n v="780078333"/>
    <x v="0"/>
    <n v="2.1596054999999999E-3"/>
    <x v="0"/>
  </r>
  <r>
    <n v="52"/>
    <n v="0"/>
    <n v="1"/>
    <n v="4"/>
    <n v="1"/>
    <n v="5"/>
    <n v="0"/>
    <n v="42"/>
    <n v="5"/>
    <n v="1"/>
    <n v="2"/>
    <n v="1481"/>
    <n v="0"/>
    <n v="1481"/>
    <n v="0.69799999999999995"/>
    <n v="4435"/>
    <n v="67"/>
    <n v="0.71799999999999997"/>
    <n v="0"/>
    <s v="6.083e-05"/>
    <n v="0.99994000000000005"/>
    <s v="33.86966311673032"/>
    <s v="8.628917951100567"/>
    <s v="11.864984410584952"/>
    <s v="20.760458434377693"/>
    <n v="716727258"/>
    <x v="0"/>
    <n v="7.4965424999999997E-4"/>
    <x v="0"/>
  </r>
  <r>
    <n v="45"/>
    <n v="1"/>
    <n v="5"/>
    <n v="5"/>
    <n v="2"/>
    <n v="2"/>
    <n v="0"/>
    <n v="32"/>
    <n v="1"/>
    <n v="2"/>
    <n v="1"/>
    <n v="20633"/>
    <n v="1989"/>
    <n v="18644"/>
    <n v="0.67"/>
    <n v="7570"/>
    <n v="91"/>
    <n v="0.65500000000000003"/>
    <n v="9.6000000000000002E-2"/>
    <s v="7.2863e-05"/>
    <n v="0.99992999999999999"/>
    <s v="53.81462532462572"/>
    <s v="32.384310073839174"/>
    <s v="20.811052743158264"/>
    <s v="1.1402348052306377"/>
    <n v="708905733"/>
    <x v="0"/>
    <n v="3.6856539999999998E-4"/>
    <x v="0"/>
  </r>
  <r>
    <n v="26"/>
    <n v="1"/>
    <n v="0"/>
    <n v="6"/>
    <n v="2"/>
    <n v="5"/>
    <n v="0"/>
    <n v="16"/>
    <n v="5"/>
    <n v="3"/>
    <n v="2"/>
    <n v="3877"/>
    <n v="0"/>
    <n v="3877"/>
    <n v="0.77300000000000002"/>
    <n v="2473"/>
    <n v="33"/>
    <n v="0.83299999999999996"/>
    <n v="0"/>
    <n v="1.6966E-4"/>
    <n v="0.99983"/>
    <s v="11.981661003193013"/>
    <s v="35.44274135779887"/>
    <s v="50.95432819042497"/>
    <s v="10.514182476956115"/>
    <n v="714892533"/>
    <x v="0"/>
    <n v="3.9886263999999996E-3"/>
    <x v="0"/>
  </r>
  <r>
    <n v="39"/>
    <n v="1"/>
    <n v="1"/>
    <n v="6"/>
    <n v="2"/>
    <n v="3"/>
    <n v="3"/>
    <n v="28"/>
    <n v="3"/>
    <n v="1"/>
    <n v="3"/>
    <n v="34516"/>
    <n v="2017"/>
    <n v="32499"/>
    <n v="0.93"/>
    <n v="8453"/>
    <n v="90"/>
    <n v="0.73099999999999998"/>
    <n v="5.8000000000000003E-2"/>
    <s v="8.636e-05"/>
    <n v="0.99990999999999997"/>
    <s v="51.02576772341805"/>
    <s v="68.66130783170972"/>
    <n v="55.684919845434301"/>
    <s v="10.421650195849471"/>
    <n v="718379358"/>
    <x v="0"/>
    <n v="4.3130057999999998E-4"/>
    <x v="0"/>
  </r>
  <r>
    <n v="52"/>
    <n v="0"/>
    <n v="2"/>
    <n v="2"/>
    <n v="2"/>
    <n v="4"/>
    <n v="0"/>
    <n v="38"/>
    <n v="2"/>
    <n v="2"/>
    <n v="3"/>
    <n v="2904"/>
    <n v="2517"/>
    <n v="387"/>
    <n v="0.58599999999999997"/>
    <n v="4503"/>
    <n v="89"/>
    <n v="0.71199999999999997"/>
    <n v="0.86699999999999999"/>
    <n v="1.9143E-4"/>
    <n v="0.99980999999999998"/>
    <s v="0.4364640625229356"/>
    <s v="62.44360731475385"/>
    <s v="2.093830167772268"/>
    <s v="14.50309108876858"/>
    <n v="780277458"/>
    <x v="0"/>
    <n v="3.4692350000000002E-4"/>
    <x v="0"/>
  </r>
  <r>
    <n v="46"/>
    <n v="1"/>
    <n v="2"/>
    <n v="3"/>
    <n v="2"/>
    <n v="1"/>
    <n v="0"/>
    <n v="36"/>
    <n v="5"/>
    <n v="2"/>
    <n v="2"/>
    <n v="6362"/>
    <n v="0"/>
    <n v="6362"/>
    <n v="0.59599999999999997"/>
    <n v="1968"/>
    <n v="51"/>
    <n v="0.75900000000000001"/>
    <n v="0"/>
    <n v="0.99104000000000003"/>
    <n v="8.9599999999999992E-3"/>
    <s v="33.68541589824921"/>
    <s v="5.272737065282727"/>
    <s v="52.15561074429738"/>
    <s v="13.022272149910272"/>
    <n v="717874533"/>
    <x v="1"/>
    <n v="0.99804470000000001"/>
    <x v="1"/>
  </r>
  <r>
    <n v="50"/>
    <n v="0"/>
    <n v="4"/>
    <n v="3"/>
    <n v="2"/>
    <n v="4"/>
    <n v="0"/>
    <n v="42"/>
    <n v="2"/>
    <n v="1"/>
    <n v="2"/>
    <n v="1460"/>
    <n v="0"/>
    <n v="1460"/>
    <n v="0.68200000000000005"/>
    <n v="4265"/>
    <n v="63"/>
    <n v="0.61499999999999999"/>
    <n v="0"/>
    <s v="5.6153e-05"/>
    <n v="0.99994000000000005"/>
    <s v="50.27655672764184"/>
    <n v="39.029960914804803"/>
    <s v="55.71189514371069"/>
    <s v="20.605970287483725"/>
    <n v="708824958"/>
    <x v="0"/>
    <n v="8.3301717E-4"/>
    <x v="0"/>
  </r>
  <r>
    <n v="47"/>
    <n v="1"/>
    <n v="4"/>
    <n v="2"/>
    <n v="2"/>
    <n v="3"/>
    <n v="0"/>
    <n v="41"/>
    <n v="5"/>
    <n v="3"/>
    <n v="2"/>
    <n v="26442"/>
    <n v="1642"/>
    <n v="24800"/>
    <n v="0.65100000000000002"/>
    <n v="1403"/>
    <n v="40"/>
    <n v="0.42899999999999999"/>
    <n v="6.2E-2"/>
    <n v="1.8864000000000001E-4"/>
    <n v="0.99980999999999998"/>
    <s v="22.874304008503785"/>
    <s v="36.56810478524845"/>
    <s v="38.61863754680998"/>
    <s v="22.170329059133984"/>
    <n v="710574558"/>
    <x v="0"/>
    <n v="1.3335287000000001E-3"/>
    <x v="0"/>
  </r>
  <r>
    <n v="29"/>
    <n v="1"/>
    <n v="0"/>
    <n v="2"/>
    <n v="1"/>
    <n v="4"/>
    <n v="0"/>
    <n v="19"/>
    <n v="6"/>
    <n v="2"/>
    <n v="4"/>
    <n v="2827"/>
    <n v="1430"/>
    <n v="1397"/>
    <n v="0.88500000000000001"/>
    <n v="1608"/>
    <n v="30"/>
    <n v="1.3080000000000001"/>
    <n v="0.50600000000000001"/>
    <n v="2.8024000000000001E-4"/>
    <n v="0.99972000000000005"/>
    <s v="16.71164727961931"/>
    <s v="46.45279365118415"/>
    <s v="68.22671601501419"/>
    <s v="4.851833994579366"/>
    <n v="709794333"/>
    <x v="0"/>
    <n v="9.8706899999999992E-4"/>
    <x v="0"/>
  </r>
  <r>
    <n v="48"/>
    <n v="1"/>
    <n v="3"/>
    <n v="4"/>
    <n v="1"/>
    <n v="1"/>
    <n v="0"/>
    <n v="36"/>
    <n v="3"/>
    <n v="2"/>
    <n v="4"/>
    <n v="2954"/>
    <n v="931"/>
    <n v="2023"/>
    <n v="0.57499999999999996"/>
    <n v="2433"/>
    <n v="29"/>
    <n v="0.38100000000000001"/>
    <n v="0.315"/>
    <n v="0.99750000000000005"/>
    <n v="2.5008399999999998E-3"/>
    <s v="39.08874640618613"/>
    <s v="2.5692567778031954"/>
    <s v="16.56085855687356"/>
    <s v="23.838879226060545"/>
    <n v="715954158"/>
    <x v="1"/>
    <n v="0.99581193999999995"/>
    <x v="1"/>
  </r>
  <r>
    <n v="48"/>
    <n v="0"/>
    <n v="3"/>
    <n v="4"/>
    <n v="1"/>
    <n v="5"/>
    <n v="0"/>
    <n v="36"/>
    <n v="3"/>
    <n v="1"/>
    <n v="3"/>
    <n v="20631"/>
    <n v="2048"/>
    <n v="18583"/>
    <n v="0.67600000000000005"/>
    <n v="4827"/>
    <n v="77"/>
    <n v="0.71099999999999997"/>
    <n v="9.9000000000000005E-2"/>
    <n v="1.1311000000000001E-4"/>
    <n v="0.99988999999999995"/>
    <s v="20.51279895276168"/>
    <s v="91.12455447116466"/>
    <s v="27.142473922985783"/>
    <s v="10.704790539908322"/>
    <n v="716470683"/>
    <x v="0"/>
    <n v="3.2101269999999999E-4"/>
    <x v="0"/>
  </r>
  <r>
    <n v="46"/>
    <n v="0"/>
    <n v="4"/>
    <n v="3"/>
    <n v="2"/>
    <n v="4"/>
    <n v="0"/>
    <n v="40"/>
    <n v="3"/>
    <n v="2"/>
    <n v="2"/>
    <n v="3556"/>
    <n v="2172"/>
    <n v="1384"/>
    <n v="0.40200000000000002"/>
    <n v="1221"/>
    <n v="41"/>
    <n v="0.70799999999999996"/>
    <n v="0.61099999999999999"/>
    <n v="1.1603999999999999E-4"/>
    <n v="0.99987999999999999"/>
    <s v="31.693346404052864"/>
    <s v="49.59801946737496"/>
    <s v="5.308794228204657"/>
    <s v="6.833651976673082"/>
    <n v="798035358"/>
    <x v="0"/>
    <n v="1.0634780000000001E-3"/>
    <x v="0"/>
  </r>
  <r>
    <n v="32"/>
    <n v="1"/>
    <n v="0"/>
    <n v="2"/>
    <n v="1"/>
    <n v="1"/>
    <n v="0"/>
    <n v="27"/>
    <n v="3"/>
    <n v="3"/>
    <n v="2"/>
    <n v="4815"/>
    <n v="1591"/>
    <n v="3224"/>
    <n v="1.409"/>
    <n v="2501"/>
    <n v="36"/>
    <n v="0.71399999999999997"/>
    <n v="0.33"/>
    <n v="1.5435000000000001E-4"/>
    <n v="0.99985000000000002"/>
    <s v="22.50751010355713"/>
    <s v="51.58958062273815"/>
    <s v="97.92666701571122"/>
    <s v="17.242373019988968"/>
    <n v="815288583"/>
    <x v="0"/>
    <n v="1.1292467E-3"/>
    <x v="0"/>
  </r>
  <r>
    <n v="43"/>
    <n v="0"/>
    <n v="3"/>
    <n v="2"/>
    <n v="2"/>
    <n v="1"/>
    <n v="0"/>
    <n v="26"/>
    <n v="3"/>
    <n v="2"/>
    <n v="2"/>
    <n v="2867"/>
    <n v="0"/>
    <n v="2867"/>
    <n v="0.70299999999999996"/>
    <n v="2646"/>
    <n v="41"/>
    <n v="0.46400000000000002"/>
    <n v="0"/>
    <n v="0.99160999999999999"/>
    <n v="8.3899999999999999E-3"/>
    <s v="75.43945916263881"/>
    <s v="54.67053422478122"/>
    <s v="191.1336724244742"/>
    <s v="19.522780136561916"/>
    <n v="711221958"/>
    <x v="1"/>
    <n v="0.99876772999999996"/>
    <x v="1"/>
  </r>
  <r>
    <n v="60"/>
    <n v="1"/>
    <n v="0"/>
    <n v="2"/>
    <n v="1"/>
    <n v="1"/>
    <n v="0"/>
    <n v="41"/>
    <n v="3"/>
    <n v="2"/>
    <n v="4"/>
    <n v="2458"/>
    <n v="1880"/>
    <n v="578"/>
    <n v="0.75900000000000001"/>
    <n v="1238"/>
    <n v="30"/>
    <n v="0.57899999999999996"/>
    <n v="0.76500000000000001"/>
    <n v="2.8024000000000001E-4"/>
    <n v="0.99972000000000005"/>
    <s v="20.04057824447642"/>
    <s v="17.069199689065787"/>
    <s v="142.96153064462453"/>
    <s v="7.243299776884969"/>
    <n v="779046408"/>
    <x v="0"/>
    <n v="1.0903810999999999E-3"/>
    <x v="0"/>
  </r>
  <r>
    <n v="36"/>
    <n v="0"/>
    <n v="3"/>
    <n v="0"/>
    <n v="2"/>
    <n v="4"/>
    <n v="0"/>
    <n v="36"/>
    <n v="5"/>
    <n v="2"/>
    <n v="3"/>
    <n v="1964"/>
    <n v="0"/>
    <n v="1964"/>
    <n v="0.77600000000000002"/>
    <n v="4240"/>
    <n v="60"/>
    <n v="0.622"/>
    <n v="0"/>
    <n v="1.9312999999999999E-4"/>
    <n v="0.99980999999999998"/>
    <s v="29.179987809104823"/>
    <s v="81.79157685604844"/>
    <s v="126.10014513950216"/>
    <s v="32.39050493948695"/>
    <n v="715227633"/>
    <x v="0"/>
    <n v="8.8916449999999997E-4"/>
    <x v="0"/>
  </r>
  <r>
    <n v="48"/>
    <n v="0"/>
    <n v="2"/>
    <n v="1"/>
    <n v="0"/>
    <n v="5"/>
    <n v="0"/>
    <n v="37"/>
    <n v="6"/>
    <n v="2"/>
    <n v="0"/>
    <n v="4549"/>
    <n v="1313"/>
    <n v="3236"/>
    <n v="0.77700000000000002"/>
    <n v="4782"/>
    <n v="88"/>
    <n v="0.66"/>
    <n v="0.28899999999999998"/>
    <s v="6.0759e-05"/>
    <n v="0.99994000000000005"/>
    <s v="9.487410978307755"/>
    <s v="16.730586768661937"/>
    <s v="4.593581121096807"/>
    <s v="2.657607220826893"/>
    <n v="708402333"/>
    <x v="0"/>
    <n v="3.2101269999999999E-4"/>
    <x v="0"/>
  </r>
  <r>
    <n v="48"/>
    <n v="1"/>
    <n v="4"/>
    <n v="1"/>
    <n v="3"/>
    <n v="2"/>
    <n v="3"/>
    <n v="38"/>
    <n v="3"/>
    <n v="2"/>
    <n v="2"/>
    <n v="32658"/>
    <n v="1482"/>
    <n v="31176"/>
    <n v="0.94099999999999995"/>
    <n v="2023"/>
    <n v="37"/>
    <n v="0.54200000000000004"/>
    <n v="4.4999999999999998E-2"/>
    <n v="1.5608000000000001E-4"/>
    <n v="0.99983999999999995"/>
    <s v="21.237455807397577"/>
    <s v="77.72015276629193"/>
    <s v="58.31431501369955"/>
    <s v="2.656259110736142"/>
    <n v="716154258"/>
    <x v="0"/>
    <n v="1.4151777999999999E-3"/>
    <x v="0"/>
  </r>
  <r>
    <n v="58"/>
    <n v="1"/>
    <n v="2"/>
    <n v="6"/>
    <n v="0"/>
    <n v="2"/>
    <n v="0"/>
    <n v="36"/>
    <n v="6"/>
    <n v="1"/>
    <n v="1"/>
    <n v="1490"/>
    <n v="1069"/>
    <n v="421"/>
    <n v="0.84"/>
    <n v="3790"/>
    <n v="85"/>
    <n v="0.88900000000000001"/>
    <n v="0.71699999999999997"/>
    <s v="3.6508e-05"/>
    <n v="0.99995999999999996"/>
    <s v="29.47718459299486"/>
    <s v="1.382048939884571"/>
    <s v="115.62092789596778"/>
    <s v="14.627681817095814"/>
    <n v="714366708"/>
    <x v="0"/>
    <n v="3.2101269999999999E-4"/>
    <x v="0"/>
  </r>
  <r>
    <n v="33"/>
    <n v="0"/>
    <n v="2"/>
    <n v="1"/>
    <n v="2"/>
    <n v="5"/>
    <n v="0"/>
    <n v="21"/>
    <n v="4"/>
    <n v="3"/>
    <n v="4"/>
    <n v="5297"/>
    <n v="0"/>
    <n v="5297"/>
    <n v="0.77900000000000003"/>
    <n v="2655"/>
    <n v="62"/>
    <n v="0.55000000000000004"/>
    <n v="0"/>
    <n v="7.4655999999999995E-4"/>
    <n v="0.99924999999999997"/>
    <n v="0.82697718822537403"/>
    <s v="32.817542782069914"/>
    <s v="29.693368349311257"/>
    <s v="13.56404956804341"/>
    <n v="789050883"/>
    <x v="0"/>
    <n v="1.3718008999999999E-3"/>
    <x v="0"/>
  </r>
  <r>
    <n v="36"/>
    <n v="0"/>
    <n v="3"/>
    <n v="0"/>
    <n v="1"/>
    <n v="4"/>
    <n v="0"/>
    <n v="36"/>
    <n v="2"/>
    <n v="2"/>
    <n v="2"/>
    <n v="1707"/>
    <n v="0"/>
    <n v="1707"/>
    <n v="0.31900000000000001"/>
    <n v="2060"/>
    <n v="52"/>
    <n v="0.52900000000000003"/>
    <n v="0"/>
    <n v="0.99136999999999997"/>
    <n v="8.6300000000000005E-3"/>
    <s v="1.976619742317023"/>
    <s v="45.18118891738315"/>
    <s v="2.027884399134429"/>
    <s v="8.222962178894909"/>
    <n v="713929533"/>
    <x v="1"/>
    <n v="0.99830437000000005"/>
    <x v="1"/>
  </r>
  <r>
    <n v="51"/>
    <n v="0"/>
    <n v="1"/>
    <n v="3"/>
    <n v="1"/>
    <n v="5"/>
    <n v="0"/>
    <n v="36"/>
    <n v="3"/>
    <n v="2"/>
    <n v="3"/>
    <n v="9095"/>
    <n v="2517"/>
    <n v="6578"/>
    <n v="0.37"/>
    <n v="1347"/>
    <n v="27"/>
    <n v="0.42099999999999999"/>
    <n v="0.27700000000000002"/>
    <n v="1.7468E-4"/>
    <n v="0.99983"/>
    <s v="5.296743972684362"/>
    <s v="50.68860460049975"/>
    <n v="6.1368280585852304"/>
    <s v="9.184476377783302"/>
    <n v="720801033"/>
    <x v="0"/>
    <n v="1.2669897000000001E-3"/>
    <x v="0"/>
  </r>
  <r>
    <n v="50"/>
    <n v="0"/>
    <n v="2"/>
    <n v="3"/>
    <n v="1"/>
    <n v="4"/>
    <n v="0"/>
    <n v="43"/>
    <n v="6"/>
    <n v="2"/>
    <n v="3"/>
    <n v="2927"/>
    <n v="1412"/>
    <n v="1515"/>
    <n v="0.76300000000000001"/>
    <n v="1474"/>
    <n v="26"/>
    <n v="0.85699999999999998"/>
    <n v="0.48199999999999998"/>
    <n v="1.861E-4"/>
    <n v="0.99980999999999998"/>
    <s v="45.72766557362411"/>
    <s v="60.35620283080725"/>
    <s v="52.31743946174312"/>
    <s v="7.099027146336615"/>
    <n v="720475233"/>
    <x v="0"/>
    <n v="9.8706899999999992E-4"/>
    <x v="0"/>
  </r>
  <r>
    <n v="48"/>
    <n v="0"/>
    <n v="3"/>
    <n v="1"/>
    <n v="1"/>
    <n v="5"/>
    <n v="0"/>
    <n v="44"/>
    <n v="4"/>
    <n v="3"/>
    <n v="3"/>
    <n v="2021"/>
    <n v="1186"/>
    <n v="835"/>
    <n v="0.61599999999999999"/>
    <n v="4633"/>
    <n v="74"/>
    <n v="0.57399999999999995"/>
    <n v="0.58699999999999997"/>
    <n v="4.5419999999999998E-4"/>
    <n v="0.99955000000000005"/>
    <s v="17.15230865754905"/>
    <s v="15.877172330052437"/>
    <s v="133.8429707473016"/>
    <s v="5.211946353231687"/>
    <n v="710219658"/>
    <x v="0"/>
    <n v="3.2914013999999999E-4"/>
    <x v="0"/>
  </r>
  <r>
    <n v="46"/>
    <n v="1"/>
    <n v="3"/>
    <n v="2"/>
    <n v="1"/>
    <n v="3"/>
    <n v="0"/>
    <n v="36"/>
    <n v="6"/>
    <n v="3"/>
    <n v="1"/>
    <n v="19838"/>
    <n v="1290"/>
    <n v="18548"/>
    <n v="0.59"/>
    <n v="3982"/>
    <n v="68"/>
    <n v="0.58099999999999996"/>
    <n v="6.5000000000000002E-2"/>
    <n v="1.1256000000000001E-4"/>
    <n v="0.99988999999999995"/>
    <s v="3.396669348446172"/>
    <s v="59.142852820239966"/>
    <s v="5.500845720980803"/>
    <s v="21.77152502703246"/>
    <n v="721092783"/>
    <x v="0"/>
    <n v="3.6634394000000002E-4"/>
    <x v="0"/>
  </r>
  <r>
    <n v="50"/>
    <n v="1"/>
    <n v="1"/>
    <n v="6"/>
    <n v="2"/>
    <n v="0"/>
    <n v="0"/>
    <n v="37"/>
    <n v="4"/>
    <n v="3"/>
    <n v="2"/>
    <n v="32563"/>
    <n v="0"/>
    <n v="32563"/>
    <n v="1.0129999999999999"/>
    <n v="9220"/>
    <n v="81"/>
    <n v="0.88400000000000001"/>
    <n v="0"/>
    <n v="0.99463999999999997"/>
    <n v="5.3600000000000002E-3"/>
    <s v="7.487013229301867"/>
    <s v="26.74360548876142"/>
    <s v="37.05215770177416"/>
    <s v="8.923805827194093"/>
    <n v="711746133"/>
    <x v="1"/>
    <n v="0.99455450000000001"/>
    <x v="1"/>
  </r>
  <r>
    <n v="46"/>
    <n v="0"/>
    <n v="4"/>
    <n v="2"/>
    <n v="1"/>
    <n v="4"/>
    <n v="0"/>
    <n v="28"/>
    <n v="4"/>
    <n v="2"/>
    <n v="3"/>
    <n v="8318"/>
    <n v="2517"/>
    <n v="5801"/>
    <n v="0.69"/>
    <n v="2427"/>
    <n v="52"/>
    <n v="0.625"/>
    <n v="0.30299999999999999"/>
    <n v="0.99504000000000004"/>
    <n v="4.9552399999999996E-3"/>
    <s v="20.179576259562136"/>
    <s v="54.50905578955855"/>
    <n v="7.56494177791991"/>
    <s v="1.6153791562689168"/>
    <n v="720520308"/>
    <x v="1"/>
    <n v="0.99361836999999997"/>
    <x v="1"/>
  </r>
  <r>
    <n v="39"/>
    <n v="0"/>
    <n v="2"/>
    <n v="4"/>
    <n v="2"/>
    <n v="4"/>
    <n v="0"/>
    <n v="27"/>
    <n v="4"/>
    <n v="2"/>
    <n v="2"/>
    <n v="6205"/>
    <n v="2517"/>
    <n v="3688"/>
    <n v="0.93899999999999995"/>
    <n v="1204"/>
    <n v="19"/>
    <n v="0.72699999999999998"/>
    <n v="0.40600000000000003"/>
    <n v="1.3392999999999999E-4"/>
    <n v="0.99987000000000004"/>
    <s v="21.490478932787703"/>
    <s v="58.41478650206439"/>
    <s v="83.73398081181986"/>
    <s v="1.729211464996628"/>
    <n v="715674483"/>
    <x v="0"/>
    <n v="1.0739613999999999E-3"/>
    <x v="0"/>
  </r>
  <r>
    <n v="47"/>
    <n v="0"/>
    <n v="5"/>
    <n v="6"/>
    <n v="2"/>
    <n v="1"/>
    <n v="0"/>
    <n v="40"/>
    <n v="4"/>
    <n v="3"/>
    <n v="4"/>
    <n v="3888"/>
    <n v="2517"/>
    <n v="1371"/>
    <n v="0.64100000000000001"/>
    <n v="4377"/>
    <n v="88"/>
    <n v="0.72499999999999998"/>
    <n v="0.64700000000000002"/>
    <n v="5.8553000000000001E-4"/>
    <n v="0.99941000000000002"/>
    <s v="10.777145588790187"/>
    <s v="81.59929140467108"/>
    <s v="52.51616155325428"/>
    <s v="5.938432472957725"/>
    <n v="720202008"/>
    <x v="0"/>
    <n v="3.4692350000000002E-4"/>
    <x v="0"/>
  </r>
  <r>
    <n v="39"/>
    <n v="0"/>
    <n v="2"/>
    <n v="1"/>
    <n v="1"/>
    <n v="5"/>
    <n v="0"/>
    <n v="36"/>
    <n v="3"/>
    <n v="2"/>
    <n v="4"/>
    <n v="9843"/>
    <n v="2154"/>
    <n v="7689"/>
    <n v="0.73299999999999998"/>
    <n v="1402"/>
    <n v="35"/>
    <n v="0.66700000000000004"/>
    <n v="0.219"/>
    <n v="4.7250999999999999E-4"/>
    <n v="0.99953000000000003"/>
    <s v="8.012687241777357"/>
    <s v="59.64963822133847"/>
    <s v="49.42277318368264"/>
    <s v="16.234896230869843"/>
    <n v="714618333"/>
    <x v="0"/>
    <n v="1.0634780000000001E-3"/>
    <x v="0"/>
  </r>
  <r>
    <n v="46"/>
    <n v="1"/>
    <n v="2"/>
    <n v="3"/>
    <n v="1"/>
    <n v="1"/>
    <n v="0"/>
    <n v="40"/>
    <n v="3"/>
    <n v="3"/>
    <n v="0"/>
    <n v="3981"/>
    <n v="0"/>
    <n v="3981"/>
    <n v="0.626"/>
    <n v="14340"/>
    <n v="114"/>
    <n v="0.78100000000000003"/>
    <n v="0"/>
    <s v="6.4505e-05"/>
    <n v="0.99994000000000005"/>
    <s v="3.425913033760305"/>
    <s v="5.390117882253522"/>
    <n v="9.7607389081528808"/>
    <s v="7.431170262516473"/>
    <n v="797228883"/>
    <x v="0"/>
    <n v="7.5047980000000002E-4"/>
    <x v="0"/>
  </r>
  <r>
    <n v="51"/>
    <n v="1"/>
    <n v="3"/>
    <n v="6"/>
    <n v="1"/>
    <n v="2"/>
    <n v="0"/>
    <n v="36"/>
    <n v="4"/>
    <n v="3"/>
    <n v="4"/>
    <n v="5993"/>
    <n v="1582"/>
    <n v="4411"/>
    <n v="0.44"/>
    <n v="3464"/>
    <n v="64"/>
    <n v="0.68400000000000005"/>
    <n v="0.26400000000000001"/>
    <n v="5.8850999999999999E-4"/>
    <n v="0.99941000000000002"/>
    <s v="43.13495788385838"/>
    <s v="11.619476259161669"/>
    <s v="22.366166393250356"/>
    <s v="5.272457419872308"/>
    <n v="709774608"/>
    <x v="0"/>
    <n v="3.3750320000000002E-4"/>
    <x v="0"/>
  </r>
  <r>
    <n v="37"/>
    <n v="0"/>
    <n v="4"/>
    <n v="6"/>
    <n v="2"/>
    <n v="4"/>
    <n v="0"/>
    <n v="36"/>
    <n v="3"/>
    <n v="3"/>
    <n v="3"/>
    <n v="2286"/>
    <n v="0"/>
    <n v="2286"/>
    <n v="0.73199999999999998"/>
    <n v="5199"/>
    <n v="83"/>
    <n v="0.84399999999999997"/>
    <n v="0"/>
    <n v="3.4872000000000001E-4"/>
    <n v="0.99965000000000004"/>
    <s v="48.47934677562072"/>
    <n v="32.923681225487002"/>
    <s v="29.645812733876944"/>
    <s v="12.39914068869305"/>
    <n v="716761308"/>
    <x v="0"/>
    <n v="6.9517245999999998E-4"/>
    <x v="0"/>
  </r>
  <r>
    <n v="36"/>
    <n v="1"/>
    <n v="3"/>
    <n v="6"/>
    <n v="2"/>
    <n v="2"/>
    <n v="0"/>
    <n v="36"/>
    <n v="3"/>
    <n v="1"/>
    <n v="1"/>
    <n v="11684"/>
    <n v="1786"/>
    <n v="9898"/>
    <n v="0.80600000000000005"/>
    <n v="2969"/>
    <n v="88"/>
    <n v="0.79600000000000004"/>
    <n v="0.153"/>
    <s v="3.7884e-05"/>
    <n v="0.99995999999999996"/>
    <s v="0.9109400133125094"/>
    <s v="34.67479870539842"/>
    <s v="1.810968309358355"/>
    <s v="2.249374964634858"/>
    <n v="712936908"/>
    <x v="0"/>
    <n v="3.6685002999999999E-4"/>
    <x v="0"/>
  </r>
  <r>
    <n v="34"/>
    <n v="0"/>
    <n v="3"/>
    <n v="5"/>
    <n v="2"/>
    <n v="4"/>
    <n v="0"/>
    <n v="26"/>
    <n v="4"/>
    <n v="2"/>
    <n v="3"/>
    <n v="3234"/>
    <n v="971"/>
    <n v="2263"/>
    <n v="0.79"/>
    <n v="3989"/>
    <n v="71"/>
    <n v="0.86799999999999999"/>
    <n v="0.3"/>
    <n v="2.0424000000000001E-4"/>
    <n v="0.99980000000000002"/>
    <s v="9.215508227807105"/>
    <s v="31.993254965981023"/>
    <s v="18.92635369058715"/>
    <s v="21.437637379624285"/>
    <n v="718186233"/>
    <x v="0"/>
    <n v="3.8272605000000003E-4"/>
    <x v="0"/>
  </r>
  <r>
    <n v="39"/>
    <n v="1"/>
    <n v="2"/>
    <n v="6"/>
    <n v="1"/>
    <n v="2"/>
    <n v="0"/>
    <n v="34"/>
    <n v="6"/>
    <n v="2"/>
    <n v="4"/>
    <n v="5219"/>
    <n v="1826"/>
    <n v="3393"/>
    <n v="1.0109999999999999"/>
    <n v="1715"/>
    <n v="35"/>
    <n v="1.1879999999999999"/>
    <n v="0.35"/>
    <n v="3.5893999999999998E-4"/>
    <n v="0.99963999999999997"/>
    <s v="20.45951014960497"/>
    <s v="38.12819537726824"/>
    <s v="42.076016211232734"/>
    <s v="8.682595785205065"/>
    <n v="803977008"/>
    <x v="0"/>
    <n v="9.8706899999999992E-4"/>
    <x v="0"/>
  </r>
  <r>
    <n v="64"/>
    <n v="0"/>
    <n v="0"/>
    <n v="2"/>
    <n v="2"/>
    <n v="4"/>
    <n v="0"/>
    <n v="36"/>
    <n v="1"/>
    <n v="3"/>
    <n v="4"/>
    <n v="1682"/>
    <n v="0"/>
    <n v="1682"/>
    <n v="0.75"/>
    <n v="1811"/>
    <n v="39"/>
    <n v="0.5"/>
    <n v="0"/>
    <n v="0.99775000000000003"/>
    <n v="2.25216E-3"/>
    <s v="7.022846711357668"/>
    <s v="24.704217159014316"/>
    <s v="64.03881218097149"/>
    <s v="13.15780379921188"/>
    <n v="712953483"/>
    <x v="1"/>
    <n v="0.99830662999999997"/>
    <x v="1"/>
  </r>
  <r>
    <n v="45"/>
    <n v="1"/>
    <n v="1"/>
    <n v="2"/>
    <n v="2"/>
    <n v="2"/>
    <n v="0"/>
    <n v="41"/>
    <n v="2"/>
    <n v="3"/>
    <n v="2"/>
    <n v="9904"/>
    <n v="2513"/>
    <n v="7391"/>
    <n v="0"/>
    <n v="1152"/>
    <n v="28"/>
    <n v="0"/>
    <n v="0.254"/>
    <n v="0.99411000000000005"/>
    <n v="5.8900000000000003E-3"/>
    <s v="58.84722478627626"/>
    <s v="3.995014208505229"/>
    <s v="9.554613082259657"/>
    <s v="9.300802991831322"/>
    <n v="827117808"/>
    <x v="1"/>
    <n v="0.99578226000000003"/>
    <x v="1"/>
  </r>
  <r>
    <n v="47"/>
    <n v="1"/>
    <n v="3"/>
    <n v="5"/>
    <n v="2"/>
    <n v="2"/>
    <n v="0"/>
    <n v="36"/>
    <n v="3"/>
    <n v="2"/>
    <n v="4"/>
    <n v="1659"/>
    <n v="1544"/>
    <n v="115"/>
    <n v="0.40799999999999997"/>
    <n v="1920"/>
    <n v="39"/>
    <n v="0.34499999999999997"/>
    <n v="0.93100000000000005"/>
    <n v="0.99714000000000003"/>
    <n v="2.86097E-3"/>
    <s v="0.5640439730490155"/>
    <s v="52.61100949882674"/>
    <s v="37.03556144759038"/>
    <s v="6.469906717022597"/>
    <n v="717450633"/>
    <x v="1"/>
    <n v="0.99399179999999998"/>
    <x v="1"/>
  </r>
  <r>
    <n v="49"/>
    <n v="0"/>
    <n v="4"/>
    <n v="3"/>
    <n v="1"/>
    <n v="4"/>
    <n v="0"/>
    <n v="35"/>
    <n v="5"/>
    <n v="3"/>
    <n v="2"/>
    <n v="3038"/>
    <n v="2133"/>
    <n v="905"/>
    <n v="0.68899999999999995"/>
    <n v="4784"/>
    <n v="83"/>
    <n v="0.69399999999999995"/>
    <n v="0.70199999999999996"/>
    <n v="1.8338999999999999E-4"/>
    <n v="0.99982000000000004"/>
    <s v="14.184682756269448"/>
    <s v="8.023150838861167"/>
    <s v="47.17215804300044"/>
    <s v="13.59285297493956"/>
    <n v="787458783"/>
    <x v="0"/>
    <n v="3.2101269999999999E-4"/>
    <x v="0"/>
  </r>
  <r>
    <n v="48"/>
    <n v="1"/>
    <n v="3"/>
    <n v="1"/>
    <n v="0"/>
    <n v="0"/>
    <n v="0"/>
    <n v="36"/>
    <n v="4"/>
    <n v="3"/>
    <n v="2"/>
    <n v="34516"/>
    <n v="2517"/>
    <n v="31999"/>
    <n v="0.69699999999999995"/>
    <n v="1699"/>
    <n v="48"/>
    <n v="0.84599999999999997"/>
    <n v="7.2999999999999995E-2"/>
    <n v="2.7008000000000002E-4"/>
    <n v="0.99973000000000001"/>
    <s v="23.37595544535068"/>
    <s v="63.03067358660736"/>
    <s v="82.54341632988722"/>
    <n v="1.2232893393980001E-4"/>
    <n v="715127208"/>
    <x v="0"/>
    <n v="1.1413090000000001E-3"/>
    <x v="0"/>
  </r>
  <r>
    <n v="54"/>
    <n v="0"/>
    <n v="4"/>
    <n v="3"/>
    <n v="2"/>
    <n v="4"/>
    <n v="0"/>
    <n v="36"/>
    <n v="1"/>
    <n v="3"/>
    <n v="0"/>
    <n v="1921"/>
    <n v="1334"/>
    <n v="587"/>
    <n v="0.69399999999999995"/>
    <n v="4512"/>
    <n v="90"/>
    <n v="0.76500000000000001"/>
    <n v="0.69399999999999995"/>
    <s v="6.765e-05"/>
    <n v="0.99992999999999999"/>
    <n v="43.738037761806297"/>
    <s v="97.21584990309366"/>
    <s v="19.324679500467514"/>
    <s v="3.433010289361321"/>
    <n v="721410858"/>
    <x v="0"/>
    <n v="3.2101269999999999E-4"/>
    <x v="0"/>
  </r>
  <r>
    <n v="51"/>
    <n v="1"/>
    <n v="4"/>
    <n v="3"/>
    <n v="2"/>
    <n v="2"/>
    <n v="0"/>
    <n v="45"/>
    <n v="3"/>
    <n v="1"/>
    <n v="2"/>
    <n v="3031"/>
    <n v="1787"/>
    <n v="1244"/>
    <n v="1.006"/>
    <n v="4690"/>
    <n v="85"/>
    <n v="0.7"/>
    <n v="0.59"/>
    <s v="5.6153e-05"/>
    <n v="0.99994000000000005"/>
    <s v="49.03499940779757"/>
    <s v="15.993060845682912"/>
    <s v="134.55508548165108"/>
    <s v="7.795969056244842"/>
    <n v="789631908"/>
    <x v="0"/>
    <n v="3.221314E-4"/>
    <x v="0"/>
  </r>
  <r>
    <n v="44"/>
    <n v="1"/>
    <n v="3"/>
    <n v="3"/>
    <n v="1"/>
    <n v="2"/>
    <n v="0"/>
    <n v="34"/>
    <n v="4"/>
    <n v="2"/>
    <n v="5"/>
    <n v="21158"/>
    <n v="0"/>
    <n v="21158"/>
    <n v="0.63300000000000001"/>
    <n v="4071"/>
    <n v="67"/>
    <n v="0.81100000000000005"/>
    <n v="0"/>
    <n v="5.6992999999999996E-4"/>
    <n v="0.99943000000000004"/>
    <s v="12.66158303486698"/>
    <s v="22.15541789280779"/>
    <s v="29.635576387397524"/>
    <s v="11.733877278765474"/>
    <n v="712411908"/>
    <x v="0"/>
    <n v="7.4965424999999997E-4"/>
    <x v="0"/>
  </r>
  <r>
    <n v="39"/>
    <n v="1"/>
    <n v="2"/>
    <n v="3"/>
    <n v="2"/>
    <n v="0"/>
    <n v="0"/>
    <n v="33"/>
    <n v="1"/>
    <n v="3"/>
    <n v="4"/>
    <n v="1726"/>
    <n v="1476"/>
    <n v="250"/>
    <n v="0.371"/>
    <n v="1804"/>
    <n v="34"/>
    <n v="0.25900000000000001"/>
    <n v="0.85499999999999998"/>
    <n v="0.99800999999999995"/>
    <n v="1.9885300000000001E-3"/>
    <s v="10.09934888221592"/>
    <s v="57.04523095989454"/>
    <s v="62.66464441221154"/>
    <s v="17.007177337738586"/>
    <n v="793630083"/>
    <x v="1"/>
    <n v="0.99444299999999997"/>
    <x v="1"/>
  </r>
  <r>
    <n v="59"/>
    <n v="0"/>
    <n v="0"/>
    <n v="6"/>
    <n v="1"/>
    <n v="4"/>
    <n v="0"/>
    <n v="53"/>
    <n v="4"/>
    <n v="3"/>
    <n v="2"/>
    <n v="5512"/>
    <n v="1124"/>
    <n v="4388"/>
    <n v="1.391"/>
    <n v="1975"/>
    <n v="49"/>
    <n v="1.579"/>
    <n v="0.20399999999999999"/>
    <n v="1.6966E-4"/>
    <n v="0.99983"/>
    <s v="11.64808329099898"/>
    <s v="35.681313948066176"/>
    <n v="74.923424044280196"/>
    <s v="1.8320367483358095"/>
    <n v="796532958"/>
    <x v="0"/>
    <n v="8.1504247000000005E-4"/>
    <x v="0"/>
  </r>
  <r>
    <n v="49"/>
    <n v="0"/>
    <n v="4"/>
    <n v="2"/>
    <n v="1"/>
    <n v="4"/>
    <n v="0"/>
    <n v="38"/>
    <n v="5"/>
    <n v="2"/>
    <n v="4"/>
    <n v="1757"/>
    <n v="0"/>
    <n v="1757"/>
    <n v="0.89"/>
    <n v="2557"/>
    <n v="45"/>
    <n v="0.40600000000000003"/>
    <n v="0"/>
    <n v="0.99709000000000003"/>
    <n v="2.9104000000000001E-3"/>
    <s v="8.039431182149205"/>
    <s v="38.937982678198416"/>
    <s v="209.16548379488776"/>
    <s v="9.232257271603125"/>
    <n v="716855058"/>
    <x v="1"/>
    <n v="0.99837339999999997"/>
    <x v="1"/>
  </r>
  <r>
    <n v="42"/>
    <n v="0"/>
    <n v="2"/>
    <n v="6"/>
    <n v="2"/>
    <n v="1"/>
    <n v="0"/>
    <n v="34"/>
    <n v="3"/>
    <n v="3"/>
    <n v="3"/>
    <n v="2516"/>
    <n v="0"/>
    <n v="2516"/>
    <n v="0.53"/>
    <n v="2257"/>
    <n v="51"/>
    <n v="0.54500000000000004"/>
    <n v="0"/>
    <n v="0.997"/>
    <n v="2.9974300000000001E-3"/>
    <s v="11.688603649352718"/>
    <s v="1.483671498221727"/>
    <s v="48.97735196308589"/>
    <s v="7.570034581786845"/>
    <n v="714119283"/>
    <x v="1"/>
    <n v="0.99850684000000001"/>
    <x v="1"/>
  </r>
  <r>
    <n v="39"/>
    <n v="0"/>
    <n v="4"/>
    <n v="6"/>
    <n v="1"/>
    <n v="1"/>
    <n v="0"/>
    <n v="28"/>
    <n v="2"/>
    <n v="3"/>
    <n v="2"/>
    <n v="2725"/>
    <n v="2302"/>
    <n v="423"/>
    <n v="0.876"/>
    <n v="4714"/>
    <n v="81"/>
    <n v="0.8"/>
    <n v="0.84499999999999997"/>
    <n v="2.0735E-4"/>
    <n v="0.99978999999999996"/>
    <s v="15.797333161700507"/>
    <n v="52.839198990379501"/>
    <s v="10.958093177542178"/>
    <s v="14.35376649693795"/>
    <n v="712714008"/>
    <x v="0"/>
    <n v="3.2101269999999999E-4"/>
    <x v="0"/>
  </r>
  <r>
    <n v="41"/>
    <n v="1"/>
    <n v="5"/>
    <n v="6"/>
    <n v="2"/>
    <n v="3"/>
    <n v="0"/>
    <n v="36"/>
    <n v="1"/>
    <n v="2"/>
    <n v="3"/>
    <n v="1438.3"/>
    <n v="892"/>
    <n v="546.29999999999995"/>
    <n v="0.79"/>
    <n v="4426"/>
    <n v="88"/>
    <n v="0.66"/>
    <n v="0.62"/>
    <n v="2.1724E-4"/>
    <n v="0.99978"/>
    <s v="46.63162653108278"/>
    <s v="26.150682637696352"/>
    <s v="19.785693135611268"/>
    <s v="8.226392025992473"/>
    <n v="812089383"/>
    <x v="0"/>
    <n v="4.2162873000000002E-4"/>
    <x v="0"/>
  </r>
  <r>
    <n v="49"/>
    <n v="0"/>
    <n v="1"/>
    <n v="5"/>
    <n v="1"/>
    <n v="1"/>
    <n v="0"/>
    <n v="41"/>
    <n v="4"/>
    <n v="3"/>
    <n v="3"/>
    <n v="1438.3"/>
    <n v="522"/>
    <n v="916.3"/>
    <n v="0.38300000000000001"/>
    <n v="2030"/>
    <n v="37"/>
    <n v="0.37"/>
    <n v="0.36299999999999999"/>
    <n v="0.99658999999999998"/>
    <n v="3.4124899999999998E-3"/>
    <s v="3.452115070208645"/>
    <s v="21.816696330097848"/>
    <s v="77.16668717714909"/>
    <s v="7.471569547661961"/>
    <n v="714595983"/>
    <x v="1"/>
    <n v="0.9985134"/>
    <x v="1"/>
  </r>
  <r>
    <n v="44"/>
    <n v="1"/>
    <n v="3"/>
    <n v="2"/>
    <n v="0"/>
    <n v="1"/>
    <n v="0"/>
    <n v="32"/>
    <n v="1"/>
    <n v="2"/>
    <n v="2"/>
    <n v="3575"/>
    <n v="0"/>
    <n v="3575"/>
    <n v="0.84299999999999997"/>
    <n v="7672"/>
    <n v="66"/>
    <n v="0.73699999999999999"/>
    <n v="0"/>
    <n v="0.99160999999999999"/>
    <n v="8.3899999999999999E-3"/>
    <s v="20.026948928754503"/>
    <s v="4.786760197142576"/>
    <s v="14.395155364415022"/>
    <s v="16.001132927375792"/>
    <n v="720748608"/>
    <x v="1"/>
    <n v="0.995197"/>
    <x v="1"/>
  </r>
  <r>
    <n v="45"/>
    <n v="0"/>
    <n v="4"/>
    <n v="5"/>
    <n v="2"/>
    <n v="5"/>
    <n v="0"/>
    <n v="40"/>
    <n v="1"/>
    <n v="2"/>
    <n v="2"/>
    <n v="7600"/>
    <n v="1574"/>
    <n v="6026"/>
    <n v="0.60499999999999998"/>
    <n v="4240"/>
    <n v="67"/>
    <n v="0.39600000000000002"/>
    <n v="0.20699999999999999"/>
    <n v="1.2274000000000001E-4"/>
    <n v="0.99987999999999999"/>
    <s v="6.916413667355204"/>
    <s v="27.262246543569542"/>
    <s v="93.42618926703672"/>
    <s v="7.599520356231118"/>
    <n v="811907583"/>
    <x v="0"/>
    <n v="3.5747702000000001E-4"/>
    <x v="0"/>
  </r>
  <r>
    <n v="60"/>
    <n v="0"/>
    <n v="1"/>
    <n v="5"/>
    <n v="1"/>
    <n v="4"/>
    <n v="3"/>
    <n v="54"/>
    <n v="2"/>
    <n v="2"/>
    <n v="3"/>
    <n v="13062"/>
    <n v="1731"/>
    <n v="11331"/>
    <n v="0.93600000000000005"/>
    <n v="13609"/>
    <n v="108"/>
    <n v="0.56499999999999995"/>
    <n v="0.13300000000000001"/>
    <n v="1.6694E-4"/>
    <n v="0.99983"/>
    <s v="32.70553368862566"/>
    <s v="23.879048175021136"/>
    <s v="53.35829194350367"/>
    <s v="4.8958033449619975"/>
    <n v="790201158"/>
    <x v="0"/>
    <n v="3.7359665000000002E-4"/>
    <x v="0"/>
  </r>
  <r>
    <n v="28"/>
    <n v="0"/>
    <n v="1"/>
    <n v="2"/>
    <n v="0"/>
    <n v="4"/>
    <n v="0"/>
    <n v="23"/>
    <n v="4"/>
    <n v="1"/>
    <n v="3"/>
    <n v="2543"/>
    <n v="1156"/>
    <n v="1387"/>
    <n v="0.64100000000000001"/>
    <n v="3864"/>
    <n v="64"/>
    <n v="0.68400000000000005"/>
    <n v="0.45500000000000002"/>
    <s v="8.6952e-05"/>
    <n v="0.99990999999999997"/>
    <n v="0.79437453428425198"/>
    <s v="0.3646009534406563"/>
    <s v="28.447112535832204"/>
    <s v="2.158451664174692"/>
    <n v="815088483"/>
    <x v="0"/>
    <n v="3.3750320000000002E-4"/>
    <x v="0"/>
  </r>
  <r>
    <n v="30"/>
    <n v="0"/>
    <n v="0"/>
    <n v="4"/>
    <n v="2"/>
    <n v="4"/>
    <n v="0"/>
    <n v="18"/>
    <n v="6"/>
    <n v="3"/>
    <n v="2"/>
    <n v="2132"/>
    <n v="797"/>
    <n v="1335"/>
    <n v="0.77900000000000003"/>
    <n v="3265"/>
    <n v="74"/>
    <n v="0.57399999999999995"/>
    <n v="0.374"/>
    <n v="1.8162000000000001E-4"/>
    <n v="0.99982000000000004"/>
    <s v="5.855536146184764"/>
    <s v="46.46242627799256"/>
    <n v="9.1856754629964996"/>
    <s v="4.5727211226203615"/>
    <n v="720013083"/>
    <x v="0"/>
    <n v="5.3897389999999997E-4"/>
    <x v="0"/>
  </r>
  <r>
    <n v="60"/>
    <n v="0"/>
    <n v="0"/>
    <n v="1"/>
    <n v="1"/>
    <n v="4"/>
    <n v="0"/>
    <n v="45"/>
    <n v="5"/>
    <n v="2"/>
    <n v="4"/>
    <n v="1438.3"/>
    <n v="648"/>
    <n v="790.3"/>
    <n v="0.47699999999999998"/>
    <n v="1267"/>
    <n v="27"/>
    <n v="1.077"/>
    <n v="0.45100000000000001"/>
    <n v="4.0549999999999999E-4"/>
    <n v="0.99958999999999998"/>
    <s v="31.19241421191948"/>
    <s v="33.69957687915632"/>
    <n v="85.824341059553305"/>
    <s v="24.264876882076287"/>
    <n v="778942233"/>
    <x v="0"/>
    <n v="1.9945369999999998E-3"/>
    <x v="0"/>
  </r>
  <r>
    <n v="42"/>
    <n v="0"/>
    <n v="2"/>
    <n v="2"/>
    <n v="1"/>
    <n v="4"/>
    <n v="0"/>
    <n v="37"/>
    <n v="4"/>
    <n v="2"/>
    <n v="1"/>
    <n v="2250"/>
    <n v="1788"/>
    <n v="462"/>
    <n v="0.52300000000000002"/>
    <n v="4908"/>
    <n v="71"/>
    <n v="1.1519999999999999"/>
    <n v="0.79500000000000004"/>
    <s v="6.864e-05"/>
    <n v="0.99992999999999999"/>
    <s v="1.6725473170109362"/>
    <s v="9.402165882008225"/>
    <s v="69.42125207845255"/>
    <s v="19.44010838904545"/>
    <n v="811762383"/>
    <x v="0"/>
    <n v="3.2101269999999999E-4"/>
    <x v="0"/>
  </r>
  <r>
    <n v="37"/>
    <n v="0"/>
    <n v="2"/>
    <n v="6"/>
    <n v="1"/>
    <n v="1"/>
    <n v="0"/>
    <n v="36"/>
    <n v="4"/>
    <n v="2"/>
    <n v="2"/>
    <n v="2208"/>
    <n v="1559"/>
    <n v="649"/>
    <n v="0.51"/>
    <n v="4686"/>
    <n v="81"/>
    <n v="0.76100000000000001"/>
    <n v="0.70599999999999996"/>
    <n v="1.2511E-4"/>
    <n v="0.99987000000000004"/>
    <s v="27.64608072230928"/>
    <s v="71.25517723892385"/>
    <s v="18.924351907163604"/>
    <s v="24.99521359790603"/>
    <n v="708745983"/>
    <x v="0"/>
    <n v="3.2101269999999999E-4"/>
    <x v="0"/>
  </r>
  <r>
    <n v="35"/>
    <n v="0"/>
    <n v="4"/>
    <n v="5"/>
    <n v="1"/>
    <n v="5"/>
    <n v="0"/>
    <n v="25"/>
    <n v="2"/>
    <n v="3"/>
    <n v="2"/>
    <n v="3379"/>
    <n v="587"/>
    <n v="2792"/>
    <n v="0.67"/>
    <n v="5121"/>
    <n v="80"/>
    <n v="0.70199999999999996"/>
    <n v="0.17399999999999999"/>
    <n v="1.9395999999999999E-4"/>
    <n v="0.99980999999999998"/>
    <s v="2.674001101793769"/>
    <s v="6.146201835475219"/>
    <s v="87.44140007313126"/>
    <s v="1.0574586027573452"/>
    <n v="718792758"/>
    <x v="0"/>
    <n v="5.9743242999999997E-4"/>
    <x v="0"/>
  </r>
  <r>
    <n v="56"/>
    <n v="0"/>
    <n v="2"/>
    <n v="0"/>
    <n v="2"/>
    <n v="4"/>
    <n v="0"/>
    <n v="43"/>
    <n v="1"/>
    <n v="3"/>
    <n v="1"/>
    <n v="5254"/>
    <n v="0"/>
    <n v="5254"/>
    <n v="0.65100000000000002"/>
    <n v="4546"/>
    <n v="89"/>
    <n v="0.71199999999999997"/>
    <n v="0"/>
    <n v="1.0546E-4"/>
    <n v="0.99988999999999995"/>
    <s v="17.01591369646405"/>
    <n v="7.9541887475689501"/>
    <s v="1.0466384660357306"/>
    <s v="15.942239402491708"/>
    <n v="712974558"/>
    <x v="0"/>
    <n v="6.9517245999999998E-4"/>
    <x v="0"/>
  </r>
  <r>
    <n v="42"/>
    <n v="0"/>
    <n v="1"/>
    <n v="1"/>
    <n v="1"/>
    <n v="1"/>
    <n v="0"/>
    <n v="35"/>
    <n v="4"/>
    <n v="3"/>
    <n v="2"/>
    <n v="2985"/>
    <n v="2355"/>
    <n v="630"/>
    <n v="0.60199999999999998"/>
    <n v="1065"/>
    <n v="27"/>
    <n v="0.58799999999999997"/>
    <n v="0.78900000000000003"/>
    <n v="2.4431000000000002E-4"/>
    <n v="0.99975999999999998"/>
    <s v="26.63741533714249"/>
    <n v="42.468929028539698"/>
    <s v="122.48540091946452"/>
    <s v="24.77052854494288"/>
    <n v="789605658"/>
    <x v="0"/>
    <n v="1.1454669E-3"/>
    <x v="0"/>
  </r>
  <r>
    <n v="36"/>
    <n v="1"/>
    <n v="0"/>
    <n v="2"/>
    <n v="3"/>
    <n v="4"/>
    <n v="0"/>
    <n v="23"/>
    <n v="5"/>
    <n v="2"/>
    <n v="4"/>
    <n v="5403"/>
    <n v="1854"/>
    <n v="3549"/>
    <n v="0.71199999999999997"/>
    <n v="4382"/>
    <n v="74"/>
    <n v="0.54200000000000004"/>
    <n v="0.34300000000000003"/>
    <n v="2.8024000000000001E-4"/>
    <n v="0.99972000000000005"/>
    <n v="9.2825473840784696"/>
    <s v="33.52359969395714"/>
    <s v="20.57274855588223"/>
    <s v="8.725700007219414"/>
    <n v="770975133"/>
    <x v="0"/>
    <n v="3.2914013999999999E-4"/>
    <x v="0"/>
  </r>
  <r>
    <n v="39"/>
    <n v="0"/>
    <n v="2"/>
    <n v="2"/>
    <n v="1"/>
    <n v="4"/>
    <n v="0"/>
    <n v="26"/>
    <n v="3"/>
    <n v="1"/>
    <n v="2"/>
    <n v="4531"/>
    <n v="1214"/>
    <n v="3317"/>
    <n v="0.81299999999999994"/>
    <n v="1414"/>
    <n v="40"/>
    <n v="0.33300000000000002"/>
    <n v="0.26800000000000002"/>
    <s v="5.5077e-05"/>
    <n v="0.99994000000000005"/>
    <s v="28.76396879229528"/>
    <s v="31.69004077929248"/>
    <s v="3.862170223555299"/>
    <s v="4.664987910577908"/>
    <n v="717728808"/>
    <x v="0"/>
    <n v="1.232702E-3"/>
    <x v="0"/>
  </r>
  <r>
    <n v="50"/>
    <n v="0"/>
    <n v="3"/>
    <n v="5"/>
    <n v="1"/>
    <n v="4"/>
    <n v="0"/>
    <n v="44"/>
    <n v="2"/>
    <n v="2"/>
    <n v="1"/>
    <n v="1596"/>
    <n v="1185"/>
    <n v="411"/>
    <n v="0.68700000000000006"/>
    <n v="5235"/>
    <n v="76"/>
    <n v="1"/>
    <n v="0.74199999999999999"/>
    <s v="7.3235e-05"/>
    <n v="0.99992999999999999"/>
    <s v="46.01805868913705"/>
    <s v="64.15008038857472"/>
    <s v="80.90438808905785"/>
    <s v="0.5033933279753402"/>
    <n v="793428408"/>
    <x v="0"/>
    <n v="3.2101269999999999E-4"/>
    <x v="0"/>
  </r>
  <r>
    <n v="45"/>
    <n v="0"/>
    <n v="0"/>
    <n v="1"/>
    <n v="1"/>
    <n v="1"/>
    <n v="3"/>
    <n v="36"/>
    <n v="1"/>
    <n v="1"/>
    <n v="3"/>
    <n v="19107"/>
    <n v="933"/>
    <n v="18174"/>
    <n v="0.88"/>
    <n v="8987"/>
    <n v="89"/>
    <n v="0.56100000000000005"/>
    <n v="4.9000000000000002E-2"/>
    <n v="1.0394E-4"/>
    <n v="0.99990000000000001"/>
    <s v="31.18230146224464"/>
    <n v="6.6739476199594194E-2"/>
    <s v="24.25279191240308"/>
    <s v="5.205337834349004"/>
    <n v="713460258"/>
    <x v="0"/>
    <n v="5.1783560000000001E-4"/>
    <x v="0"/>
  </r>
  <r>
    <n v="32"/>
    <n v="0"/>
    <n v="0"/>
    <n v="2"/>
    <n v="1"/>
    <n v="4"/>
    <n v="0"/>
    <n v="19"/>
    <n v="6"/>
    <n v="1"/>
    <n v="0"/>
    <n v="2834"/>
    <n v="1418"/>
    <n v="1416"/>
    <n v="1.458"/>
    <n v="1598"/>
    <n v="39"/>
    <n v="0.77300000000000002"/>
    <n v="0.5"/>
    <s v="1.7434e-05"/>
    <n v="0.99997999999999998"/>
    <s v="43.979878551461546"/>
    <s v="39.898497135195925"/>
    <s v="132.26946312371922"/>
    <s v="11.925408841213557"/>
    <n v="708098133"/>
    <x v="0"/>
    <n v="1.0337284E-3"/>
    <x v="0"/>
  </r>
  <r>
    <n v="53"/>
    <n v="0"/>
    <n v="2"/>
    <n v="3"/>
    <n v="2"/>
    <n v="4"/>
    <n v="0"/>
    <n v="36"/>
    <n v="2"/>
    <n v="2"/>
    <n v="3"/>
    <n v="1874"/>
    <n v="994"/>
    <n v="880"/>
    <n v="0.71299999999999997"/>
    <n v="4194"/>
    <n v="78"/>
    <n v="0.85699999999999998"/>
    <n v="0.53"/>
    <n v="1.861E-4"/>
    <n v="0.99980999999999998"/>
    <s v="41.30684205381343"/>
    <s v="26.534953189037797"/>
    <s v="43.02017899223628"/>
    <s v="6.152903602883427"/>
    <n v="715361433"/>
    <x v="0"/>
    <n v="3.2101269999999999E-4"/>
    <x v="0"/>
  </r>
  <r>
    <n v="45"/>
    <n v="1"/>
    <n v="5"/>
    <n v="2"/>
    <n v="1"/>
    <n v="3"/>
    <n v="0"/>
    <n v="40"/>
    <n v="1"/>
    <n v="2"/>
    <n v="0"/>
    <n v="29227"/>
    <n v="1151"/>
    <n v="28076"/>
    <n v="0.73"/>
    <n v="8420"/>
    <n v="100"/>
    <n v="0.85199999999999998"/>
    <n v="3.9E-2"/>
    <s v="4.3347e-05"/>
    <n v="0.99995999999999996"/>
    <s v="40.74521606422801"/>
    <s v="8.025344306142564"/>
    <s v="11.409592209501756"/>
    <s v="30.20620200727097"/>
    <n v="808287408"/>
    <x v="0"/>
    <n v="4.1022256E-4"/>
    <x v="0"/>
  </r>
  <r>
    <n v="63"/>
    <n v="1"/>
    <n v="1"/>
    <n v="3"/>
    <n v="2"/>
    <n v="2"/>
    <n v="0"/>
    <n v="54"/>
    <n v="2"/>
    <n v="3"/>
    <n v="3"/>
    <n v="23355"/>
    <n v="1061"/>
    <n v="22294"/>
    <n v="0.86399999999999999"/>
    <n v="8634"/>
    <n v="95"/>
    <n v="0.9"/>
    <n v="4.4999999999999998E-2"/>
    <n v="2.7604000000000002E-4"/>
    <n v="0.99972000000000005"/>
    <s v="20.156515451564665"/>
    <s v="19.051958842533622"/>
    <s v="26.07313050171862"/>
    <s v="10.759715848421433"/>
    <n v="710213508"/>
    <x v="0"/>
    <n v="4.1022256E-4"/>
    <x v="0"/>
  </r>
  <r>
    <n v="39"/>
    <n v="0"/>
    <n v="4"/>
    <n v="2"/>
    <n v="2"/>
    <n v="1"/>
    <n v="0"/>
    <n v="25"/>
    <n v="2"/>
    <n v="3"/>
    <n v="3"/>
    <n v="3394"/>
    <n v="2517"/>
    <n v="877"/>
    <n v="0.68899999999999995"/>
    <n v="5421"/>
    <n v="75"/>
    <n v="0.82899999999999996"/>
    <n v="0.74199999999999999"/>
    <n v="3.1725999999999998E-4"/>
    <n v="0.99968000000000001"/>
    <s v="17.116793987302188"/>
    <s v="2.7021855633433414"/>
    <s v="30.74208006697498"/>
    <s v="1.676710559820842"/>
    <n v="720258183"/>
    <x v="0"/>
    <n v="5.2103179999999998E-4"/>
    <x v="0"/>
  </r>
  <r>
    <n v="47"/>
    <n v="1"/>
    <n v="4"/>
    <n v="2"/>
    <n v="1"/>
    <n v="3"/>
    <n v="0"/>
    <n v="36"/>
    <n v="3"/>
    <n v="2"/>
    <n v="4"/>
    <n v="11242"/>
    <n v="1561"/>
    <n v="9681"/>
    <n v="0.82899999999999996"/>
    <n v="4246"/>
    <n v="81"/>
    <n v="0.8"/>
    <n v="0.13900000000000001"/>
    <n v="3.4247999999999999E-4"/>
    <n v="0.99965999999999999"/>
    <s v="45.87172738801047"/>
    <s v="13.141641387834923"/>
    <s v="1.5828001871244703"/>
    <s v="8.754312122464816"/>
    <n v="708225483"/>
    <x v="0"/>
    <n v="3.2101269999999999E-4"/>
    <x v="0"/>
  </r>
  <r>
    <n v="46"/>
    <n v="0"/>
    <n v="2"/>
    <n v="5"/>
    <n v="3"/>
    <n v="1"/>
    <n v="0"/>
    <n v="35"/>
    <n v="6"/>
    <n v="2"/>
    <n v="1"/>
    <n v="6145"/>
    <n v="1349"/>
    <n v="4796"/>
    <n v="0.97099999999999997"/>
    <n v="4893"/>
    <n v="93"/>
    <n v="0.82399999999999995"/>
    <n v="0.22"/>
    <s v="7.0576e-05"/>
    <n v="0.99992999999999999"/>
    <s v="36.59914848498351"/>
    <n v="9.6405049521608799"/>
    <s v="54.80243204120359"/>
    <s v="2.1545271651335094"/>
    <n v="772172883"/>
    <x v="0"/>
    <n v="3.3750932000000002E-4"/>
    <x v="0"/>
  </r>
  <r>
    <n v="43"/>
    <n v="1"/>
    <n v="4"/>
    <n v="6"/>
    <n v="1"/>
    <n v="1"/>
    <n v="0"/>
    <n v="36"/>
    <n v="5"/>
    <n v="3"/>
    <n v="0"/>
    <n v="8129"/>
    <n v="1799"/>
    <n v="6330"/>
    <n v="0.56599999999999995"/>
    <n v="1402"/>
    <n v="33"/>
    <n v="0.73699999999999999"/>
    <n v="0.221"/>
    <s v="7.6492e-05"/>
    <n v="0.99992000000000003"/>
    <s v="1.553483787177639"/>
    <n v="60.149989354140097"/>
    <s v="38.27475768890787"/>
    <s v="11.970493926482083"/>
    <n v="708666258"/>
    <x v="0"/>
    <n v="1.0337284E-3"/>
    <x v="0"/>
  </r>
  <r>
    <n v="47"/>
    <n v="0"/>
    <n v="4"/>
    <n v="4"/>
    <n v="3"/>
    <n v="1"/>
    <n v="0"/>
    <n v="36"/>
    <n v="6"/>
    <n v="2"/>
    <n v="3"/>
    <n v="2216"/>
    <n v="1800"/>
    <n v="416"/>
    <n v="0.751"/>
    <n v="4711"/>
    <n v="83"/>
    <n v="0.69399999999999995"/>
    <n v="0.81200000000000006"/>
    <n v="2.3623000000000001E-4"/>
    <n v="0.99975999999999998"/>
    <s v="1.022235676733882"/>
    <s v="39.77832842375061"/>
    <s v="57.52091434741767"/>
    <s v="16.072622667552306"/>
    <n v="714965958"/>
    <x v="0"/>
    <n v="3.2101269999999999E-4"/>
    <x v="0"/>
  </r>
  <r>
    <n v="42"/>
    <n v="0"/>
    <n v="3"/>
    <n v="6"/>
    <n v="1"/>
    <n v="5"/>
    <n v="0"/>
    <n v="31"/>
    <n v="3"/>
    <n v="1"/>
    <n v="4"/>
    <n v="7762"/>
    <n v="1319"/>
    <n v="6443"/>
    <n v="0.79300000000000004"/>
    <n v="5153"/>
    <n v="77"/>
    <n v="0.75"/>
    <n v="0.17"/>
    <n v="1.8024999999999999E-4"/>
    <n v="0.99982000000000004"/>
    <s v="45.708870753924415"/>
    <s v="41.25260956719755"/>
    <s v="111.96547544145784"/>
    <s v="0.4842272605544995"/>
    <n v="718775808"/>
    <x v="0"/>
    <n v="3.2101269999999999E-4"/>
    <x v="0"/>
  </r>
  <r>
    <n v="49"/>
    <n v="1"/>
    <n v="2"/>
    <n v="3"/>
    <n v="0"/>
    <n v="1"/>
    <n v="0"/>
    <n v="36"/>
    <n v="2"/>
    <n v="1"/>
    <n v="1"/>
    <n v="3308"/>
    <n v="2150"/>
    <n v="1158"/>
    <n v="0.879"/>
    <n v="15019"/>
    <n v="101"/>
    <n v="0.65600000000000003"/>
    <n v="0.65"/>
    <s v="3.2288e-05"/>
    <n v="0.99997000000000003"/>
    <s v="27.937708989455853"/>
    <s v="17.457829341695923"/>
    <s v="58.98762901460873"/>
    <s v="1.0726094281161795"/>
    <n v="712718958"/>
    <x v="0"/>
    <n v="3.4656386999999997E-4"/>
    <x v="0"/>
  </r>
  <r>
    <n v="41"/>
    <n v="1"/>
    <n v="4"/>
    <n v="2"/>
    <n v="2"/>
    <n v="3"/>
    <n v="0"/>
    <n v="33"/>
    <n v="1"/>
    <n v="1"/>
    <n v="3"/>
    <n v="31560"/>
    <n v="1298"/>
    <n v="30262"/>
    <n v="0.68100000000000005"/>
    <n v="7641"/>
    <n v="93"/>
    <n v="0.63200000000000001"/>
    <n v="4.1000000000000002E-2"/>
    <s v="9.7154e-05"/>
    <n v="0.99990000000000001"/>
    <s v="5.991198912839743"/>
    <s v="35.90382667824787"/>
    <s v="24.278518536308724"/>
    <s v="1.0941150468777416"/>
    <n v="711136008"/>
    <x v="0"/>
    <n v="4.2060707000000003E-4"/>
    <x v="0"/>
  </r>
  <r>
    <n v="47"/>
    <n v="1"/>
    <n v="2"/>
    <n v="2"/>
    <n v="0"/>
    <n v="2"/>
    <n v="0"/>
    <n v="29"/>
    <n v="5"/>
    <n v="2"/>
    <n v="3"/>
    <n v="4786"/>
    <n v="1553"/>
    <n v="3233"/>
    <n v="0.61"/>
    <n v="5039"/>
    <n v="76"/>
    <n v="0.81"/>
    <n v="0.32400000000000001"/>
    <n v="1.9143E-4"/>
    <n v="0.99980999999999998"/>
    <n v="10.117092950494399"/>
    <s v="22.83533497535064"/>
    <s v="120.92896171663511"/>
    <s v="18.75439766388957"/>
    <n v="713546883"/>
    <x v="0"/>
    <n v="3.2101269999999999E-4"/>
    <x v="0"/>
  </r>
  <r>
    <n v="48"/>
    <n v="1"/>
    <n v="3"/>
    <n v="1"/>
    <n v="0"/>
    <n v="3"/>
    <n v="0"/>
    <n v="33"/>
    <n v="4"/>
    <n v="1"/>
    <n v="2"/>
    <n v="10292"/>
    <n v="0"/>
    <n v="10292"/>
    <n v="0.65600000000000003"/>
    <n v="15148"/>
    <n v="111"/>
    <n v="0.79"/>
    <n v="0"/>
    <s v="8.2704e-05"/>
    <n v="0.99992000000000003"/>
    <s v="15.08059415363485"/>
    <n v="16.141733071234601"/>
    <s v="43.938885395764096"/>
    <s v="15.208143998728218"/>
    <n v="780097533"/>
    <x v="0"/>
    <n v="7.5047980000000002E-4"/>
    <x v="0"/>
  </r>
  <r>
    <n v="57"/>
    <n v="1"/>
    <n v="2"/>
    <n v="2"/>
    <n v="1"/>
    <n v="0"/>
    <n v="0"/>
    <n v="49"/>
    <n v="6"/>
    <n v="3"/>
    <n v="1"/>
    <n v="4698"/>
    <n v="984"/>
    <n v="3714"/>
    <n v="0.373"/>
    <n v="1865"/>
    <n v="35"/>
    <n v="0.45800000000000002"/>
    <n v="0.20899999999999999"/>
    <n v="1.0848E-4"/>
    <n v="0.99988999999999995"/>
    <s v="15.732637736429144"/>
    <s v="2.1654930305990394"/>
    <s v="45.88318275265168"/>
    <s v="15.150954019576035"/>
    <n v="709096908"/>
    <x v="0"/>
    <n v="1.3565749E-3"/>
    <x v="0"/>
  </r>
  <r>
    <n v="40"/>
    <n v="0"/>
    <n v="3"/>
    <n v="2"/>
    <n v="2"/>
    <n v="4"/>
    <n v="0"/>
    <n v="33"/>
    <n v="3"/>
    <n v="1"/>
    <n v="1"/>
    <n v="2628"/>
    <n v="1771"/>
    <n v="857"/>
    <n v="0.78800000000000003"/>
    <n v="4316"/>
    <n v="72"/>
    <n v="0.6"/>
    <n v="0.67400000000000004"/>
    <s v="3.4465e-05"/>
    <n v="0.99997000000000003"/>
    <s v="24.317413290074263"/>
    <s v="35.39743779870476"/>
    <s v="54.38086256165403"/>
    <n v="0.66548989775934897"/>
    <n v="712999008"/>
    <x v="0"/>
    <n v="3.2914013999999999E-4"/>
    <x v="0"/>
  </r>
  <r>
    <n v="56"/>
    <n v="1"/>
    <n v="1"/>
    <n v="2"/>
    <n v="1"/>
    <n v="2"/>
    <n v="0"/>
    <n v="36"/>
    <n v="3"/>
    <n v="2"/>
    <n v="3"/>
    <n v="15124"/>
    <n v="1974"/>
    <n v="13150"/>
    <n v="0.82599999999999996"/>
    <n v="1850"/>
    <n v="44"/>
    <n v="0.57099999999999995"/>
    <n v="0.13100000000000001"/>
    <n v="1.7969000000000001E-4"/>
    <n v="0.99982000000000004"/>
    <n v="31.6917312044068"/>
    <s v="29.144937997511214"/>
    <s v="57.490903838388206"/>
    <s v="2.678994609818558"/>
    <n v="714985458"/>
    <x v="0"/>
    <n v="1.0903810999999999E-3"/>
    <x v="0"/>
  </r>
  <r>
    <n v="43"/>
    <n v="1"/>
    <n v="3"/>
    <n v="6"/>
    <n v="1"/>
    <n v="0"/>
    <n v="3"/>
    <n v="33"/>
    <n v="5"/>
    <n v="2"/>
    <n v="3"/>
    <n v="34516"/>
    <n v="1844"/>
    <n v="32672"/>
    <n v="1.0509999999999999"/>
    <n v="4217"/>
    <n v="79"/>
    <n v="0.79500000000000004"/>
    <n v="5.2999999999999999E-2"/>
    <n v="1.9729E-4"/>
    <n v="0.99980000000000002"/>
    <s v="19.621227802970168"/>
    <s v="13.56078161927438"/>
    <s v="3.713006622287611"/>
    <s v="9.634874235275827"/>
    <n v="713617608"/>
    <x v="0"/>
    <n v="3.756586E-4"/>
    <x v="0"/>
  </r>
  <r>
    <n v="47"/>
    <n v="1"/>
    <n v="4"/>
    <n v="5"/>
    <n v="3"/>
    <n v="5"/>
    <n v="0"/>
    <n v="36"/>
    <n v="3"/>
    <n v="3"/>
    <n v="3"/>
    <n v="18873"/>
    <n v="0"/>
    <n v="18873"/>
    <n v="0.63600000000000001"/>
    <n v="2021"/>
    <n v="38"/>
    <n v="0.52"/>
    <n v="0"/>
    <n v="0.99694000000000005"/>
    <n v="3.0552299999999999E-3"/>
    <s v="33.254637811125846"/>
    <s v="15.879895085990777"/>
    <s v="53.20896131457548"/>
    <s v="11.43462594108801"/>
    <n v="711275433"/>
    <x v="1"/>
    <n v="0.99876772999999996"/>
    <x v="1"/>
  </r>
  <r>
    <n v="40"/>
    <n v="0"/>
    <n v="5"/>
    <n v="2"/>
    <n v="1"/>
    <n v="5"/>
    <n v="3"/>
    <n v="24"/>
    <n v="2"/>
    <n v="1"/>
    <n v="2"/>
    <n v="33441"/>
    <n v="686"/>
    <n v="32755"/>
    <n v="0.76100000000000001"/>
    <n v="8452"/>
    <n v="83"/>
    <n v="0.50900000000000001"/>
    <n v="2.1000000000000001E-2"/>
    <s v="5.1378e-05"/>
    <n v="0.99995000000000001"/>
    <s v="54.66462499257853"/>
    <s v="21.826722639664016"/>
    <s v="13.033051993302818"/>
    <n v="4.8843788725962997E-2"/>
    <n v="788240358"/>
    <x v="0"/>
    <n v="7.1389230000000004E-4"/>
    <x v="0"/>
  </r>
  <r>
    <n v="52"/>
    <n v="1"/>
    <n v="3"/>
    <n v="0"/>
    <n v="1"/>
    <n v="3"/>
    <n v="0"/>
    <n v="33"/>
    <n v="3"/>
    <n v="3"/>
    <n v="4"/>
    <n v="27751"/>
    <n v="1018"/>
    <n v="26733"/>
    <n v="0.42599999999999999"/>
    <n v="1427"/>
    <n v="25"/>
    <n v="0.66700000000000004"/>
    <n v="3.6999999999999998E-2"/>
    <n v="5.2057000000000004E-4"/>
    <n v="0.99948000000000004"/>
    <s v="2.555922288570172"/>
    <n v="49.0639943802815"/>
    <s v="5.323280737925994"/>
    <s v="7.383139022131156"/>
    <n v="778908783"/>
    <x v="0"/>
    <n v="1.1835846999999999E-3"/>
    <x v="0"/>
  </r>
  <r>
    <n v="54"/>
    <n v="1"/>
    <n v="1"/>
    <n v="2"/>
    <n v="3"/>
    <n v="2"/>
    <n v="0"/>
    <n v="43"/>
    <n v="4"/>
    <n v="2"/>
    <n v="3"/>
    <n v="2910"/>
    <n v="2030"/>
    <n v="880"/>
    <n v="0.76900000000000002"/>
    <n v="1256"/>
    <n v="21"/>
    <n v="0.4"/>
    <n v="0.69799999999999995"/>
    <n v="1.7969000000000001E-4"/>
    <n v="0.99982000000000004"/>
    <n v="26.8412295703111"/>
    <s v="30.594918344515637"/>
    <s v="4.756986613055817"/>
    <s v="27.78576123249132"/>
    <n v="719580033"/>
    <x v="0"/>
    <n v="1.1982243E-3"/>
    <x v="0"/>
  </r>
  <r>
    <n v="44"/>
    <n v="0"/>
    <n v="4"/>
    <n v="5"/>
    <n v="2"/>
    <n v="5"/>
    <n v="0"/>
    <n v="24"/>
    <n v="6"/>
    <n v="3"/>
    <n v="2"/>
    <n v="2717"/>
    <n v="1720"/>
    <n v="997"/>
    <n v="0.86899999999999999"/>
    <n v="4196"/>
    <n v="71"/>
    <n v="0.61399999999999999"/>
    <n v="0.63300000000000001"/>
    <n v="1.9395999999999999E-4"/>
    <n v="0.99980999999999998"/>
    <s v="6.6902260656304655"/>
    <n v="3.1487877783418798"/>
    <s v="65.69078086404902"/>
    <s v="6.832090622803352"/>
    <n v="712013808"/>
    <x v="0"/>
    <n v="3.2914013999999999E-4"/>
    <x v="0"/>
  </r>
  <r>
    <n v="39"/>
    <n v="1"/>
    <n v="2"/>
    <n v="3"/>
    <n v="2"/>
    <n v="2"/>
    <n v="0"/>
    <n v="34"/>
    <n v="3"/>
    <n v="4"/>
    <n v="3"/>
    <n v="1818"/>
    <n v="0"/>
    <n v="1818"/>
    <n v="0.65100000000000002"/>
    <n v="2054"/>
    <n v="55"/>
    <n v="0.77400000000000002"/>
    <n v="0"/>
    <n v="0.99719999999999998"/>
    <n v="2.80488E-3"/>
    <s v="5.719506497078148"/>
    <s v="28.43073767098242"/>
    <s v="18.198674880997505"/>
    <s v="14.942308005154782"/>
    <n v="808273533"/>
    <x v="1"/>
    <n v="0.99648680000000001"/>
    <x v="1"/>
  </r>
  <r>
    <n v="43"/>
    <n v="0"/>
    <n v="3"/>
    <n v="6"/>
    <n v="1"/>
    <n v="5"/>
    <n v="0"/>
    <n v="36"/>
    <n v="4"/>
    <n v="2"/>
    <n v="1"/>
    <n v="6971"/>
    <n v="1506"/>
    <n v="5465"/>
    <n v="0.56999999999999995"/>
    <n v="3575"/>
    <n v="67"/>
    <n v="0.67500000000000004"/>
    <n v="0.216"/>
    <s v="7.8291e-05"/>
    <n v="0.99992000000000003"/>
    <n v="77.185753883414606"/>
    <s v="92.31708690243838"/>
    <s v="129.61869922324053"/>
    <s v="7.748288636626944"/>
    <n v="715322958"/>
    <x v="0"/>
    <n v="3.2101269999999999E-4"/>
    <x v="0"/>
  </r>
  <r>
    <n v="36"/>
    <n v="1"/>
    <n v="2"/>
    <n v="0"/>
    <n v="3"/>
    <n v="3"/>
    <n v="0"/>
    <n v="22"/>
    <n v="2"/>
    <n v="2"/>
    <n v="3"/>
    <n v="34516"/>
    <n v="1652"/>
    <n v="32864"/>
    <n v="0.85399999999999998"/>
    <n v="1283"/>
    <n v="39"/>
    <n v="1.294"/>
    <n v="4.8000000000000001E-2"/>
    <n v="1.8611999999999999E-4"/>
    <n v="0.99980999999999998"/>
    <s v="3.643646046679647"/>
    <s v="28.142567375535084"/>
    <s v="59.90569370827698"/>
    <s v="14.974038630019828"/>
    <n v="788950158"/>
    <x v="0"/>
    <n v="1.3667255E-3"/>
    <x v="0"/>
  </r>
  <r>
    <n v="55"/>
    <n v="1"/>
    <n v="1"/>
    <n v="2"/>
    <n v="1"/>
    <n v="2"/>
    <n v="0"/>
    <n v="36"/>
    <n v="4"/>
    <n v="2"/>
    <n v="3"/>
    <n v="4666"/>
    <n v="1275"/>
    <n v="3391"/>
    <n v="0.39700000000000002"/>
    <n v="1281"/>
    <n v="28"/>
    <n v="0.75"/>
    <n v="0.27300000000000002"/>
    <n v="1.7969000000000001E-4"/>
    <n v="0.99982000000000004"/>
    <s v="15.31125525189001"/>
    <s v="67.14575816340317"/>
    <s v="47.90542110150507"/>
    <s v="10.304417506255884"/>
    <n v="712727283"/>
    <x v="0"/>
    <n v="1.0337284E-3"/>
    <x v="0"/>
  </r>
  <r>
    <n v="51"/>
    <n v="1"/>
    <n v="0"/>
    <n v="6"/>
    <n v="1"/>
    <n v="2"/>
    <n v="0"/>
    <n v="43"/>
    <n v="4"/>
    <n v="1"/>
    <n v="2"/>
    <n v="3797"/>
    <n v="1202"/>
    <n v="2595"/>
    <n v="0.69499999999999995"/>
    <n v="4191"/>
    <n v="65"/>
    <n v="0.75700000000000001"/>
    <n v="0.317"/>
    <s v="5.1951e-05"/>
    <n v="0.99995000000000001"/>
    <s v="27.198386270381377"/>
    <s v="50.91540639422245"/>
    <s v="39.79674827311344"/>
    <s v="23.39339878611248"/>
    <n v="773140683"/>
    <x v="0"/>
    <n v="3.2890364000000001E-4"/>
    <x v="0"/>
  </r>
  <r>
    <n v="49"/>
    <n v="0"/>
    <n v="3"/>
    <n v="6"/>
    <n v="1"/>
    <n v="4"/>
    <n v="0"/>
    <n v="36"/>
    <n v="1"/>
    <n v="1"/>
    <n v="3"/>
    <n v="3767"/>
    <n v="1106"/>
    <n v="2661"/>
    <n v="0.94399999999999995"/>
    <n v="15578"/>
    <n v="126"/>
    <n v="0.82599999999999996"/>
    <n v="0.29399999999999998"/>
    <n v="1.0566E-4"/>
    <n v="0.99988999999999995"/>
    <s v="3.624477318143041"/>
    <s v="20.66645232250013"/>
    <s v="36.706298498093545"/>
    <s v="20.084061773270253"/>
    <n v="721264533"/>
    <x v="0"/>
    <n v="3.4777042999999998E-4"/>
    <x v="0"/>
  </r>
  <r>
    <n v="63"/>
    <n v="1"/>
    <n v="1"/>
    <n v="5"/>
    <n v="2"/>
    <n v="4"/>
    <n v="0"/>
    <n v="56"/>
    <n v="3"/>
    <n v="1"/>
    <n v="2"/>
    <n v="6973"/>
    <n v="2517"/>
    <n v="4456"/>
    <n v="0.78100000000000003"/>
    <n v="4877"/>
    <n v="88"/>
    <n v="0.69199999999999995"/>
    <n v="0.36099999999999999"/>
    <s v="5.3155e-05"/>
    <n v="0.99995000000000001"/>
    <n v="5.6587734503682698"/>
    <s v="39.30432556459052"/>
    <s v="87.35343154268276"/>
    <s v="12.188441635346324"/>
    <n v="709250508"/>
    <x v="0"/>
    <n v="3.4692350000000002E-4"/>
    <x v="0"/>
  </r>
  <r>
    <n v="37"/>
    <n v="1"/>
    <n v="3"/>
    <n v="5"/>
    <n v="1"/>
    <n v="3"/>
    <n v="0"/>
    <n v="31"/>
    <n v="4"/>
    <n v="2"/>
    <n v="2"/>
    <n v="3797"/>
    <n v="1425"/>
    <n v="2372"/>
    <n v="1.5049999999999999"/>
    <n v="2555"/>
    <n v="44"/>
    <n v="0.83299999999999996"/>
    <n v="0.375"/>
    <n v="1.2144E-4"/>
    <n v="0.99987999999999999"/>
    <s v="23.45879059670376"/>
    <s v="37.58652007940604"/>
    <s v="16.609380952750037"/>
    <s v="12.613567010724775"/>
    <n v="798120858"/>
    <x v="0"/>
    <n v="1.0481173E-3"/>
    <x v="0"/>
  </r>
  <r>
    <n v="41"/>
    <n v="1"/>
    <n v="4"/>
    <n v="2"/>
    <n v="1"/>
    <n v="3"/>
    <n v="0"/>
    <n v="27"/>
    <n v="4"/>
    <n v="2"/>
    <n v="4"/>
    <n v="12270"/>
    <n v="0"/>
    <n v="12270"/>
    <n v="0.54300000000000004"/>
    <n v="4578"/>
    <n v="67"/>
    <n v="0.81100000000000005"/>
    <n v="0"/>
    <n v="3.4247999999999999E-4"/>
    <n v="0.99965999999999999"/>
    <n v="39.506785304954498"/>
    <s v="68.62940300385549"/>
    <s v="98.52881566391918"/>
    <s v="4.072423638161869"/>
    <n v="721189008"/>
    <x v="0"/>
    <n v="7.4965424999999997E-4"/>
    <x v="0"/>
  </r>
  <r>
    <n v="39"/>
    <n v="0"/>
    <n v="1"/>
    <n v="2"/>
    <n v="2"/>
    <n v="4"/>
    <n v="0"/>
    <n v="31"/>
    <n v="5"/>
    <n v="2"/>
    <n v="1"/>
    <n v="3390"/>
    <n v="2222"/>
    <n v="1168"/>
    <n v="0.76800000000000002"/>
    <n v="5001"/>
    <n v="82"/>
    <n v="0.82199999999999995"/>
    <n v="0.65500000000000003"/>
    <s v="6.4428e-05"/>
    <n v="0.99994000000000005"/>
    <s v="25.17924247906241"/>
    <s v="28.05780601451979"/>
    <n v="9.4016960133629492"/>
    <s v="16.073458129863806"/>
    <n v="720553158"/>
    <x v="0"/>
    <n v="3.2101269999999999E-4"/>
    <x v="0"/>
  </r>
  <r>
    <n v="42"/>
    <n v="1"/>
    <n v="4"/>
    <n v="2"/>
    <n v="2"/>
    <n v="3"/>
    <n v="0"/>
    <n v="33"/>
    <n v="4"/>
    <n v="2"/>
    <n v="2"/>
    <n v="32535"/>
    <n v="0"/>
    <n v="32535"/>
    <n v="0.79200000000000004"/>
    <n v="4374"/>
    <n v="79"/>
    <n v="0.79500000000000004"/>
    <n v="0"/>
    <n v="1.1937E-4"/>
    <n v="0.99987999999999999"/>
    <s v="56.67147196025571"/>
    <s v="9.549631844133108"/>
    <s v="11.19667021476002"/>
    <s v="14.757623681232634"/>
    <n v="713227233"/>
    <x v="0"/>
    <n v="6.9517245999999998E-4"/>
    <x v="0"/>
  </r>
  <r>
    <n v="45"/>
    <n v="0"/>
    <n v="3"/>
    <n v="3"/>
    <n v="1"/>
    <n v="1"/>
    <n v="0"/>
    <n v="37"/>
    <n v="4"/>
    <n v="2"/>
    <n v="4"/>
    <n v="3304"/>
    <n v="0"/>
    <n v="3304"/>
    <n v="0.53200000000000003"/>
    <n v="1731"/>
    <n v="32"/>
    <n v="0.28000000000000003"/>
    <n v="0"/>
    <n v="0.99697000000000002"/>
    <n v="3.0254600000000002E-3"/>
    <s v="9.436347512026074"/>
    <s v="30.683827259563103"/>
    <s v="166.95853821761824"/>
    <s v="1.6091799256864692"/>
    <n v="717172308"/>
    <x v="1"/>
    <n v="0.99815830000000005"/>
    <x v="1"/>
  </r>
  <r>
    <n v="47"/>
    <n v="1"/>
    <n v="2"/>
    <n v="2"/>
    <n v="1"/>
    <n v="1"/>
    <n v="0"/>
    <n v="42"/>
    <n v="6"/>
    <n v="3"/>
    <n v="3"/>
    <n v="4738"/>
    <n v="0"/>
    <n v="4738"/>
    <n v="0.64100000000000001"/>
    <n v="1900"/>
    <n v="36"/>
    <n v="0.5"/>
    <n v="0"/>
    <n v="0.99670999999999998"/>
    <n v="3.29379E-3"/>
    <s v="17.649623191965517"/>
    <s v="18.835608609310448"/>
    <s v="68.25507915882717"/>
    <s v="1.7793085692313917"/>
    <n v="713796033"/>
    <x v="1"/>
    <n v="0.99866544999999995"/>
    <x v="1"/>
  </r>
  <r>
    <n v="39"/>
    <n v="1"/>
    <n v="1"/>
    <n v="5"/>
    <n v="1"/>
    <n v="4"/>
    <n v="0"/>
    <n v="28"/>
    <n v="3"/>
    <n v="3"/>
    <n v="4"/>
    <n v="4683"/>
    <n v="2514"/>
    <n v="2169"/>
    <n v="0.57999999999999996"/>
    <n v="2010"/>
    <n v="45"/>
    <n v="0.73099999999999998"/>
    <n v="0.53700000000000003"/>
    <n v="4.9799999999999996E-4"/>
    <n v="0.99950000000000006"/>
    <n v="8.6779359254928394"/>
    <s v="4.554570910004562"/>
    <s v="17.976986557115772"/>
    <s v="22.81729984666124"/>
    <n v="709012083"/>
    <x v="0"/>
    <n v="1.2239674E-3"/>
    <x v="0"/>
  </r>
  <r>
    <n v="43"/>
    <n v="1"/>
    <n v="3"/>
    <n v="3"/>
    <n v="2"/>
    <n v="0"/>
    <n v="0"/>
    <n v="36"/>
    <n v="3"/>
    <n v="1"/>
    <n v="3"/>
    <n v="34516"/>
    <n v="0"/>
    <n v="34516"/>
    <n v="0.85199999999999998"/>
    <n v="1996"/>
    <n v="48"/>
    <n v="0.54800000000000004"/>
    <n v="0"/>
    <s v="9.3448e-05"/>
    <n v="0.99990999999999997"/>
    <n v="8.527799996543E-4"/>
    <s v="69.44405455262911"/>
    <s v="87.57430059640997"/>
    <s v="5.851007573771441"/>
    <n v="714179658"/>
    <x v="0"/>
    <n v="4.9330885999999997E-3"/>
    <x v="0"/>
  </r>
  <r>
    <n v="42"/>
    <n v="1"/>
    <n v="3"/>
    <n v="2"/>
    <n v="2"/>
    <n v="2"/>
    <n v="0"/>
    <n v="31"/>
    <n v="3"/>
    <n v="3"/>
    <n v="4"/>
    <n v="2934"/>
    <n v="2517"/>
    <n v="417"/>
    <n v="0.86799999999999999"/>
    <n v="2484"/>
    <n v="55"/>
    <n v="0.77400000000000002"/>
    <n v="0.85799999999999998"/>
    <n v="5.3543000000000004E-4"/>
    <n v="0.99946000000000002"/>
    <s v="41.04455687685312"/>
    <s v="30.44485875283854"/>
    <n v="8.7278786156883594"/>
    <s v="5.465627591099028"/>
    <n v="779400183"/>
    <x v="0"/>
    <n v="6.6075246999999998E-4"/>
    <x v="0"/>
  </r>
  <r>
    <n v="42"/>
    <n v="0"/>
    <n v="3"/>
    <n v="3"/>
    <n v="2"/>
    <n v="4"/>
    <n v="3"/>
    <n v="31"/>
    <n v="5"/>
    <n v="2"/>
    <n v="3"/>
    <n v="13441"/>
    <n v="2517"/>
    <n v="10924"/>
    <n v="0.73399999999999999"/>
    <n v="1894"/>
    <n v="49"/>
    <n v="0.63300000000000001"/>
    <n v="0.187"/>
    <n v="1.7448999999999999E-4"/>
    <n v="0.99983"/>
    <s v="0.8419399776995969"/>
    <s v="0.1714419522486731"/>
    <s v="31.50293986201958"/>
    <s v="29.099737731880268"/>
    <n v="708714108"/>
    <x v="0"/>
    <n v="9.7742440000000009E-4"/>
    <x v="0"/>
  </r>
  <r>
    <n v="50"/>
    <n v="0"/>
    <n v="3"/>
    <n v="4"/>
    <n v="1"/>
    <n v="5"/>
    <n v="0"/>
    <n v="41"/>
    <n v="3"/>
    <n v="3"/>
    <n v="3"/>
    <n v="5471"/>
    <n v="1342"/>
    <n v="4129"/>
    <n v="0.57699999999999996"/>
    <n v="4002"/>
    <n v="67"/>
    <n v="0.76300000000000001"/>
    <n v="0.245"/>
    <n v="3.6935000000000001E-4"/>
    <n v="0.99963000000000002"/>
    <s v="12.65880512744534"/>
    <s v="94.83010469229087"/>
    <s v="35.431297253132335"/>
    <s v="13.782386850354122"/>
    <n v="721537683"/>
    <x v="0"/>
    <n v="3.2101269999999999E-4"/>
    <x v="0"/>
  </r>
  <r>
    <n v="58"/>
    <n v="1"/>
    <n v="1"/>
    <n v="2"/>
    <n v="2"/>
    <n v="0"/>
    <n v="0"/>
    <n v="36"/>
    <n v="2"/>
    <n v="3"/>
    <n v="4"/>
    <n v="28618"/>
    <n v="0"/>
    <n v="28618"/>
    <n v="0.68500000000000005"/>
    <n v="1712"/>
    <n v="41"/>
    <n v="0.41399999999999998"/>
    <n v="0"/>
    <n v="0.99794000000000005"/>
    <n v="2.05937E-3"/>
    <s v="8.489944935518588"/>
    <s v="38.99325653904478"/>
    <s v="16.67348483151584"/>
    <s v="13.805913649900027"/>
    <n v="718220358"/>
    <x v="1"/>
    <n v="0.99830662999999997"/>
    <x v="1"/>
  </r>
  <r>
    <n v="46"/>
    <n v="1"/>
    <n v="4"/>
    <n v="2"/>
    <n v="1"/>
    <n v="0"/>
    <n v="3"/>
    <n v="36"/>
    <n v="4"/>
    <n v="1"/>
    <n v="3"/>
    <n v="34516"/>
    <n v="1380"/>
    <n v="33136"/>
    <n v="0.66"/>
    <n v="2163"/>
    <n v="56"/>
    <n v="0.4"/>
    <n v="0.04"/>
    <s v="8.7785e-05"/>
    <n v="0.99990999999999997"/>
    <s v="2.150060423474412"/>
    <s v="10.621843153273948"/>
    <s v="5.059972089294622"/>
    <s v="1.540666443960176"/>
    <n v="714757908"/>
    <x v="0"/>
    <n v="7.0396010000000004E-4"/>
    <x v="0"/>
  </r>
  <r>
    <n v="27"/>
    <n v="1"/>
    <n v="0"/>
    <n v="6"/>
    <n v="2"/>
    <n v="1"/>
    <n v="0"/>
    <n v="17"/>
    <n v="5"/>
    <n v="1"/>
    <n v="2"/>
    <n v="4610"/>
    <n v="0"/>
    <n v="4610"/>
    <n v="0.79400000000000004"/>
    <n v="2280"/>
    <n v="49"/>
    <n v="0.4"/>
    <n v="0"/>
    <s v="5.1951e-05"/>
    <n v="0.99995000000000001"/>
    <s v="20.386468358018654"/>
    <s v="34.30454022231263"/>
    <s v="105.18355303049542"/>
    <s v="17.25332827525589"/>
    <n v="710872233"/>
    <x v="0"/>
    <n v="4.1681653999999999E-3"/>
    <x v="0"/>
  </r>
  <r>
    <n v="45"/>
    <n v="0"/>
    <n v="3"/>
    <n v="2"/>
    <n v="1"/>
    <n v="4"/>
    <n v="0"/>
    <n v="40"/>
    <n v="2"/>
    <n v="1"/>
    <n v="3"/>
    <n v="4010"/>
    <n v="2517"/>
    <n v="1493"/>
    <n v="0.71"/>
    <n v="14354"/>
    <n v="101"/>
    <n v="0.629"/>
    <n v="0.628"/>
    <s v="9.6126e-05"/>
    <n v="0.99990000000000001"/>
    <s v="10.769766294048564"/>
    <s v="5.123229896171199"/>
    <s v="106.03970440739398"/>
    <s v="13.826820280347192"/>
    <n v="805485933"/>
    <x v="0"/>
    <n v="3.8401617000000002E-4"/>
    <x v="0"/>
  </r>
  <r>
    <n v="56"/>
    <n v="1"/>
    <n v="1"/>
    <n v="5"/>
    <n v="1"/>
    <n v="3"/>
    <n v="0"/>
    <n v="36"/>
    <n v="6"/>
    <n v="1"/>
    <n v="1"/>
    <n v="9031"/>
    <n v="1535"/>
    <n v="7496"/>
    <n v="0.69"/>
    <n v="1602"/>
    <n v="35"/>
    <n v="0.59099999999999997"/>
    <n v="0.17"/>
    <s v="3.2055e-05"/>
    <n v="0.99997000000000003"/>
    <s v="84.58484145624818"/>
    <s v="20.189146078093778"/>
    <s v="58.94290106771429"/>
    <s v="13.335060936238657"/>
    <n v="715750758"/>
    <x v="0"/>
    <n v="1.0598798E-3"/>
    <x v="0"/>
  </r>
  <r>
    <n v="48"/>
    <n v="1"/>
    <n v="4"/>
    <n v="3"/>
    <n v="3"/>
    <n v="2"/>
    <n v="0"/>
    <n v="30"/>
    <n v="3"/>
    <n v="3"/>
    <n v="2"/>
    <n v="14670"/>
    <n v="1900"/>
    <n v="12770"/>
    <n v="0.80600000000000005"/>
    <n v="4221"/>
    <n v="83"/>
    <n v="0.76600000000000001"/>
    <n v="0.13"/>
    <n v="1.8338999999999999E-4"/>
    <n v="0.99982000000000004"/>
    <s v="29.890972535335663"/>
    <s v="23.661961110684388"/>
    <s v="74.29420774773997"/>
    <s v="18.354388101414926"/>
    <n v="773332908"/>
    <x v="0"/>
    <n v="3.2101269999999999E-4"/>
    <x v="0"/>
  </r>
  <r>
    <n v="47"/>
    <n v="0"/>
    <n v="3"/>
    <n v="2"/>
    <n v="2"/>
    <n v="4"/>
    <n v="3"/>
    <n v="40"/>
    <n v="1"/>
    <n v="2"/>
    <n v="2"/>
    <n v="11128"/>
    <n v="2517"/>
    <n v="8611"/>
    <n v="0.8"/>
    <n v="8526"/>
    <n v="93"/>
    <n v="0.66100000000000003"/>
    <n v="0.22600000000000001"/>
    <n v="1.0671999999999999E-4"/>
    <n v="0.99988999999999995"/>
    <s v="1.3235715567412445"/>
    <s v="5.716507270640356"/>
    <s v="78.46897334300307"/>
    <s v="13.366266676825628"/>
    <n v="740065833"/>
    <x v="0"/>
    <n v="3.9831083000000002E-4"/>
    <x v="0"/>
  </r>
  <r>
    <n v="63"/>
    <n v="1"/>
    <n v="1"/>
    <n v="2"/>
    <n v="3"/>
    <n v="4"/>
    <n v="0"/>
    <n v="52"/>
    <n v="6"/>
    <n v="3"/>
    <n v="3"/>
    <n v="1438.3"/>
    <n v="0"/>
    <n v="1438.3"/>
    <n v="0.85399999999999998"/>
    <n v="3913"/>
    <n v="78"/>
    <n v="0.5"/>
    <n v="0"/>
    <n v="2.8394999999999999E-4"/>
    <n v="0.99972000000000005"/>
    <s v="7.475032524340233"/>
    <s v="14.21562703915718"/>
    <s v="32.70750545236173"/>
    <n v="11.661474816614801"/>
    <n v="721011858"/>
    <x v="0"/>
    <n v="7.7293770000000004E-4"/>
    <x v="0"/>
  </r>
  <r>
    <n v="41"/>
    <n v="0"/>
    <n v="3"/>
    <n v="1"/>
    <n v="1"/>
    <n v="4"/>
    <n v="0"/>
    <n v="36"/>
    <n v="3"/>
    <n v="1"/>
    <n v="1"/>
    <n v="1956"/>
    <n v="1053"/>
    <n v="903"/>
    <n v="0.94099999999999995"/>
    <n v="4924"/>
    <n v="70"/>
    <n v="0.79500000000000004"/>
    <n v="0.53800000000000003"/>
    <s v="4.9875e-05"/>
    <n v="0.99995000000000001"/>
    <s v="19.686682900713528"/>
    <s v="3.9453517518154655"/>
    <s v="11.992187179181572"/>
    <s v="10.759142710685795"/>
    <n v="716680983"/>
    <x v="0"/>
    <n v="3.221314E-4"/>
    <x v="0"/>
  </r>
  <r>
    <n v="62"/>
    <n v="1"/>
    <n v="1"/>
    <n v="2"/>
    <n v="1"/>
    <n v="3"/>
    <n v="0"/>
    <n v="49"/>
    <n v="3"/>
    <n v="1"/>
    <n v="2"/>
    <n v="2437"/>
    <n v="1400"/>
    <n v="1037"/>
    <n v="0.77900000000000003"/>
    <n v="1651"/>
    <n v="32"/>
    <n v="1"/>
    <n v="0.57399999999999995"/>
    <s v="5.1697e-05"/>
    <n v="0.99995000000000001"/>
    <s v="4.480460992416967"/>
    <s v="44.919930178915365"/>
    <s v="47.28191989693474"/>
    <s v="0.8547628651360064"/>
    <n v="709267308"/>
    <x v="0"/>
    <n v="1.0249399E-3"/>
    <x v="0"/>
  </r>
  <r>
    <n v="55"/>
    <n v="1"/>
    <n v="1"/>
    <n v="3"/>
    <n v="1"/>
    <n v="2"/>
    <n v="0"/>
    <n v="46"/>
    <n v="2"/>
    <n v="2"/>
    <n v="3"/>
    <n v="1438.3"/>
    <n v="0"/>
    <n v="1438.3"/>
    <n v="1.0369999999999999"/>
    <n v="888"/>
    <n v="18"/>
    <n v="1.25"/>
    <n v="0"/>
    <n v="0.99431000000000003"/>
    <n v="5.6899999999999997E-3"/>
    <s v="3.827453698105659"/>
    <s v="84.29052448279114"/>
    <s v="17.25392071409178"/>
    <s v="1.1560548484268904"/>
    <n v="711593808"/>
    <x v="1"/>
    <n v="0.99828510000000004"/>
    <x v="1"/>
  </r>
  <r>
    <n v="47"/>
    <n v="1"/>
    <n v="4"/>
    <n v="6"/>
    <n v="3"/>
    <n v="2"/>
    <n v="0"/>
    <n v="39"/>
    <n v="5"/>
    <n v="2"/>
    <n v="2"/>
    <n v="1815"/>
    <n v="740"/>
    <n v="1075"/>
    <n v="1.1240000000000001"/>
    <n v="1931"/>
    <n v="67"/>
    <n v="0.71799999999999997"/>
    <n v="0.40799999999999997"/>
    <n v="1.3121000000000001E-4"/>
    <n v="0.99987000000000004"/>
    <s v="28.00355525028336"/>
    <n v="38.202081184929398"/>
    <s v="40.59562035340361"/>
    <n v="6.6816410324265698"/>
    <n v="717249783"/>
    <x v="0"/>
    <n v="6.3827369999999999E-4"/>
    <x v="0"/>
  </r>
  <r>
    <n v="64"/>
    <n v="0"/>
    <n v="0"/>
    <n v="1"/>
    <n v="1"/>
    <n v="4"/>
    <n v="0"/>
    <n v="53"/>
    <n v="4"/>
    <n v="1"/>
    <n v="3"/>
    <n v="5462"/>
    <n v="1864"/>
    <n v="3598"/>
    <n v="0.67"/>
    <n v="1523"/>
    <n v="35"/>
    <n v="0.66700000000000004"/>
    <n v="0.34100000000000003"/>
    <n v="1.1504E-4"/>
    <n v="0.99987999999999999"/>
    <s v="20.748299575880715"/>
    <s v="34.920867415236785"/>
    <s v="88.01718506612313"/>
    <n v="4.2827998482051797"/>
    <n v="710749458"/>
    <x v="0"/>
    <n v="1.0337284E-3"/>
    <x v="0"/>
  </r>
  <r>
    <n v="39"/>
    <n v="0"/>
    <n v="1"/>
    <n v="5"/>
    <n v="2"/>
    <n v="1"/>
    <n v="0"/>
    <n v="28"/>
    <n v="5"/>
    <n v="3"/>
    <n v="6"/>
    <n v="3911"/>
    <n v="0"/>
    <n v="3911"/>
    <n v="0.89700000000000002"/>
    <n v="2867"/>
    <n v="42"/>
    <n v="0.55600000000000005"/>
    <n v="0"/>
    <n v="0.99934000000000001"/>
    <n v="6.6029999999999995E-4"/>
    <n v="43.136525892884201"/>
    <s v="32.239448267073605"/>
    <n v="81.535588303425001"/>
    <n v="9.7435557980943397"/>
    <n v="720872433"/>
    <x v="1"/>
    <n v="0.99792429999999999"/>
    <x v="1"/>
  </r>
  <r>
    <n v="43"/>
    <n v="0"/>
    <n v="4"/>
    <n v="6"/>
    <n v="2"/>
    <n v="4"/>
    <n v="0"/>
    <n v="36"/>
    <n v="5"/>
    <n v="3"/>
    <n v="2"/>
    <n v="1438.3"/>
    <n v="0"/>
    <n v="1438.3"/>
    <n v="0.70499999999999996"/>
    <n v="4432"/>
    <n v="71"/>
    <n v="0.65100000000000002"/>
    <n v="0"/>
    <n v="2.0735E-4"/>
    <n v="0.99978999999999996"/>
    <s v="55.16652787736962"/>
    <s v="39.06768846869053"/>
    <s v="59.29701256752588"/>
    <s v="1.8832225222966017"/>
    <n v="711420258"/>
    <x v="0"/>
    <n v="7.4965424999999997E-4"/>
    <x v="0"/>
  </r>
  <r>
    <n v="46"/>
    <n v="1"/>
    <n v="5"/>
    <n v="2"/>
    <n v="2"/>
    <n v="3"/>
    <n v="0"/>
    <n v="33"/>
    <n v="6"/>
    <n v="3"/>
    <n v="3"/>
    <n v="32975"/>
    <n v="2517"/>
    <n v="30458"/>
    <n v="0.65800000000000003"/>
    <n v="597"/>
    <n v="17"/>
    <n v="0.7"/>
    <n v="7.5999999999999998E-2"/>
    <n v="0.99680999999999997"/>
    <n v="3.1907200000000002E-3"/>
    <s v="2.6565766239379047"/>
    <s v="58.46040779399543"/>
    <s v="94.27079751261915"/>
    <s v="2.3110644655387382"/>
    <n v="713741358"/>
    <x v="1"/>
    <n v="0.99490683999999996"/>
    <x v="1"/>
  </r>
  <r>
    <n v="52"/>
    <n v="1"/>
    <n v="3"/>
    <n v="5"/>
    <n v="2"/>
    <n v="3"/>
    <n v="0"/>
    <n v="40"/>
    <n v="6"/>
    <n v="3"/>
    <n v="2"/>
    <n v="34516"/>
    <n v="1757"/>
    <n v="32759"/>
    <n v="0.78600000000000003"/>
    <n v="4223"/>
    <n v="81"/>
    <n v="0.65300000000000002"/>
    <n v="5.0999999999999997E-2"/>
    <n v="1.9191E-4"/>
    <n v="0.99980999999999998"/>
    <s v="8.004835171968375"/>
    <s v="32.32106946082297"/>
    <s v="77.34217857164766"/>
    <s v="3.735079467681518"/>
    <n v="708848208"/>
    <x v="0"/>
    <n v="3.5729867999999997E-4"/>
    <x v="0"/>
  </r>
  <r>
    <n v="32"/>
    <n v="1"/>
    <n v="1"/>
    <n v="3"/>
    <n v="1"/>
    <n v="2"/>
    <n v="0"/>
    <n v="24"/>
    <n v="4"/>
    <n v="2"/>
    <n v="2"/>
    <n v="4116"/>
    <n v="1223"/>
    <n v="2893"/>
    <n v="0.73"/>
    <n v="1657"/>
    <n v="38"/>
    <n v="0.52"/>
    <n v="0.29699999999999999"/>
    <n v="1.0386E-4"/>
    <n v="0.99990000000000001"/>
    <s v="52.281428269473246"/>
    <s v="30.66794892877069"/>
    <s v="39.797080305252805"/>
    <s v="21.25465584344632"/>
    <n v="719206308"/>
    <x v="0"/>
    <n v="1.1544054E-3"/>
    <x v="0"/>
  </r>
  <r>
    <n v="52"/>
    <n v="0"/>
    <n v="3"/>
    <n v="3"/>
    <n v="1"/>
    <n v="4"/>
    <n v="0"/>
    <n v="40"/>
    <n v="3"/>
    <n v="5"/>
    <n v="1"/>
    <n v="2003"/>
    <n v="1735"/>
    <n v="268"/>
    <n v="0.85499999999999998"/>
    <n v="2343"/>
    <n v="42"/>
    <n v="0.35499999999999998"/>
    <n v="0.86599999999999999"/>
    <n v="0.99189000000000005"/>
    <n v="8.1099999999999992E-3"/>
    <s v="30.928052122270028"/>
    <s v="49.78662647507073"/>
    <s v="15.619053724969014"/>
    <s v="0.4890561530817012"/>
    <n v="721527858"/>
    <x v="1"/>
    <n v="0.99585044"/>
    <x v="1"/>
  </r>
  <r>
    <n v="35"/>
    <n v="0"/>
    <n v="3"/>
    <n v="3"/>
    <n v="1"/>
    <n v="4"/>
    <n v="0"/>
    <n v="23"/>
    <n v="3"/>
    <n v="3"/>
    <n v="4"/>
    <n v="3073"/>
    <n v="526"/>
    <n v="2547"/>
    <n v="0.70199999999999996"/>
    <n v="1944"/>
    <n v="55"/>
    <n v="0.61799999999999999"/>
    <n v="0.17100000000000001"/>
    <n v="5.2052000000000001E-4"/>
    <n v="0.99948000000000004"/>
    <s v="11.310735940952023"/>
    <s v="14.887747151560436"/>
    <s v="34.656553325590544"/>
    <s v="18.415034801360846"/>
    <n v="719233833"/>
    <x v="0"/>
    <n v="1.5143155E-3"/>
    <x v="0"/>
  </r>
  <r>
    <n v="55"/>
    <n v="1"/>
    <n v="3"/>
    <n v="2"/>
    <n v="2"/>
    <n v="0"/>
    <n v="0"/>
    <n v="42"/>
    <n v="3"/>
    <n v="3"/>
    <n v="2"/>
    <n v="31636"/>
    <n v="2517"/>
    <n v="29119"/>
    <n v="0.71799999999999997"/>
    <n v="4231"/>
    <n v="68"/>
    <n v="1.0609999999999999"/>
    <n v="0.08"/>
    <n v="1.8665000000000001E-4"/>
    <n v="0.99980999999999998"/>
    <s v="45.85120714773784"/>
    <s v="106.30358682422776"/>
    <s v="63.96609394614922"/>
    <s v="7.056815535739266"/>
    <n v="708890958"/>
    <x v="0"/>
    <n v="3.6621004000000001E-4"/>
    <x v="0"/>
  </r>
  <r>
    <n v="46"/>
    <n v="1"/>
    <n v="2"/>
    <n v="2"/>
    <n v="1"/>
    <n v="1"/>
    <n v="0"/>
    <n v="39"/>
    <n v="4"/>
    <n v="3"/>
    <n v="1"/>
    <n v="1610"/>
    <n v="0"/>
    <n v="1610"/>
    <n v="0.68899999999999995"/>
    <n v="4958"/>
    <n v="87"/>
    <n v="0.77600000000000002"/>
    <n v="0"/>
    <n v="1.0848E-4"/>
    <n v="0.99988999999999995"/>
    <s v="33.46376797791996"/>
    <n v="29.416816162310202"/>
    <n v="34.830835216752099"/>
    <s v="6.585112333457752"/>
    <n v="708600033"/>
    <x v="0"/>
    <n v="6.9517245999999998E-4"/>
    <x v="0"/>
  </r>
  <r>
    <n v="39"/>
    <n v="0"/>
    <n v="2"/>
    <n v="4"/>
    <n v="3"/>
    <n v="4"/>
    <n v="0"/>
    <n v="36"/>
    <n v="4"/>
    <n v="3"/>
    <n v="4"/>
    <n v="1438.3"/>
    <n v="0"/>
    <n v="1438.3"/>
    <n v="0.7"/>
    <n v="1338"/>
    <n v="28"/>
    <n v="0.86699999999999999"/>
    <n v="0"/>
    <n v="6.0711999999999995E-4"/>
    <n v="0.99939"/>
    <n v="3.0463848028567302"/>
    <s v="1.0455243815400768"/>
    <s v="29.814228849584364"/>
    <s v="4.001606597215035"/>
    <n v="716383683"/>
    <x v="0"/>
    <n v="3.6039762000000001E-3"/>
    <x v="0"/>
  </r>
  <r>
    <n v="47"/>
    <n v="1"/>
    <n v="4"/>
    <n v="2"/>
    <n v="1"/>
    <n v="3"/>
    <n v="0"/>
    <n v="34"/>
    <n v="6"/>
    <n v="3"/>
    <n v="3"/>
    <n v="18178"/>
    <n v="0"/>
    <n v="18178"/>
    <n v="0.92200000000000004"/>
    <n v="1837"/>
    <n v="37"/>
    <n v="0.68200000000000005"/>
    <n v="0"/>
    <n v="3.1725999999999998E-4"/>
    <n v="0.99968000000000001"/>
    <s v="43.42175039106214"/>
    <s v="30.12634790738986"/>
    <s v="2.806266415524894"/>
    <s v="13.078679226425288"/>
    <n v="771196083"/>
    <x v="0"/>
    <n v="3.7707960999999999E-3"/>
    <x v="0"/>
  </r>
  <r>
    <n v="44"/>
    <n v="0"/>
    <n v="3"/>
    <n v="0"/>
    <n v="2"/>
    <n v="5"/>
    <n v="0"/>
    <n v="40"/>
    <n v="2"/>
    <n v="1"/>
    <n v="3"/>
    <n v="3269"/>
    <n v="0"/>
    <n v="3269"/>
    <n v="0.79700000000000004"/>
    <n v="5022"/>
    <n v="85"/>
    <n v="0.77100000000000002"/>
    <n v="0"/>
    <s v="9.3457e-05"/>
    <n v="0.99990999999999997"/>
    <s v="42.35250649927336"/>
    <s v="26.18840128349457"/>
    <s v="121.71313860312154"/>
    <s v="19.31984869457861"/>
    <n v="823554783"/>
    <x v="0"/>
    <n v="6.9517245999999998E-4"/>
    <x v="0"/>
  </r>
  <r>
    <n v="30"/>
    <n v="0"/>
    <n v="0"/>
    <n v="3"/>
    <n v="2"/>
    <n v="4"/>
    <n v="0"/>
    <n v="36"/>
    <n v="5"/>
    <n v="1"/>
    <n v="1"/>
    <n v="1536"/>
    <n v="801"/>
    <n v="735"/>
    <n v="0.94399999999999995"/>
    <n v="3904"/>
    <n v="74"/>
    <n v="0.89700000000000002"/>
    <n v="0.52100000000000002"/>
    <s v="2.7707e-05"/>
    <n v="0.99997000000000003"/>
    <s v="46.94736471781755"/>
    <s v="32.600339792992315"/>
    <s v="30.042679136029967"/>
    <s v="9.790514325898652"/>
    <n v="720067083"/>
    <x v="0"/>
    <n v="5.2749825000000003E-4"/>
    <x v="0"/>
  </r>
  <r>
    <n v="53"/>
    <n v="1"/>
    <n v="1"/>
    <n v="5"/>
    <n v="3"/>
    <n v="0"/>
    <n v="0"/>
    <n v="45"/>
    <n v="4"/>
    <n v="4"/>
    <n v="2"/>
    <n v="23958"/>
    <n v="2517"/>
    <n v="21441"/>
    <n v="0.70199999999999996"/>
    <n v="2777"/>
    <n v="45"/>
    <n v="0.55200000000000005"/>
    <n v="0.105"/>
    <n v="0.99526000000000003"/>
    <n v="4.7430299999999996E-3"/>
    <s v="54.382015723280574"/>
    <s v="17.51374624764977"/>
    <s v="49.84513842555011"/>
    <s v="5.110737057735641"/>
    <n v="714894708"/>
    <x v="1"/>
    <n v="0.99520399999999998"/>
    <x v="1"/>
  </r>
  <r>
    <n v="53"/>
    <n v="0"/>
    <n v="1"/>
    <n v="3"/>
    <n v="2"/>
    <n v="4"/>
    <n v="0"/>
    <n v="36"/>
    <n v="3"/>
    <n v="2"/>
    <n v="2"/>
    <n v="2615"/>
    <n v="1772"/>
    <n v="843"/>
    <n v="0.61099999999999999"/>
    <n v="1419"/>
    <n v="38"/>
    <n v="0.35699999999999998"/>
    <n v="0.67800000000000005"/>
    <n v="1.0386E-4"/>
    <n v="0.99990000000000001"/>
    <s v="1.3644481458198592"/>
    <s v="22.14951407891817"/>
    <s v="19.76073814464408"/>
    <n v="2.8227172204081601"/>
    <n v="710070183"/>
    <x v="0"/>
    <n v="1.232702E-3"/>
    <x v="0"/>
  </r>
  <r>
    <n v="52"/>
    <n v="0"/>
    <n v="2"/>
    <n v="4"/>
    <n v="2"/>
    <n v="5"/>
    <n v="0"/>
    <n v="42"/>
    <n v="3"/>
    <n v="2"/>
    <n v="3"/>
    <n v="1438.3"/>
    <n v="0"/>
    <n v="1438.3"/>
    <n v="0.60699999999999998"/>
    <n v="4102"/>
    <n v="78"/>
    <n v="0.85699999999999998"/>
    <n v="0"/>
    <n v="2.2525E-4"/>
    <n v="0.99977000000000005"/>
    <s v="12.663432449860078"/>
    <s v="2.163217116909136"/>
    <s v="44.10075073553973"/>
    <s v="5.235031186712368"/>
    <n v="714931458"/>
    <x v="0"/>
    <n v="6.9517245999999998E-4"/>
    <x v="0"/>
  </r>
  <r>
    <n v="52"/>
    <n v="1"/>
    <n v="2"/>
    <n v="6"/>
    <n v="1"/>
    <n v="4"/>
    <n v="0"/>
    <n v="36"/>
    <n v="3"/>
    <n v="3"/>
    <n v="3"/>
    <n v="2846"/>
    <n v="1606"/>
    <n v="1240"/>
    <n v="0.69699999999999995"/>
    <n v="5092"/>
    <n v="86"/>
    <n v="0.79200000000000004"/>
    <n v="0.56399999999999995"/>
    <n v="3.3251E-4"/>
    <n v="0.99966999999999995"/>
    <s v="14.094411245997026"/>
    <s v="13.616963701831995"/>
    <s v="16.30043755194827"/>
    <s v="23.514358509489664"/>
    <n v="711494208"/>
    <x v="0"/>
    <n v="3.2101269999999999E-4"/>
    <x v="0"/>
  </r>
  <r>
    <n v="41"/>
    <n v="1"/>
    <n v="3"/>
    <n v="6"/>
    <n v="1"/>
    <n v="3"/>
    <n v="0"/>
    <n v="37"/>
    <n v="5"/>
    <n v="3"/>
    <n v="3"/>
    <n v="16954"/>
    <n v="1588"/>
    <n v="15366"/>
    <n v="0.878"/>
    <n v="3411"/>
    <n v="60"/>
    <n v="0.875"/>
    <n v="9.4E-2"/>
    <n v="3.4503000000000002E-4"/>
    <n v="0.99965000000000004"/>
    <s v="19.352649580385474"/>
    <s v="66.95836650770399"/>
    <s v="131.9145659236942"/>
    <s v="10.248264501545709"/>
    <n v="821163408"/>
    <x v="0"/>
    <n v="3.7288004999999998E-4"/>
    <x v="0"/>
  </r>
  <r>
    <n v="30"/>
    <n v="0"/>
    <n v="1"/>
    <n v="3"/>
    <n v="2"/>
    <n v="4"/>
    <n v="0"/>
    <n v="23"/>
    <n v="3"/>
    <n v="2"/>
    <n v="2"/>
    <n v="3955"/>
    <n v="2352"/>
    <n v="1603"/>
    <n v="0.77900000000000003"/>
    <n v="16423"/>
    <n v="109"/>
    <n v="0.75800000000000001"/>
    <n v="0.59499999999999997"/>
    <n v="1.0386E-4"/>
    <n v="0.99990000000000001"/>
    <s v="12.987136732300266"/>
    <s v="32.460988683233424"/>
    <s v="82.92806569008322"/>
    <s v="13.03759252081779"/>
    <n v="764316708"/>
    <x v="0"/>
    <n v="3.4656386999999997E-4"/>
    <x v="0"/>
  </r>
  <r>
    <n v="43"/>
    <n v="0"/>
    <n v="3"/>
    <n v="3"/>
    <n v="1"/>
    <n v="4"/>
    <n v="0"/>
    <n v="24"/>
    <n v="2"/>
    <n v="2"/>
    <n v="1"/>
    <n v="1484"/>
    <n v="0"/>
    <n v="1484"/>
    <n v="0.53200000000000003"/>
    <n v="4838"/>
    <n v="81"/>
    <n v="0.92900000000000005"/>
    <n v="0"/>
    <s v="6.9242e-05"/>
    <n v="0.99992999999999999"/>
    <s v="7.543619309090602"/>
    <s v="63.23982019215128"/>
    <s v="53.91487628392981"/>
    <s v="7.290447313799458"/>
    <n v="794516508"/>
    <x v="0"/>
    <n v="6.9517245999999998E-4"/>
    <x v="0"/>
  </r>
  <r>
    <n v="43"/>
    <n v="0"/>
    <n v="4"/>
    <n v="5"/>
    <n v="2"/>
    <n v="4"/>
    <n v="0"/>
    <n v="36"/>
    <n v="5"/>
    <n v="3"/>
    <n v="2"/>
    <n v="2422"/>
    <n v="1014"/>
    <n v="1408"/>
    <n v="0.68799999999999994"/>
    <n v="2437"/>
    <n v="44"/>
    <n v="0.46700000000000003"/>
    <n v="0.41899999999999998"/>
    <n v="0.99487000000000003"/>
    <n v="5.13E-3"/>
    <s v="40.13140206062389"/>
    <s v="8.563833418442329"/>
    <s v="5.409870358202728"/>
    <s v="6.989101114976216"/>
    <n v="756025233"/>
    <x v="1"/>
    <n v="0.99573140000000004"/>
    <x v="1"/>
  </r>
  <r>
    <n v="35"/>
    <n v="1"/>
    <n v="3"/>
    <n v="2"/>
    <n v="2"/>
    <n v="3"/>
    <n v="0"/>
    <n v="24"/>
    <n v="4"/>
    <n v="1"/>
    <n v="2"/>
    <n v="23561"/>
    <n v="864"/>
    <n v="22697"/>
    <n v="1.373"/>
    <n v="2447"/>
    <n v="64"/>
    <n v="1"/>
    <n v="3.6999999999999998E-2"/>
    <s v="5.7151e-05"/>
    <n v="0.99994000000000005"/>
    <s v="2.117127400617595"/>
    <s v="7.581423695859089"/>
    <n v="29.419913091803298"/>
    <s v="12.528393054401208"/>
    <n v="719085933"/>
    <x v="0"/>
    <n v="6.7855376999999999E-4"/>
    <x v="0"/>
  </r>
  <r>
    <n v="54"/>
    <n v="0"/>
    <n v="3"/>
    <n v="3"/>
    <n v="1"/>
    <n v="4"/>
    <n v="0"/>
    <n v="42"/>
    <n v="4"/>
    <n v="2"/>
    <n v="3"/>
    <n v="1438.3"/>
    <n v="1108"/>
    <n v="330.3"/>
    <n v="0.78200000000000003"/>
    <n v="4776"/>
    <n v="90"/>
    <n v="0.76500000000000001"/>
    <n v="0.77"/>
    <n v="1.9311E-4"/>
    <n v="0.99980999999999998"/>
    <s v="84.36575272831021"/>
    <s v="9.429529700870033"/>
    <s v="55.62922731256052"/>
    <s v="5.555278618350046"/>
    <n v="718477983"/>
    <x v="0"/>
    <n v="3.2101269999999999E-4"/>
    <x v="0"/>
  </r>
  <r>
    <n v="60"/>
    <n v="0"/>
    <n v="0"/>
    <n v="3"/>
    <n v="1"/>
    <n v="4"/>
    <n v="0"/>
    <n v="50"/>
    <n v="6"/>
    <n v="0"/>
    <n v="1"/>
    <n v="3466"/>
    <n v="973"/>
    <n v="2493"/>
    <n v="0.65200000000000002"/>
    <n v="4073"/>
    <n v="69"/>
    <n v="0.60499999999999998"/>
    <n v="0.28100000000000003"/>
    <s v="1.0252e-05"/>
    <n v="0.99999000000000005"/>
    <s v="30.124449240028195"/>
    <n v="23.534585954624198"/>
    <s v="30.20477857628501"/>
    <s v="2.351932737152487"/>
    <n v="714855108"/>
    <x v="0"/>
    <n v="3.9241477000000001E-4"/>
    <x v="0"/>
  </r>
  <r>
    <n v="30"/>
    <n v="0"/>
    <n v="0"/>
    <n v="0"/>
    <n v="1"/>
    <n v="4"/>
    <n v="0"/>
    <n v="19"/>
    <n v="4"/>
    <n v="2"/>
    <n v="3"/>
    <n v="4184"/>
    <n v="1254"/>
    <n v="2930"/>
    <n v="0.54900000000000004"/>
    <n v="14999"/>
    <n v="110"/>
    <n v="0.71899999999999997"/>
    <n v="0.3"/>
    <n v="1.5971E-4"/>
    <n v="0.99983999999999995"/>
    <s v="28.856608998667294"/>
    <s v="62.15636107325188"/>
    <s v="40.53871006153336"/>
    <s v="3.8409895816814714"/>
    <n v="715923408"/>
    <x v="0"/>
    <n v="3.4656386999999997E-4"/>
    <x v="0"/>
  </r>
  <r>
    <n v="50"/>
    <n v="1"/>
    <n v="1"/>
    <n v="2"/>
    <n v="1"/>
    <n v="3"/>
    <n v="3"/>
    <n v="45"/>
    <n v="2"/>
    <n v="1"/>
    <n v="3"/>
    <n v="34516"/>
    <n v="925"/>
    <n v="33591"/>
    <n v="0.77100000000000002"/>
    <n v="7755"/>
    <n v="84"/>
    <n v="0.68"/>
    <n v="2.7E-2"/>
    <s v="7.8567e-05"/>
    <n v="0.99992000000000003"/>
    <s v="30.31367863649941"/>
    <s v="42.69393700660135"/>
    <s v="78.22801184486606"/>
    <n v="8.5275249849433497"/>
    <n v="805516608"/>
    <x v="0"/>
    <n v="5.0505180000000002E-4"/>
    <x v="0"/>
  </r>
  <r>
    <n v="41"/>
    <n v="1"/>
    <n v="3"/>
    <n v="2"/>
    <n v="2"/>
    <n v="1"/>
    <n v="0"/>
    <n v="36"/>
    <n v="2"/>
    <n v="3"/>
    <n v="2"/>
    <n v="8919"/>
    <n v="1723"/>
    <n v="7196"/>
    <n v="0.84799999999999998"/>
    <n v="13719"/>
    <n v="96"/>
    <n v="0.71399999999999997"/>
    <n v="0.193"/>
    <n v="1.8665000000000001E-4"/>
    <n v="0.99980999999999998"/>
    <s v="58.17523798219265"/>
    <s v="12.999240223095931"/>
    <s v="21.25516157004035"/>
    <n v="2.3774990557045501"/>
    <n v="719222133"/>
    <x v="0"/>
    <n v="3.4656386999999997E-4"/>
    <x v="0"/>
  </r>
  <r>
    <n v="42"/>
    <n v="0"/>
    <n v="2"/>
    <n v="5"/>
    <n v="1"/>
    <n v="1"/>
    <n v="0"/>
    <n v="29"/>
    <n v="1"/>
    <n v="2"/>
    <n v="2"/>
    <n v="1622"/>
    <n v="0"/>
    <n v="1622"/>
    <n v="0.70899999999999996"/>
    <n v="4633"/>
    <n v="67"/>
    <n v="0.63400000000000001"/>
    <n v="0"/>
    <n v="1.1703E-4"/>
    <n v="0.99987999999999999"/>
    <s v="14.404642987947598"/>
    <s v="70.72323794928764"/>
    <s v="17.223422044291535"/>
    <s v="7.504157028242451"/>
    <n v="716181858"/>
    <x v="0"/>
    <n v="7.686247E-4"/>
    <x v="0"/>
  </r>
  <r>
    <n v="50"/>
    <n v="1"/>
    <n v="1"/>
    <n v="2"/>
    <n v="1"/>
    <n v="3"/>
    <n v="0"/>
    <n v="45"/>
    <n v="3"/>
    <n v="2"/>
    <n v="2"/>
    <n v="16813"/>
    <n v="1185"/>
    <n v="15628"/>
    <n v="0.55200000000000005"/>
    <n v="1482"/>
    <n v="46"/>
    <n v="0.64300000000000002"/>
    <n v="7.0000000000000007E-2"/>
    <n v="1.0684E-4"/>
    <n v="0.99988999999999995"/>
    <s v="32.975149787516315"/>
    <s v="18.05188999693309"/>
    <s v="47.295562633158895"/>
    <s v="35.18070177955902"/>
    <n v="814852533"/>
    <x v="0"/>
    <n v="1.2135226000000001E-3"/>
    <x v="0"/>
  </r>
  <r>
    <n v="42"/>
    <n v="1"/>
    <n v="3"/>
    <n v="0"/>
    <n v="2"/>
    <n v="3"/>
    <n v="3"/>
    <n v="26"/>
    <n v="3"/>
    <n v="2"/>
    <n v="2"/>
    <n v="34516"/>
    <n v="904"/>
    <n v="33612"/>
    <n v="0.72599999999999998"/>
    <n v="3910"/>
    <n v="68"/>
    <n v="0.65900000000000003"/>
    <n v="2.5999999999999999E-2"/>
    <n v="1.0375E-4"/>
    <n v="0.99990000000000001"/>
    <n v="48.845794438998702"/>
    <s v="25.67422259407705"/>
    <s v="10.013144571140396"/>
    <s v="7.319513391035437"/>
    <n v="719960133"/>
    <x v="0"/>
    <n v="4.5621609999999999E-4"/>
    <x v="0"/>
  </r>
  <r>
    <n v="43"/>
    <n v="1"/>
    <n v="2"/>
    <n v="3"/>
    <n v="1"/>
    <n v="2"/>
    <n v="0"/>
    <n v="37"/>
    <n v="1"/>
    <n v="3"/>
    <n v="3"/>
    <n v="2600"/>
    <n v="2047"/>
    <n v="553"/>
    <n v="0.749"/>
    <n v="8804"/>
    <n v="111"/>
    <n v="0.68200000000000005"/>
    <n v="0.78700000000000003"/>
    <n v="2.9408E-4"/>
    <n v="0.99970999999999999"/>
    <s v="21.35599492391691"/>
    <s v="36.76505761478669"/>
    <s v="171.69621847255505"/>
    <s v="16.406055190375245"/>
    <n v="712645908"/>
    <x v="0"/>
    <n v="3.6856539999999998E-4"/>
    <x v="0"/>
  </r>
  <r>
    <n v="38"/>
    <n v="0"/>
    <n v="3"/>
    <n v="3"/>
    <n v="1"/>
    <n v="4"/>
    <n v="0"/>
    <n v="27"/>
    <n v="4"/>
    <n v="3"/>
    <n v="3"/>
    <n v="1438.3"/>
    <n v="0"/>
    <n v="1438.3"/>
    <n v="0.73"/>
    <n v="2478"/>
    <n v="45"/>
    <n v="0.55200000000000005"/>
    <n v="0"/>
    <n v="0.99673"/>
    <n v="3.2652800000000002E-3"/>
    <s v="4.5682620376819365"/>
    <s v="25.032812943686604"/>
    <s v="4.668314733394276"/>
    <s v="3.5565207126072123"/>
    <n v="711274458"/>
    <x v="1"/>
    <n v="0.99873226999999998"/>
    <x v="1"/>
  </r>
  <r>
    <n v="44"/>
    <n v="1"/>
    <n v="2"/>
    <n v="2"/>
    <n v="2"/>
    <n v="5"/>
    <n v="0"/>
    <n v="36"/>
    <n v="6"/>
    <n v="3"/>
    <n v="1"/>
    <n v="28292"/>
    <n v="0"/>
    <n v="28292"/>
    <n v="0.54200000000000004"/>
    <n v="3948"/>
    <n v="60"/>
    <n v="0.53800000000000003"/>
    <n v="0"/>
    <n v="1.0848E-4"/>
    <n v="0.99988999999999995"/>
    <s v="19.640045818266145"/>
    <s v="46.84395330031288"/>
    <s v="72.54434107618576"/>
    <s v="0.8497792235691772"/>
    <n v="721163133"/>
    <x v="0"/>
    <n v="9.2153730000000004E-4"/>
    <x v="0"/>
  </r>
  <r>
    <n v="43"/>
    <n v="0"/>
    <n v="4"/>
    <n v="6"/>
    <n v="2"/>
    <n v="4"/>
    <n v="0"/>
    <n v="33"/>
    <n v="5"/>
    <n v="2"/>
    <n v="4"/>
    <n v="1438.3"/>
    <n v="0"/>
    <n v="1438.3"/>
    <n v="0.67900000000000005"/>
    <n v="3932"/>
    <n v="62"/>
    <n v="0.77100000000000002"/>
    <n v="0"/>
    <n v="3.7644000000000002E-4"/>
    <n v="0.99961999999999995"/>
    <s v="4.070456140163237"/>
    <n v="47.390158322163799"/>
    <s v="46.886511699200256"/>
    <s v="2.407789168440784"/>
    <n v="716739258"/>
    <x v="0"/>
    <n v="8.1245880000000001E-4"/>
    <x v="0"/>
  </r>
  <r>
    <n v="49"/>
    <n v="1"/>
    <n v="5"/>
    <n v="6"/>
    <n v="2"/>
    <n v="3"/>
    <n v="0"/>
    <n v="30"/>
    <n v="3"/>
    <n v="2"/>
    <n v="1"/>
    <n v="20895"/>
    <n v="1808"/>
    <n v="19087"/>
    <n v="0.57199999999999995"/>
    <n v="3210"/>
    <n v="65"/>
    <n v="0.66700000000000004"/>
    <n v="8.6999999999999994E-2"/>
    <s v="7.7894e-05"/>
    <n v="0.99992000000000003"/>
    <s v="0.5471962763516163"/>
    <s v="16.856225389862953"/>
    <s v="5.392458231855887"/>
    <s v="0.9544399590368126"/>
    <n v="778844433"/>
    <x v="0"/>
    <n v="3.3834018E-4"/>
    <x v="0"/>
  </r>
  <r>
    <n v="34"/>
    <n v="1"/>
    <n v="2"/>
    <n v="2"/>
    <n v="1"/>
    <n v="2"/>
    <n v="0"/>
    <n v="36"/>
    <n v="5"/>
    <n v="1"/>
    <n v="3"/>
    <n v="2763"/>
    <n v="1913"/>
    <n v="850"/>
    <n v="0.59799999999999998"/>
    <n v="4136"/>
    <n v="69"/>
    <n v="0.56799999999999995"/>
    <n v="0.69199999999999995"/>
    <s v="9.2637e-05"/>
    <n v="0.99990999999999997"/>
    <s v="0.2892247693793837"/>
    <s v="6.953417092260866"/>
    <s v="32.73444814104598"/>
    <s v="6.719037406357824"/>
    <n v="719006508"/>
    <x v="0"/>
    <n v="3.2914013999999999E-4"/>
    <x v="0"/>
  </r>
  <r>
    <n v="53"/>
    <n v="0"/>
    <n v="3"/>
    <n v="5"/>
    <n v="0"/>
    <n v="4"/>
    <n v="0"/>
    <n v="43"/>
    <n v="5"/>
    <n v="1"/>
    <n v="2"/>
    <n v="2383"/>
    <n v="1516"/>
    <n v="867"/>
    <n v="0.85699999999999998"/>
    <n v="4917"/>
    <n v="78"/>
    <n v="0.95"/>
    <n v="0.63600000000000001"/>
    <s v="5.8763e-05"/>
    <n v="0.99994000000000005"/>
    <s v="39.90369940141948"/>
    <s v="40.98315753075602"/>
    <s v="45.13224692035545"/>
    <s v="20.685539587270725"/>
    <n v="719035758"/>
    <x v="0"/>
    <n v="3.2101269999999999E-4"/>
    <x v="0"/>
  </r>
  <r>
    <n v="45"/>
    <n v="0"/>
    <n v="3"/>
    <n v="3"/>
    <n v="1"/>
    <n v="4"/>
    <n v="0"/>
    <n v="40"/>
    <n v="5"/>
    <n v="2"/>
    <n v="3"/>
    <n v="1603"/>
    <n v="0"/>
    <n v="1603"/>
    <n v="0.46700000000000003"/>
    <n v="4041"/>
    <n v="66"/>
    <n v="0.57099999999999995"/>
    <n v="0"/>
    <n v="1.9311E-4"/>
    <n v="0.99980999999999998"/>
    <s v="35.09061153851169"/>
    <s v="63.24032355083325"/>
    <s v="24.288625778944564"/>
    <s v="14.819928971080236"/>
    <n v="820637433"/>
    <x v="0"/>
    <n v="7.9661230000000003E-4"/>
    <x v="0"/>
  </r>
  <r>
    <n v="57"/>
    <n v="0"/>
    <n v="3"/>
    <n v="3"/>
    <n v="3"/>
    <n v="4"/>
    <n v="0"/>
    <n v="39"/>
    <n v="6"/>
    <n v="4"/>
    <n v="2"/>
    <n v="2781"/>
    <n v="992"/>
    <n v="1789"/>
    <n v="0.70099999999999996"/>
    <n v="4577"/>
    <n v="81"/>
    <n v="0.92900000000000005"/>
    <n v="0.35699999999999998"/>
    <n v="2.1928E-4"/>
    <n v="0.99978"/>
    <s v="31.052254854543293"/>
    <s v="61.14108901108507"/>
    <s v="15.354456035289765"/>
    <s v="10.642014110231704"/>
    <n v="780814158"/>
    <x v="0"/>
    <n v="3.2101269999999999E-4"/>
    <x v="0"/>
  </r>
  <r>
    <n v="31"/>
    <n v="1"/>
    <n v="2"/>
    <n v="2"/>
    <n v="3"/>
    <n v="3"/>
    <n v="3"/>
    <n v="22"/>
    <n v="2"/>
    <n v="3"/>
    <n v="2"/>
    <n v="34516"/>
    <n v="1780"/>
    <n v="32736"/>
    <n v="0.83899999999999997"/>
    <n v="14185"/>
    <n v="98"/>
    <n v="0.69"/>
    <n v="5.1999999999999998E-2"/>
    <n v="1.6253E-4"/>
    <n v="0.99983999999999995"/>
    <s v="31.543888476016274"/>
    <s v="2.412301416528049"/>
    <s v="29.73524074362527"/>
    <s v="0.2473483836852611"/>
    <n v="789983133"/>
    <x v="0"/>
    <n v="3.8573547000000003E-4"/>
    <x v="0"/>
  </r>
  <r>
    <n v="47"/>
    <n v="0"/>
    <n v="4"/>
    <n v="1"/>
    <n v="2"/>
    <n v="4"/>
    <n v="0"/>
    <n v="36"/>
    <n v="4"/>
    <n v="3"/>
    <n v="2"/>
    <n v="2193"/>
    <n v="1084"/>
    <n v="1109"/>
    <n v="0.97399999999999998"/>
    <n v="4755"/>
    <n v="81"/>
    <n v="0.76100000000000001"/>
    <n v="0.49399999999999999"/>
    <n v="2.7296999999999998E-4"/>
    <n v="0.99973000000000001"/>
    <s v="47.72149525913193"/>
    <n v="8.3477815571114906"/>
    <s v="10.264900325637566"/>
    <s v="14.009489623053422"/>
    <n v="715893633"/>
    <x v="0"/>
    <n v="3.221314E-4"/>
    <x v="0"/>
  </r>
  <r>
    <n v="39"/>
    <n v="1"/>
    <n v="2"/>
    <n v="0"/>
    <n v="2"/>
    <n v="3"/>
    <n v="0"/>
    <n v="24"/>
    <n v="4"/>
    <n v="3"/>
    <n v="2"/>
    <n v="4061"/>
    <n v="1775"/>
    <n v="2286"/>
    <n v="0.68600000000000005"/>
    <n v="1602"/>
    <n v="40"/>
    <n v="0.66700000000000004"/>
    <n v="0.437"/>
    <n v="1.7488000000000001E-4"/>
    <n v="0.99983"/>
    <s v="5.494971952046996"/>
    <s v="38.423001975756165"/>
    <s v="156.1310388693561"/>
    <s v="13.18311546025124"/>
    <n v="789959283"/>
    <x v="0"/>
    <n v="1.0337284E-3"/>
    <x v="0"/>
  </r>
  <r>
    <n v="48"/>
    <n v="0"/>
    <n v="4"/>
    <n v="1"/>
    <n v="0"/>
    <n v="1"/>
    <n v="0"/>
    <n v="35"/>
    <n v="4"/>
    <n v="3"/>
    <n v="2"/>
    <n v="3646"/>
    <n v="1047"/>
    <n v="2599"/>
    <n v="0.63300000000000001"/>
    <n v="1969"/>
    <n v="38"/>
    <n v="0.52"/>
    <n v="0.28699999999999998"/>
    <n v="0.99634999999999996"/>
    <n v="3.64906E-3"/>
    <s v="40.78924549683989"/>
    <s v="70.75653801273286"/>
    <n v="69.086244221266199"/>
    <s v="6.045054458358997"/>
    <n v="712369308"/>
    <x v="1"/>
    <n v="0.9949962"/>
    <x v="1"/>
  </r>
  <r>
    <n v="42"/>
    <n v="1"/>
    <n v="2"/>
    <n v="2"/>
    <n v="1"/>
    <n v="3"/>
    <n v="0"/>
    <n v="31"/>
    <n v="4"/>
    <n v="2"/>
    <n v="3"/>
    <n v="12386"/>
    <n v="980"/>
    <n v="11406"/>
    <n v="0.65600000000000003"/>
    <n v="3274"/>
    <n v="69"/>
    <n v="0.56799999999999995"/>
    <n v="7.9000000000000001E-2"/>
    <n v="1.9143E-4"/>
    <n v="0.99980999999999998"/>
    <s v="52.35823855306033"/>
    <s v="14.24734230598616"/>
    <s v="76.02725683203896"/>
    <s v="10.554287723796936"/>
    <n v="717720108"/>
    <x v="0"/>
    <n v="4.1422923000000001E-4"/>
    <x v="0"/>
  </r>
  <r>
    <n v="57"/>
    <n v="0"/>
    <n v="2"/>
    <n v="6"/>
    <n v="1"/>
    <n v="1"/>
    <n v="0"/>
    <n v="46"/>
    <n v="3"/>
    <n v="1"/>
    <n v="3"/>
    <n v="5073"/>
    <n v="1533"/>
    <n v="3540"/>
    <n v="0.65400000000000003"/>
    <n v="13420"/>
    <n v="122"/>
    <n v="0.74299999999999999"/>
    <n v="0.30199999999999999"/>
    <n v="1.0183000000000001E-4"/>
    <n v="0.99990000000000001"/>
    <s v="30.345273543767103"/>
    <s v="33.45562985393391"/>
    <s v="42.20082308600243"/>
    <n v="5.0754987490770302"/>
    <n v="772300383"/>
    <x v="0"/>
    <n v="3.4656386999999997E-4"/>
    <x v="0"/>
  </r>
  <r>
    <n v="31"/>
    <n v="0"/>
    <n v="0"/>
    <n v="4"/>
    <n v="2"/>
    <n v="4"/>
    <n v="0"/>
    <n v="19"/>
    <n v="6"/>
    <n v="3"/>
    <n v="1"/>
    <n v="2766"/>
    <n v="1731"/>
    <n v="1035"/>
    <n v="0.56899999999999995"/>
    <n v="3959"/>
    <n v="71"/>
    <n v="0.73199999999999998"/>
    <n v="0.626"/>
    <n v="1.0953E-4"/>
    <n v="0.99988999999999995"/>
    <s v="20.543460300734047"/>
    <s v="69.32057805626407"/>
    <s v="88.22528685512475"/>
    <s v="8.098062383917185"/>
    <n v="712724733"/>
    <x v="0"/>
    <n v="3.2101269999999999E-4"/>
    <x v="0"/>
  </r>
  <r>
    <n v="57"/>
    <n v="0"/>
    <n v="0"/>
    <n v="2"/>
    <n v="1"/>
    <n v="4"/>
    <n v="0"/>
    <n v="45"/>
    <n v="6"/>
    <n v="1"/>
    <n v="2"/>
    <n v="2448"/>
    <n v="0"/>
    <n v="2448"/>
    <n v="0.60599999999999998"/>
    <n v="5464"/>
    <n v="98"/>
    <n v="0.60699999999999998"/>
    <n v="0"/>
    <s v="4.7263e-05"/>
    <n v="0.99995000000000001"/>
    <s v="34.812103593416374"/>
    <n v="33.515284056071998"/>
    <s v="32.11602022806011"/>
    <s v="0.5127713728840824"/>
    <n v="717773433"/>
    <x v="0"/>
    <n v="8.1829850000000003E-4"/>
    <x v="0"/>
  </r>
  <r>
    <n v="49"/>
    <n v="0"/>
    <n v="3"/>
    <n v="5"/>
    <n v="1"/>
    <n v="1"/>
    <n v="0"/>
    <n v="40"/>
    <n v="6"/>
    <n v="2"/>
    <n v="3"/>
    <n v="8900"/>
    <n v="1700"/>
    <n v="7200"/>
    <n v="0.90600000000000003"/>
    <n v="4710"/>
    <n v="70"/>
    <n v="0.55600000000000005"/>
    <n v="0.191"/>
    <n v="2.0424000000000001E-4"/>
    <n v="0.99980000000000002"/>
    <s v="16.161213540777148"/>
    <s v="79.70305664159164"/>
    <s v="64.31117326884934"/>
    <s v="13.177829291373046"/>
    <n v="719583558"/>
    <x v="0"/>
    <n v="3.4605444000000002E-4"/>
    <x v="0"/>
  </r>
  <r>
    <n v="47"/>
    <n v="1"/>
    <n v="2"/>
    <n v="6"/>
    <n v="1"/>
    <n v="3"/>
    <n v="0"/>
    <n v="36"/>
    <n v="6"/>
    <n v="2"/>
    <n v="1"/>
    <n v="2514"/>
    <n v="1845"/>
    <n v="669"/>
    <n v="0.68300000000000005"/>
    <n v="3696"/>
    <n v="71"/>
    <n v="0.61399999999999999"/>
    <n v="0.73399999999999999"/>
    <s v="7.5449e-05"/>
    <n v="0.99992000000000003"/>
    <s v="8.827828478411751"/>
    <s v="74.02964606769828"/>
    <s v="109.21507685468876"/>
    <s v="1.2594898074593128"/>
    <n v="714125883"/>
    <x v="0"/>
    <n v="3.2914013999999999E-4"/>
    <x v="0"/>
  </r>
  <r>
    <n v="53"/>
    <n v="1"/>
    <n v="2"/>
    <n v="3"/>
    <n v="1"/>
    <n v="0"/>
    <n v="0"/>
    <n v="46"/>
    <n v="4"/>
    <n v="3"/>
    <n v="1"/>
    <n v="7474"/>
    <n v="0"/>
    <n v="7474"/>
    <n v="0.85799999999999998"/>
    <n v="732"/>
    <n v="21"/>
    <n v="0.61499999999999999"/>
    <n v="0"/>
    <n v="0.99060999999999999"/>
    <n v="9.3900000000000008E-3"/>
    <s v="19.47377578184629"/>
    <s v="22.20519119170652"/>
    <s v="140.92550105203085"/>
    <s v="11.38698803568943"/>
    <n v="763895958"/>
    <x v="1"/>
    <n v="0.99846714999999997"/>
    <x v="1"/>
  </r>
  <r>
    <n v="39"/>
    <n v="0"/>
    <n v="1"/>
    <n v="2"/>
    <n v="3"/>
    <n v="4"/>
    <n v="3"/>
    <n v="30"/>
    <n v="1"/>
    <n v="2"/>
    <n v="3"/>
    <n v="10398"/>
    <n v="1630"/>
    <n v="8768"/>
    <n v="0.755"/>
    <n v="7702"/>
    <n v="81"/>
    <n v="0.68799999999999994"/>
    <n v="0.157"/>
    <n v="1.6236000000000001E-4"/>
    <n v="0.99983999999999995"/>
    <s v="24.40221227879407"/>
    <s v="18.39527639254408"/>
    <s v="48.49875576576701"/>
    <s v="0.3074558397437067"/>
    <n v="789960783"/>
    <x v="0"/>
    <n v="5.0494296000000004E-4"/>
    <x v="0"/>
  </r>
  <r>
    <n v="65"/>
    <n v="0"/>
    <n v="0"/>
    <n v="3"/>
    <n v="1"/>
    <n v="4"/>
    <n v="0"/>
    <n v="36"/>
    <n v="3"/>
    <n v="3"/>
    <n v="2"/>
    <n v="1438.3"/>
    <n v="747"/>
    <n v="691.3"/>
    <n v="0.49099999999999999"/>
    <n v="948"/>
    <n v="24"/>
    <n v="0.71399999999999997"/>
    <n v="0.51900000000000002"/>
    <n v="1.5004999999999999E-4"/>
    <n v="0.99985000000000002"/>
    <s v="44.16364400365229"/>
    <s v="42.35636846375622"/>
    <s v="46.33574830015255"/>
    <s v="12.31847895057275"/>
    <n v="712672083"/>
    <x v="0"/>
    <n v="2.0137142999999999E-3"/>
    <x v="0"/>
  </r>
  <r>
    <n v="53"/>
    <n v="0"/>
    <n v="4"/>
    <n v="2"/>
    <n v="1"/>
    <n v="5"/>
    <n v="0"/>
    <n v="49"/>
    <n v="5"/>
    <n v="5"/>
    <n v="4"/>
    <n v="10533"/>
    <n v="330"/>
    <n v="10203"/>
    <n v="0.82299999999999995"/>
    <n v="2585"/>
    <n v="48"/>
    <n v="0.71399999999999997"/>
    <n v="3.1E-2"/>
    <n v="0.99834999999999996"/>
    <n v="1.6508199999999999E-3"/>
    <n v="46.271751501386603"/>
    <s v="7.603603250469852"/>
    <s v="11.705825419609193"/>
    <s v="3.3862423853093646"/>
    <n v="823548858"/>
    <x v="1"/>
    <n v="0.99792767000000004"/>
    <x v="1"/>
  </r>
  <r>
    <n v="39"/>
    <n v="1"/>
    <n v="1"/>
    <n v="2"/>
    <n v="1"/>
    <n v="3"/>
    <n v="0"/>
    <n v="36"/>
    <n v="2"/>
    <n v="2"/>
    <n v="3"/>
    <n v="24239"/>
    <n v="0"/>
    <n v="24239"/>
    <n v="0.94"/>
    <n v="8549"/>
    <n v="73"/>
    <n v="0.78"/>
    <n v="0"/>
    <n v="0.99446999999999997"/>
    <n v="5.5300000000000002E-3"/>
    <s v="19.66167044717186"/>
    <s v="14.386839749458952"/>
    <s v="65.94034097920651"/>
    <s v="5.269952941403408"/>
    <n v="719379858"/>
    <x v="1"/>
    <n v="0.99507409999999996"/>
    <x v="1"/>
  </r>
  <r>
    <n v="42"/>
    <n v="0"/>
    <n v="2"/>
    <n v="6"/>
    <n v="1"/>
    <n v="4"/>
    <n v="0"/>
    <n v="31"/>
    <n v="6"/>
    <n v="2"/>
    <n v="3"/>
    <n v="2552"/>
    <n v="2220"/>
    <n v="332"/>
    <n v="0.78200000000000003"/>
    <n v="4437"/>
    <n v="61"/>
    <n v="1.0329999999999999"/>
    <n v="0.87"/>
    <n v="2.1042000000000001E-4"/>
    <n v="0.99978999999999996"/>
    <s v="22.93080044806465"/>
    <s v="59.375031093636174"/>
    <s v="137.66208274074887"/>
    <n v="7.9400918934686704"/>
    <n v="712326708"/>
    <x v="0"/>
    <n v="3.479205E-4"/>
    <x v="0"/>
  </r>
  <r>
    <n v="51"/>
    <n v="1"/>
    <n v="2"/>
    <n v="1"/>
    <n v="2"/>
    <n v="1"/>
    <n v="0"/>
    <n v="40"/>
    <n v="4"/>
    <n v="3"/>
    <n v="3"/>
    <n v="6492"/>
    <n v="719"/>
    <n v="5773"/>
    <n v="0.71099999999999997"/>
    <n v="4828"/>
    <n v="78"/>
    <n v="0.52900000000000003"/>
    <n v="0.111"/>
    <n v="4.3772E-4"/>
    <n v="0.99956"/>
    <s v="37.97167880409965"/>
    <s v="53.52707783213109"/>
    <n v="75.117085185750796"/>
    <s v="7.690115784369606"/>
    <n v="717096858"/>
    <x v="0"/>
    <n v="5.5868360000000002E-4"/>
    <x v="0"/>
  </r>
  <r>
    <n v="43"/>
    <n v="1"/>
    <n v="3"/>
    <n v="2"/>
    <n v="0"/>
    <n v="3"/>
    <n v="0"/>
    <n v="36"/>
    <n v="4"/>
    <n v="1"/>
    <n v="0"/>
    <n v="5506"/>
    <n v="2129"/>
    <n v="3377"/>
    <n v="0.70499999999999996"/>
    <n v="4024"/>
    <n v="62"/>
    <n v="0.55000000000000004"/>
    <n v="0.38700000000000001"/>
    <s v="2.1081e-05"/>
    <n v="0.99997999999999998"/>
    <s v="5.400467581205542"/>
    <s v="9.952709240677192"/>
    <s v="10.19685792515975"/>
    <s v="14.416741193582435"/>
    <n v="708924783"/>
    <x v="0"/>
    <n v="3.5672840999999999E-4"/>
    <x v="0"/>
  </r>
  <r>
    <n v="53"/>
    <n v="1"/>
    <n v="4"/>
    <n v="6"/>
    <n v="2"/>
    <n v="0"/>
    <n v="0"/>
    <n v="48"/>
    <n v="3"/>
    <n v="3"/>
    <n v="4"/>
    <n v="34516"/>
    <n v="278"/>
    <n v="34238"/>
    <n v="0.81699999999999995"/>
    <n v="3029"/>
    <n v="49"/>
    <n v="0.4"/>
    <n v="8.0000000000000002E-3"/>
    <n v="0.99831999999999999"/>
    <n v="1.67742E-3"/>
    <s v="1.327930951324657"/>
    <s v="89.35351626151524"/>
    <s v="18.58685335123948"/>
    <s v="13.065808325214103"/>
    <n v="813053733"/>
    <x v="1"/>
    <n v="0.99779370000000001"/>
    <x v="1"/>
  </r>
  <r>
    <n v="45"/>
    <n v="0"/>
    <n v="2"/>
    <n v="2"/>
    <n v="3"/>
    <n v="1"/>
    <n v="0"/>
    <n v="37"/>
    <n v="5"/>
    <n v="2"/>
    <n v="3"/>
    <n v="5562"/>
    <n v="1556"/>
    <n v="4006"/>
    <n v="0.751"/>
    <n v="4568"/>
    <n v="76"/>
    <n v="0.76700000000000002"/>
    <n v="0.28000000000000003"/>
    <n v="1.9143E-4"/>
    <n v="0.99980999999999998"/>
    <s v="46.01659028524449"/>
    <s v="15.322324164156075"/>
    <s v="134.82360148155735"/>
    <s v="18.74705778395619"/>
    <n v="710115108"/>
    <x v="0"/>
    <n v="3.2101269999999999E-4"/>
    <x v="0"/>
  </r>
  <r>
    <n v="26"/>
    <n v="1"/>
    <n v="0"/>
    <n v="2"/>
    <n v="2"/>
    <n v="4"/>
    <n v="0"/>
    <n v="20"/>
    <n v="6"/>
    <n v="2"/>
    <n v="3"/>
    <n v="1438.3"/>
    <n v="495"/>
    <n v="943.3"/>
    <n v="1.0620000000000001"/>
    <n v="2546"/>
    <n v="40"/>
    <n v="0.33300000000000002"/>
    <n v="0.34399999999999997"/>
    <n v="1.6427999999999999E-4"/>
    <n v="0.99983999999999995"/>
    <s v="42.06127833694274"/>
    <s v="53.46708620003231"/>
    <s v="106.38349614371202"/>
    <s v="13.561625692629647"/>
    <n v="808292958"/>
    <x v="0"/>
    <n v="3.6548353E-3"/>
    <x v="0"/>
  </r>
  <r>
    <n v="33"/>
    <n v="1"/>
    <n v="1"/>
    <n v="0"/>
    <n v="1"/>
    <n v="1"/>
    <n v="0"/>
    <n v="14"/>
    <n v="3"/>
    <n v="2"/>
    <n v="2"/>
    <n v="6746"/>
    <n v="1750"/>
    <n v="4996"/>
    <n v="0.96199999999999997"/>
    <n v="2962"/>
    <n v="54"/>
    <n v="0.86199999999999999"/>
    <n v="0.25900000000000001"/>
    <n v="1.0387000000000001E-4"/>
    <n v="0.99990000000000001"/>
    <s v="26.966823386974166"/>
    <s v="32.266293694509976"/>
    <s v="27.42930424312112"/>
    <s v="3.9385540889706223"/>
    <n v="719483358"/>
    <x v="0"/>
    <n v="6.0479383999999996E-4"/>
    <x v="0"/>
  </r>
  <r>
    <n v="52"/>
    <n v="0"/>
    <n v="4"/>
    <n v="3"/>
    <n v="2"/>
    <n v="5"/>
    <n v="0"/>
    <n v="36"/>
    <n v="5"/>
    <n v="3"/>
    <n v="3"/>
    <n v="9078"/>
    <n v="1194"/>
    <n v="7884"/>
    <n v="0.745"/>
    <n v="4458"/>
    <n v="87"/>
    <n v="0.81200000000000006"/>
    <n v="0.13200000000000001"/>
    <n v="3.0842E-4"/>
    <n v="0.99968999999999997"/>
    <n v="35.677213847744603"/>
    <s v="35.84993080144394"/>
    <s v="6.241938002781184"/>
    <s v="6.965826208063973"/>
    <n v="710520408"/>
    <x v="0"/>
    <n v="3.2101269999999999E-4"/>
    <x v="0"/>
  </r>
  <r>
    <n v="36"/>
    <n v="0"/>
    <n v="3"/>
    <n v="2"/>
    <n v="2"/>
    <n v="1"/>
    <n v="0"/>
    <n v="28"/>
    <n v="3"/>
    <n v="2"/>
    <n v="3"/>
    <n v="3701"/>
    <n v="969"/>
    <n v="2732"/>
    <n v="1.079"/>
    <n v="3222"/>
    <n v="86"/>
    <n v="0.623"/>
    <n v="0.26200000000000001"/>
    <n v="1.9864000000000001E-4"/>
    <n v="0.99980000000000002"/>
    <s v="11.519734312313547"/>
    <s v="33.02740373197573"/>
    <s v="98.35415341877145"/>
    <n v="5.5868860012611803"/>
    <n v="712658283"/>
    <x v="0"/>
    <n v="4.1257840000000001E-4"/>
    <x v="0"/>
  </r>
  <r>
    <n v="48"/>
    <n v="0"/>
    <n v="3"/>
    <n v="6"/>
    <n v="2"/>
    <n v="4"/>
    <n v="0"/>
    <n v="36"/>
    <n v="2"/>
    <n v="1"/>
    <n v="3"/>
    <n v="1853"/>
    <n v="1314"/>
    <n v="539"/>
    <n v="0.92500000000000004"/>
    <n v="5331"/>
    <n v="79"/>
    <n v="0.61199999999999999"/>
    <n v="0.70899999999999996"/>
    <n v="1.0566E-4"/>
    <n v="0.99988999999999995"/>
    <s v="90.81282759292984"/>
    <s v="34.29786771048159"/>
    <s v="74.88178106394385"/>
    <s v="2.4080224465480944"/>
    <n v="717307158"/>
    <x v="0"/>
    <n v="4.26582E-4"/>
    <x v="0"/>
  </r>
  <r>
    <n v="48"/>
    <n v="1"/>
    <n v="2"/>
    <n v="2"/>
    <n v="2"/>
    <n v="1"/>
    <n v="0"/>
    <n v="31"/>
    <n v="6"/>
    <n v="3"/>
    <n v="3"/>
    <n v="3261"/>
    <n v="1730"/>
    <n v="1531"/>
    <n v="0.68200000000000005"/>
    <n v="4242"/>
    <n v="65"/>
    <n v="0.66700000000000004"/>
    <n v="0.53100000000000003"/>
    <n v="3.0250999999999998E-4"/>
    <n v="0.99970000000000003"/>
    <s v="47.11254208271951"/>
    <s v="95.21650811471844"/>
    <s v="39.97128518136226"/>
    <s v="11.24987254819127"/>
    <n v="779658408"/>
    <x v="0"/>
    <n v="3.2890364000000001E-4"/>
    <x v="0"/>
  </r>
  <r>
    <n v="29"/>
    <n v="0"/>
    <n v="1"/>
    <n v="2"/>
    <n v="1"/>
    <n v="4"/>
    <n v="0"/>
    <n v="36"/>
    <n v="2"/>
    <n v="2"/>
    <n v="0"/>
    <n v="1438.3"/>
    <n v="0"/>
    <n v="1438.3"/>
    <n v="0.73399999999999999"/>
    <n v="4769"/>
    <n v="84"/>
    <n v="0.82599999999999996"/>
    <n v="0"/>
    <s v="3.941e-05"/>
    <n v="0.99995999999999996"/>
    <s v="20.748238605161287"/>
    <s v="17.835025185691983"/>
    <s v="99.44681677943046"/>
    <s v="16.10785437653731"/>
    <n v="715549158"/>
    <x v="0"/>
    <n v="6.9517245999999998E-4"/>
    <x v="0"/>
  </r>
  <r>
    <n v="51"/>
    <n v="1"/>
    <n v="1"/>
    <n v="0"/>
    <n v="1"/>
    <n v="3"/>
    <n v="3"/>
    <n v="38"/>
    <n v="2"/>
    <n v="3"/>
    <n v="2"/>
    <n v="34516"/>
    <n v="0"/>
    <n v="34516"/>
    <n v="0.67800000000000005"/>
    <n v="7686"/>
    <n v="89"/>
    <n v="0.61799999999999999"/>
    <n v="0"/>
    <n v="1.4831999999999999E-4"/>
    <n v="0.99985000000000002"/>
    <s v="14.19987556507773"/>
    <s v="5.9211176574093445"/>
    <n v="71.109460168089299"/>
    <s v="4.665084192418275"/>
    <n v="715599633"/>
    <x v="0"/>
    <n v="8.1829850000000003E-4"/>
    <x v="0"/>
  </r>
  <r>
    <n v="60"/>
    <n v="0"/>
    <n v="1"/>
    <n v="2"/>
    <n v="2"/>
    <n v="4"/>
    <n v="0"/>
    <n v="55"/>
    <n v="4"/>
    <n v="1"/>
    <n v="0"/>
    <n v="2346"/>
    <n v="2150"/>
    <n v="196"/>
    <n v="0.66600000000000004"/>
    <n v="4592"/>
    <n v="90"/>
    <n v="0.8"/>
    <n v="0.91600000000000004"/>
    <s v="1.9069e-05"/>
    <n v="0.99997999999999998"/>
    <s v="11.637790965001162"/>
    <s v="11.133097182779116"/>
    <s v="71.98097664997557"/>
    <s v="9.473440632793288"/>
    <n v="809071083"/>
    <x v="0"/>
    <n v="3.2101269999999999E-4"/>
    <x v="0"/>
  </r>
  <r>
    <n v="58"/>
    <n v="1"/>
    <n v="2"/>
    <n v="0"/>
    <n v="1"/>
    <n v="0"/>
    <n v="0"/>
    <n v="53"/>
    <n v="2"/>
    <n v="3"/>
    <n v="0"/>
    <n v="24407"/>
    <n v="2395"/>
    <n v="22012"/>
    <n v="1.071"/>
    <n v="2311"/>
    <n v="48"/>
    <n v="0.71399999999999997"/>
    <n v="9.8000000000000004E-2"/>
    <s v="6.4511e-05"/>
    <n v="0.99994000000000005"/>
    <s v="58.599898101924246"/>
    <s v="28.296953695732974"/>
    <s v="83.55802289401989"/>
    <s v="17.99654723457141"/>
    <n v="820596183"/>
    <x v="0"/>
    <n v="1.2797175E-3"/>
    <x v="0"/>
  </r>
  <r>
    <n v="55"/>
    <n v="1"/>
    <n v="2"/>
    <n v="2"/>
    <n v="1"/>
    <n v="2"/>
    <n v="0"/>
    <n v="50"/>
    <n v="5"/>
    <n v="2"/>
    <n v="4"/>
    <n v="2145"/>
    <n v="1207"/>
    <n v="938"/>
    <n v="0.52100000000000002"/>
    <n v="1275"/>
    <n v="31"/>
    <n v="0.47599999999999998"/>
    <n v="0.56299999999999994"/>
    <n v="3.2655999999999999E-4"/>
    <n v="0.99966999999999995"/>
    <s v="26.822096212644997"/>
    <s v="9.237838837988772"/>
    <s v="58.53614897310553"/>
    <s v="0.5867024634175038"/>
    <n v="818923158"/>
    <x v="0"/>
    <n v="1.1982243E-3"/>
    <x v="0"/>
  </r>
  <r>
    <n v="44"/>
    <n v="1"/>
    <n v="3"/>
    <n v="0"/>
    <n v="1"/>
    <n v="1"/>
    <n v="0"/>
    <n v="30"/>
    <n v="2"/>
    <n v="3"/>
    <n v="3"/>
    <n v="9317"/>
    <n v="847"/>
    <n v="8470"/>
    <n v="0.76500000000000001"/>
    <n v="4121"/>
    <n v="81"/>
    <n v="0.72299999999999998"/>
    <n v="9.0999999999999998E-2"/>
    <n v="3.0519E-4"/>
    <n v="0.99968999999999997"/>
    <s v="46.18097678544533"/>
    <s v="29.251621187376973"/>
    <n v="9.7465472182874606"/>
    <s v="1.084996156991875"/>
    <n v="712510833"/>
    <x v="0"/>
    <n v="5.0371979999999997E-4"/>
    <x v="0"/>
  </r>
  <r>
    <n v="37"/>
    <n v="0"/>
    <n v="3"/>
    <n v="0"/>
    <n v="1"/>
    <n v="4"/>
    <n v="0"/>
    <n v="27"/>
    <n v="2"/>
    <n v="1"/>
    <n v="3"/>
    <n v="2939"/>
    <n v="1388"/>
    <n v="1551"/>
    <n v="0.69"/>
    <n v="5076"/>
    <n v="84"/>
    <n v="0.82599999999999996"/>
    <n v="0.47199999999999998"/>
    <s v="9.3457e-05"/>
    <n v="0.99990999999999997"/>
    <s v="16.044529939889852"/>
    <s v="100.42152841550669"/>
    <s v="21.06093136101452"/>
    <s v="24.210487558929085"/>
    <n v="719281533"/>
    <x v="0"/>
    <n v="3.2101269999999999E-4"/>
    <x v="0"/>
  </r>
  <r>
    <n v="57"/>
    <n v="1"/>
    <n v="1"/>
    <n v="2"/>
    <n v="1"/>
    <n v="3"/>
    <n v="0"/>
    <n v="47"/>
    <n v="5"/>
    <n v="3"/>
    <n v="1"/>
    <n v="14612"/>
    <n v="1976"/>
    <n v="12636"/>
    <n v="1.768"/>
    <n v="1827"/>
    <n v="24"/>
    <n v="3"/>
    <n v="0.13500000000000001"/>
    <n v="1.0182E-4"/>
    <n v="0.99990000000000001"/>
    <s v="17.722453029397943"/>
    <s v="16.861221467513655"/>
    <s v="4.609446586849357"/>
    <s v="4.110544883851111"/>
    <n v="780376683"/>
    <x v="0"/>
    <n v="9.8706899999999992E-4"/>
    <x v="0"/>
  </r>
  <r>
    <n v="52"/>
    <n v="1"/>
    <n v="3"/>
    <n v="0"/>
    <n v="1"/>
    <n v="0"/>
    <n v="0"/>
    <n v="47"/>
    <n v="3"/>
    <n v="2"/>
    <n v="4"/>
    <n v="6355"/>
    <n v="0"/>
    <n v="6355"/>
    <n v="0.71099999999999997"/>
    <n v="4009"/>
    <n v="74"/>
    <n v="0.94699999999999995"/>
    <n v="0"/>
    <n v="3.2945000000000001E-4"/>
    <n v="0.99966999999999995"/>
    <s v="9.876426980588604"/>
    <s v="23.217187425134437"/>
    <s v="20.10133532261289"/>
    <s v="10.556501695947512"/>
    <n v="807369708"/>
    <x v="0"/>
    <n v="6.9517245999999998E-4"/>
    <x v="0"/>
  </r>
  <r>
    <n v="47"/>
    <n v="0"/>
    <n v="0"/>
    <n v="0"/>
    <n v="1"/>
    <n v="4"/>
    <n v="0"/>
    <n v="27"/>
    <n v="3"/>
    <n v="1"/>
    <n v="3"/>
    <n v="1776"/>
    <n v="691"/>
    <n v="1085"/>
    <n v="0.878"/>
    <n v="4878"/>
    <n v="84"/>
    <n v="0.82599999999999996"/>
    <n v="0.38900000000000001"/>
    <s v="7.7286e-05"/>
    <n v="0.99992000000000003"/>
    <s v="8.960228397423625"/>
    <s v="27.34569403860082"/>
    <s v="36.45277670041429"/>
    <s v="2.694142244476528"/>
    <n v="719680908"/>
    <x v="0"/>
    <n v="5.4489190000000002E-4"/>
    <x v="0"/>
  </r>
  <r>
    <n v="48"/>
    <n v="0"/>
    <n v="5"/>
    <n v="4"/>
    <n v="1"/>
    <n v="4"/>
    <n v="0"/>
    <n v="40"/>
    <n v="3"/>
    <n v="3"/>
    <n v="3"/>
    <n v="1438.3"/>
    <n v="665"/>
    <n v="773.3"/>
    <n v="0.75"/>
    <n v="4100"/>
    <n v="84"/>
    <n v="0.61499999999999999"/>
    <n v="0.46200000000000002"/>
    <n v="3.6747E-4"/>
    <n v="0.99963000000000002"/>
    <n v="34.7174593678684"/>
    <s v="20.933759482041488"/>
    <s v="128.77581541328252"/>
    <s v="4.562405646842035"/>
    <n v="710003958"/>
    <x v="0"/>
    <n v="5.5868360000000002E-4"/>
    <x v="0"/>
  </r>
  <r>
    <n v="49"/>
    <n v="0"/>
    <n v="4"/>
    <n v="2"/>
    <n v="1"/>
    <n v="4"/>
    <n v="0"/>
    <n v="36"/>
    <n v="3"/>
    <n v="3"/>
    <n v="3"/>
    <n v="1438.3"/>
    <n v="666"/>
    <n v="772.3"/>
    <n v="0.67500000000000004"/>
    <n v="4759"/>
    <n v="90"/>
    <n v="0.66700000000000004"/>
    <n v="0.46300000000000002"/>
    <n v="3.1725999999999998E-4"/>
    <n v="0.99968000000000001"/>
    <s v="25.202237186390946"/>
    <s v="63.85561336078496"/>
    <s v="109.35635429321832"/>
    <s v="0.8308945781701003"/>
    <n v="720072933"/>
    <x v="0"/>
    <n v="5.4489190000000002E-4"/>
    <x v="0"/>
  </r>
  <r>
    <n v="54"/>
    <n v="0"/>
    <n v="2"/>
    <n v="0"/>
    <n v="2"/>
    <n v="5"/>
    <n v="0"/>
    <n v="36"/>
    <n v="1"/>
    <n v="3"/>
    <n v="3"/>
    <n v="8827"/>
    <n v="0"/>
    <n v="8827"/>
    <n v="0.78200000000000003"/>
    <n v="2643"/>
    <n v="50"/>
    <n v="0.51500000000000001"/>
    <n v="0"/>
    <n v="0.99661"/>
    <n v="3.3875699999999999E-3"/>
    <n v="65.546625448813003"/>
    <s v="6.727975827966245"/>
    <s v="14.325074219526016"/>
    <s v="7.817331264973411"/>
    <n v="712136058"/>
    <x v="1"/>
    <n v="0.99850684000000001"/>
    <x v="1"/>
  </r>
  <r>
    <n v="38"/>
    <n v="0"/>
    <n v="4"/>
    <n v="2"/>
    <n v="1"/>
    <n v="4"/>
    <n v="0"/>
    <n v="36"/>
    <n v="4"/>
    <n v="3"/>
    <n v="3"/>
    <n v="1860"/>
    <n v="0"/>
    <n v="1860"/>
    <n v="0.99199999999999999"/>
    <n v="1731"/>
    <n v="29"/>
    <n v="0.61099999999999999"/>
    <n v="0"/>
    <n v="3.1725999999999998E-4"/>
    <n v="0.99968000000000001"/>
    <s v="38.19434929875956"/>
    <s v="54.88045674212813"/>
    <s v="39.21866015688623"/>
    <s v="14.426730837460209"/>
    <n v="715702758"/>
    <x v="0"/>
    <n v="3.8659226000000001E-3"/>
    <x v="0"/>
  </r>
  <r>
    <n v="44"/>
    <n v="1"/>
    <n v="3"/>
    <n v="2"/>
    <n v="2"/>
    <n v="2"/>
    <n v="0"/>
    <n v="37"/>
    <n v="2"/>
    <n v="3"/>
    <n v="2"/>
    <n v="14546"/>
    <n v="1703"/>
    <n v="12843"/>
    <n v="0.95499999999999996"/>
    <n v="1273"/>
    <n v="27"/>
    <n v="0.58799999999999997"/>
    <n v="0.11700000000000001"/>
    <n v="1.8665000000000001E-4"/>
    <n v="0.99980999999999998"/>
    <s v="30.58431273205532"/>
    <s v="17.60278219671256"/>
    <s v="20.971454587276156"/>
    <s v="9.697801896998175"/>
    <n v="715120608"/>
    <x v="0"/>
    <n v="1.30645E-3"/>
    <x v="0"/>
  </r>
  <r>
    <n v="58"/>
    <n v="1"/>
    <n v="1"/>
    <n v="5"/>
    <n v="1"/>
    <n v="3"/>
    <n v="0"/>
    <n v="50"/>
    <n v="5"/>
    <n v="3"/>
    <n v="2"/>
    <n v="6978"/>
    <n v="1148"/>
    <n v="5830"/>
    <n v="1.645"/>
    <n v="1362"/>
    <n v="26"/>
    <n v="1"/>
    <n v="0.16500000000000001"/>
    <n v="1.7359999999999999E-4"/>
    <n v="0.99983"/>
    <s v="23.163963684728397"/>
    <s v="6.361912233906837"/>
    <s v="25.971196479920177"/>
    <s v="5.262741864027434"/>
    <n v="709579383"/>
    <x v="0"/>
    <n v="9.8706899999999992E-4"/>
    <x v="0"/>
  </r>
  <r>
    <n v="26"/>
    <n v="0"/>
    <n v="0"/>
    <n v="6"/>
    <n v="2"/>
    <n v="1"/>
    <n v="0"/>
    <n v="16"/>
    <n v="6"/>
    <n v="2"/>
    <n v="4"/>
    <n v="1612"/>
    <n v="835"/>
    <n v="777"/>
    <n v="0.58799999999999997"/>
    <n v="2148"/>
    <n v="40"/>
    <n v="0.379"/>
    <n v="0.51800000000000002"/>
    <n v="3.0802999999999999E-4"/>
    <n v="0.99968999999999997"/>
    <s v="7.364508711566217"/>
    <s v="4.544773717028024"/>
    <s v="41.53937967007579"/>
    <s v="12.986904661151462"/>
    <n v="710528583"/>
    <x v="0"/>
    <n v="2.3613821E-3"/>
    <x v="0"/>
  </r>
  <r>
    <n v="46"/>
    <n v="1"/>
    <n v="3"/>
    <n v="2"/>
    <n v="1"/>
    <n v="2"/>
    <n v="0"/>
    <n v="37"/>
    <n v="6"/>
    <n v="3"/>
    <n v="3"/>
    <n v="18821"/>
    <n v="774"/>
    <n v="18047"/>
    <n v="0.58599999999999997"/>
    <n v="4402"/>
    <n v="75"/>
    <n v="0.56200000000000006"/>
    <n v="4.1000000000000002E-2"/>
    <n v="3.1389999999999999E-4"/>
    <n v="0.99968999999999997"/>
    <s v="6.176393553195049"/>
    <n v="7.01241374547413"/>
    <s v="6.469855423483385"/>
    <n v="20.6497808853801"/>
    <n v="710051658"/>
    <x v="0"/>
    <n v="5.9987994999999999E-4"/>
    <x v="0"/>
  </r>
  <r>
    <n v="50"/>
    <n v="0"/>
    <n v="3"/>
    <n v="2"/>
    <n v="1"/>
    <n v="4"/>
    <n v="0"/>
    <n v="45"/>
    <n v="1"/>
    <n v="3"/>
    <n v="1"/>
    <n v="1789"/>
    <n v="1156"/>
    <n v="633"/>
    <n v="0.748"/>
    <n v="5110"/>
    <n v="75"/>
    <n v="0.63"/>
    <n v="0.64600000000000002"/>
    <n v="1.1256000000000001E-4"/>
    <n v="0.99988999999999995"/>
    <s v="14.609696668627238"/>
    <s v="73.58632982943656"/>
    <s v="64.61717934373783"/>
    <s v="14.253826220120208"/>
    <n v="815072283"/>
    <x v="0"/>
    <n v="3.2914013999999999E-4"/>
    <x v="0"/>
  </r>
  <r>
    <n v="57"/>
    <n v="0"/>
    <n v="3"/>
    <n v="6"/>
    <n v="1"/>
    <n v="1"/>
    <n v="0"/>
    <n v="48"/>
    <n v="4"/>
    <n v="2"/>
    <n v="2"/>
    <n v="3585"/>
    <n v="1244"/>
    <n v="2341"/>
    <n v="0.50700000000000001"/>
    <n v="1344"/>
    <n v="37"/>
    <n v="0.85"/>
    <n v="0.34699999999999998"/>
    <n v="1.2982E-4"/>
    <n v="0.99987000000000004"/>
    <s v="13.184530845922367"/>
    <n v="66.2894960232899"/>
    <s v="14.626313370029376"/>
    <s v="5.647389487927137"/>
    <n v="781013958"/>
    <x v="0"/>
    <n v="9.8706899999999992E-4"/>
    <x v="0"/>
  </r>
  <r>
    <n v="35"/>
    <n v="0"/>
    <n v="0"/>
    <n v="6"/>
    <n v="1"/>
    <n v="4"/>
    <n v="0"/>
    <n v="24"/>
    <n v="6"/>
    <n v="1"/>
    <n v="1"/>
    <n v="2592"/>
    <n v="2227"/>
    <n v="365"/>
    <n v="0.63300000000000001"/>
    <n v="1695"/>
    <n v="48"/>
    <n v="0.54800000000000004"/>
    <n v="0.85899999999999999"/>
    <s v="3.1329e-05"/>
    <n v="0.99997000000000003"/>
    <s v="23.61444909210258"/>
    <s v="10.51648582096938"/>
    <s v="90.37089388781207"/>
    <s v="13.52993057307456"/>
    <n v="778799583"/>
    <x v="0"/>
    <n v="1.0598798E-3"/>
    <x v="0"/>
  </r>
  <r>
    <n v="37"/>
    <n v="0"/>
    <n v="2"/>
    <n v="0"/>
    <n v="2"/>
    <n v="1"/>
    <n v="0"/>
    <n v="26"/>
    <n v="3"/>
    <n v="2"/>
    <n v="3"/>
    <n v="1438.3"/>
    <n v="743"/>
    <n v="695.3"/>
    <n v="0.56100000000000005"/>
    <n v="4730"/>
    <n v="80"/>
    <n v="0.77800000000000002"/>
    <n v="0.51700000000000002"/>
    <n v="1.8611999999999999E-4"/>
    <n v="0.99980999999999998"/>
    <s v="69.49419667318472"/>
    <s v="54.76172965180654"/>
    <s v="33.80767923652025"/>
    <s v="23.504327880739247"/>
    <n v="717790233"/>
    <x v="0"/>
    <n v="5.4489190000000002E-4"/>
    <x v="0"/>
  </r>
  <r>
    <n v="46"/>
    <n v="1"/>
    <n v="0"/>
    <n v="5"/>
    <n v="2"/>
    <n v="2"/>
    <n v="3"/>
    <n v="36"/>
    <n v="6"/>
    <n v="3"/>
    <n v="2"/>
    <n v="30501"/>
    <n v="2030"/>
    <n v="28471"/>
    <n v="0.56000000000000005"/>
    <n v="2525"/>
    <n v="45"/>
    <n v="0.5"/>
    <n v="6.7000000000000004E-2"/>
    <n v="1.4339999999999999E-4"/>
    <n v="0.99985999999999997"/>
    <s v="32.32503923886175"/>
    <s v="59.04848828105482"/>
    <s v="118.04870016835362"/>
    <s v="8.786610156966615"/>
    <n v="715762083"/>
    <x v="0"/>
    <n v="1.6691644E-3"/>
    <x v="0"/>
  </r>
  <r>
    <n v="53"/>
    <n v="0"/>
    <n v="2"/>
    <n v="0"/>
    <n v="1"/>
    <n v="5"/>
    <n v="0"/>
    <n v="41"/>
    <n v="5"/>
    <n v="1"/>
    <n v="3"/>
    <n v="5659"/>
    <n v="1393"/>
    <n v="4266"/>
    <n v="0.436"/>
    <n v="1570"/>
    <n v="40"/>
    <n v="0.6"/>
    <n v="0.246"/>
    <s v="9.0064e-05"/>
    <n v="0.99990999999999997"/>
    <s v="13.938979082785623"/>
    <s v="2.385153636513843"/>
    <s v="13.829404893543265"/>
    <s v="26.75718394278963"/>
    <n v="708314808"/>
    <x v="0"/>
    <n v="1.0598798E-3"/>
    <x v="0"/>
  </r>
  <r>
    <n v="47"/>
    <n v="0"/>
    <n v="3"/>
    <n v="1"/>
    <n v="2"/>
    <n v="1"/>
    <n v="0"/>
    <n v="35"/>
    <n v="3"/>
    <n v="3"/>
    <n v="2"/>
    <n v="2872"/>
    <n v="2517"/>
    <n v="355"/>
    <n v="0.60599999999999998"/>
    <n v="3635"/>
    <n v="62"/>
    <n v="0.82399999999999995"/>
    <n v="0.876"/>
    <n v="2.7008000000000002E-4"/>
    <n v="0.99973000000000001"/>
    <s v="1.7120107023720077"/>
    <s v="15.868725875858804"/>
    <s v="10.889943637778984"/>
    <s v="1.4343552875219845"/>
    <n v="717888108"/>
    <x v="0"/>
    <n v="3.7600060000000002E-4"/>
    <x v="0"/>
  </r>
  <r>
    <n v="43"/>
    <n v="1"/>
    <n v="2"/>
    <n v="2"/>
    <n v="1"/>
    <n v="2"/>
    <n v="0"/>
    <n v="28"/>
    <n v="6"/>
    <n v="3"/>
    <n v="2"/>
    <n v="19826"/>
    <n v="1389"/>
    <n v="18437"/>
    <n v="0.61399999999999999"/>
    <n v="3561"/>
    <n v="73"/>
    <n v="0.65900000000000003"/>
    <n v="7.0000000000000007E-2"/>
    <n v="1.7987E-4"/>
    <n v="0.99982000000000004"/>
    <s v="29.039214426441795"/>
    <s v="36.24475697342056"/>
    <n v="92.685814095485696"/>
    <s v="19.17344929683033"/>
    <n v="779739783"/>
    <x v="0"/>
    <n v="3.5729867999999997E-4"/>
    <x v="0"/>
  </r>
  <r>
    <n v="44"/>
    <n v="1"/>
    <n v="3"/>
    <n v="3"/>
    <n v="2"/>
    <n v="4"/>
    <n v="0"/>
    <n v="38"/>
    <n v="6"/>
    <n v="1"/>
    <n v="2"/>
    <n v="2111"/>
    <n v="1047"/>
    <n v="1064"/>
    <n v="0.97099999999999997"/>
    <n v="4830"/>
    <n v="82"/>
    <n v="0.95199999999999996"/>
    <n v="0.496"/>
    <s v="5.5559e-05"/>
    <n v="0.99994000000000005"/>
    <s v="2.877499462037466"/>
    <s v="1.4143958317405751"/>
    <s v="66.29406317805525"/>
    <n v="2.4777936694682E-2"/>
    <n v="770293758"/>
    <x v="0"/>
    <n v="3.221314E-4"/>
    <x v="0"/>
  </r>
  <r>
    <n v="43"/>
    <n v="0"/>
    <n v="3"/>
    <n v="0"/>
    <n v="1"/>
    <n v="4"/>
    <n v="3"/>
    <n v="34"/>
    <n v="4"/>
    <n v="2"/>
    <n v="2"/>
    <n v="11362"/>
    <n v="1871"/>
    <n v="9491"/>
    <n v="0.85899999999999999"/>
    <n v="7849"/>
    <n v="88"/>
    <n v="0.63"/>
    <n v="0.16500000000000001"/>
    <n v="1.0375E-4"/>
    <n v="0.99990000000000001"/>
    <s v="19.071166329070444"/>
    <s v="52.44845483611724"/>
    <s v="106.91182005055636"/>
    <s v="29.22117265687723"/>
    <n v="717248583"/>
    <x v="0"/>
    <n v="3.7789578000000003E-4"/>
    <x v="0"/>
  </r>
  <r>
    <n v="47"/>
    <n v="0"/>
    <n v="2"/>
    <n v="2"/>
    <n v="1"/>
    <n v="1"/>
    <n v="0"/>
    <n v="36"/>
    <n v="5"/>
    <n v="2"/>
    <n v="3"/>
    <n v="2255"/>
    <n v="1733"/>
    <n v="522"/>
    <n v="0.90300000000000002"/>
    <n v="4772"/>
    <n v="83"/>
    <n v="0.72899999999999998"/>
    <n v="0.76900000000000002"/>
    <n v="1.9143E-4"/>
    <n v="0.99980999999999998"/>
    <s v="29.98937653462451"/>
    <s v="19.36624959556607"/>
    <s v="31.71325991107366"/>
    <s v="16.516359037629847"/>
    <n v="713005908"/>
    <x v="0"/>
    <n v="3.221314E-4"/>
    <x v="0"/>
  </r>
  <r>
    <n v="37"/>
    <n v="0"/>
    <n v="3"/>
    <n v="2"/>
    <n v="1"/>
    <n v="5"/>
    <n v="0"/>
    <n v="24"/>
    <n v="3"/>
    <n v="2"/>
    <n v="2"/>
    <n v="10584"/>
    <n v="1550"/>
    <n v="9034"/>
    <n v="0.69199999999999995"/>
    <n v="1567"/>
    <n v="33"/>
    <n v="0.32"/>
    <n v="0.14599999999999999"/>
    <n v="1.1811000000000001E-4"/>
    <n v="0.99987999999999999"/>
    <s v="11.52654149517556"/>
    <s v="46.72292403364687"/>
    <s v="133.71015210145953"/>
    <s v="5.356040884531332"/>
    <n v="780481308"/>
    <x v="0"/>
    <n v="1.232702E-3"/>
    <x v="0"/>
  </r>
  <r>
    <n v="43"/>
    <n v="0"/>
    <n v="5"/>
    <n v="2"/>
    <n v="1"/>
    <n v="4"/>
    <n v="3"/>
    <n v="33"/>
    <n v="6"/>
    <n v="3"/>
    <n v="2"/>
    <n v="14806"/>
    <n v="2517"/>
    <n v="12289"/>
    <n v="0.55800000000000005"/>
    <n v="4804"/>
    <n v="57"/>
    <n v="0.46200000000000002"/>
    <n v="0.17"/>
    <n v="0.99407999999999996"/>
    <n v="5.9199999999999999E-3"/>
    <s v="2.433152704269121"/>
    <s v="60.21752384860517"/>
    <s v="125.41027421460176"/>
    <n v="9.1341660121720096"/>
    <n v="803216433"/>
    <x v="1"/>
    <n v="0.98804860000000005"/>
    <x v="1"/>
  </r>
  <r>
    <n v="51"/>
    <n v="1"/>
    <n v="0"/>
    <n v="3"/>
    <n v="3"/>
    <n v="3"/>
    <n v="0"/>
    <n v="44"/>
    <n v="2"/>
    <n v="2"/>
    <n v="3"/>
    <n v="22741"/>
    <n v="2176"/>
    <n v="20565"/>
    <n v="0.68899999999999995"/>
    <n v="8438"/>
    <n v="100"/>
    <n v="0.88700000000000001"/>
    <n v="9.6000000000000002E-2"/>
    <n v="1.5970000000000001E-4"/>
    <n v="0.99983999999999995"/>
    <s v="14.550629801783506"/>
    <s v="14.43036901234282"/>
    <n v="56.9186247296036"/>
    <s v="8.451791825650629"/>
    <n v="790168083"/>
    <x v="0"/>
    <n v="3.6856539999999998E-4"/>
    <x v="0"/>
  </r>
  <r>
    <n v="36"/>
    <n v="0"/>
    <n v="2"/>
    <n v="2"/>
    <n v="1"/>
    <n v="4"/>
    <n v="0"/>
    <n v="24"/>
    <n v="3"/>
    <n v="1"/>
    <n v="3"/>
    <n v="3124"/>
    <n v="1593"/>
    <n v="1531"/>
    <n v="0.86899999999999999"/>
    <n v="1652"/>
    <n v="41"/>
    <n v="0.36699999999999999"/>
    <n v="0.51"/>
    <s v="9.2637e-05"/>
    <n v="0.99990999999999997"/>
    <s v="6.506541721743771"/>
    <s v="41.95653160081301"/>
    <s v="104.22039618495032"/>
    <s v="4.1006023247354815"/>
    <n v="714529233"/>
    <x v="0"/>
    <n v="1.232702E-3"/>
    <x v="0"/>
  </r>
  <r>
    <n v="50"/>
    <n v="0"/>
    <n v="2"/>
    <n v="4"/>
    <n v="1"/>
    <n v="1"/>
    <n v="0"/>
    <n v="36"/>
    <n v="3"/>
    <n v="2"/>
    <n v="3"/>
    <n v="5527"/>
    <n v="1120"/>
    <n v="4407"/>
    <n v="0.442"/>
    <n v="2281"/>
    <n v="37"/>
    <n v="0.48"/>
    <n v="0.20300000000000001"/>
    <n v="0.99558000000000002"/>
    <n v="4.4189199999999998E-3"/>
    <s v="26.80020096068385"/>
    <s v="47.23401334332744"/>
    <s v="28.982681292138764"/>
    <n v="8.7181421627011595"/>
    <n v="709178733"/>
    <x v="1"/>
    <n v="0.99585044"/>
    <x v="1"/>
  </r>
  <r>
    <n v="55"/>
    <n v="0"/>
    <n v="2"/>
    <n v="2"/>
    <n v="2"/>
    <n v="4"/>
    <n v="0"/>
    <n v="49"/>
    <n v="2"/>
    <n v="1"/>
    <n v="2"/>
    <n v="1583"/>
    <n v="234"/>
    <n v="1349"/>
    <n v="0.63900000000000001"/>
    <n v="2541"/>
    <n v="36"/>
    <n v="0.38500000000000001"/>
    <n v="0.14799999999999999"/>
    <n v="0.98216999999999999"/>
    <n v="1.7829999999999999E-2"/>
    <s v="25.557451148832023"/>
    <s v="45.66384410245818"/>
    <s v="97.68722799025014"/>
    <s v="15.142114007728042"/>
    <n v="768624258"/>
    <x v="1"/>
    <n v="0.99855499999999997"/>
    <x v="1"/>
  </r>
  <r>
    <n v="46"/>
    <n v="1"/>
    <n v="3"/>
    <n v="2"/>
    <n v="2"/>
    <n v="3"/>
    <n v="0"/>
    <n v="35"/>
    <n v="6"/>
    <n v="3"/>
    <n v="4"/>
    <n v="4930"/>
    <n v="0"/>
    <n v="4930"/>
    <n v="1.0189999999999999"/>
    <n v="3343"/>
    <n v="77"/>
    <n v="0.63800000000000001"/>
    <n v="0"/>
    <n v="5.3543000000000004E-4"/>
    <n v="0.99946000000000002"/>
    <s v="19.919573438956217"/>
    <n v="8.8942432046740905E-2"/>
    <s v="123.81406503440974"/>
    <n v="5.2119570619190396"/>
    <n v="771852483"/>
    <x v="0"/>
    <n v="7.6589819999999995E-4"/>
    <x v="0"/>
  </r>
  <r>
    <n v="39"/>
    <n v="0"/>
    <n v="1"/>
    <n v="3"/>
    <n v="1"/>
    <n v="4"/>
    <n v="0"/>
    <n v="25"/>
    <n v="2"/>
    <n v="2"/>
    <n v="1"/>
    <n v="2024"/>
    <n v="0"/>
    <n v="2024"/>
    <n v="0.80100000000000005"/>
    <n v="2870"/>
    <n v="36"/>
    <n v="0.5"/>
    <n v="0"/>
    <n v="0.98429"/>
    <n v="1.5709999999999998E-2"/>
    <s v="13.602855110757938"/>
    <n v="31.172474351049001"/>
    <s v="69.73166977299645"/>
    <s v="2.4287445605885725"/>
    <n v="787452333"/>
    <x v="1"/>
    <n v="0.99872713999999996"/>
    <x v="1"/>
  </r>
  <r>
    <n v="54"/>
    <n v="0"/>
    <n v="1"/>
    <n v="2"/>
    <n v="2"/>
    <n v="4"/>
    <n v="0"/>
    <n v="49"/>
    <n v="3"/>
    <n v="2"/>
    <n v="2"/>
    <n v="2930"/>
    <n v="2266"/>
    <n v="664"/>
    <n v="0.73399999999999999"/>
    <n v="4752"/>
    <n v="72"/>
    <n v="1.323"/>
    <n v="0.77300000000000002"/>
    <n v="1.0684E-4"/>
    <n v="0.99988999999999995"/>
    <n v="6.1168364155146202"/>
    <s v="5.558209496921446"/>
    <s v="6.478789962243291"/>
    <s v="26.89123530543176"/>
    <n v="815756058"/>
    <x v="0"/>
    <n v="3.2101269999999999E-4"/>
    <x v="0"/>
  </r>
  <r>
    <n v="56"/>
    <n v="1"/>
    <n v="2"/>
    <n v="6"/>
    <n v="1"/>
    <n v="4"/>
    <n v="0"/>
    <n v="44"/>
    <n v="5"/>
    <n v="3"/>
    <n v="1"/>
    <n v="4390"/>
    <n v="0"/>
    <n v="4390"/>
    <n v="1.0049999999999999"/>
    <n v="8454"/>
    <n v="69"/>
    <n v="0.76900000000000002"/>
    <n v="0"/>
    <n v="0.99168000000000001"/>
    <n v="8.3199999999999993E-3"/>
    <s v="2.3902398133073963"/>
    <n v="20.143119370032199"/>
    <s v="35.664321863229134"/>
    <s v="11.197070654992828"/>
    <n v="717631908"/>
    <x v="1"/>
    <n v="0.9954307"/>
    <x v="1"/>
  </r>
  <r>
    <n v="44"/>
    <n v="1"/>
    <n v="3"/>
    <n v="5"/>
    <n v="2"/>
    <n v="1"/>
    <n v="0"/>
    <n v="30"/>
    <n v="3"/>
    <n v="3"/>
    <n v="2"/>
    <n v="1547"/>
    <n v="0"/>
    <n v="1547"/>
    <n v="0.79200000000000004"/>
    <n v="4348"/>
    <n v="63"/>
    <n v="0.61499999999999999"/>
    <n v="0"/>
    <n v="1.9191E-4"/>
    <n v="0.99980999999999998"/>
    <s v="33.25940812125236"/>
    <s v="109.16722442050084"/>
    <s v="59.64841787928455"/>
    <s v="13.536954694593328"/>
    <n v="718946358"/>
    <x v="0"/>
    <n v="8.3301717E-4"/>
    <x v="0"/>
  </r>
  <r>
    <n v="41"/>
    <n v="1"/>
    <n v="3"/>
    <n v="5"/>
    <n v="2"/>
    <n v="3"/>
    <n v="0"/>
    <n v="28"/>
    <n v="1"/>
    <n v="3"/>
    <n v="3"/>
    <n v="7142"/>
    <n v="1917"/>
    <n v="5225"/>
    <n v="0.72699999999999998"/>
    <n v="7892"/>
    <n v="83"/>
    <n v="0.72899999999999998"/>
    <n v="0.26800000000000002"/>
    <n v="3.2275000000000001E-4"/>
    <n v="0.99968000000000001"/>
    <s v="0.5553153262801254"/>
    <s v="13.999065272752253"/>
    <s v="110.98463386913927"/>
    <s v="14.75736830147679"/>
    <n v="712219083"/>
    <x v="0"/>
    <n v="3.6856539999999998E-4"/>
    <x v="0"/>
  </r>
  <r>
    <n v="39"/>
    <n v="1"/>
    <n v="2"/>
    <n v="0"/>
    <n v="1"/>
    <n v="2"/>
    <n v="0"/>
    <n v="26"/>
    <n v="1"/>
    <n v="2"/>
    <n v="2"/>
    <n v="3879"/>
    <n v="0"/>
    <n v="3879"/>
    <n v="0.92800000000000005"/>
    <n v="7786"/>
    <n v="81"/>
    <n v="0.92900000000000005"/>
    <n v="0"/>
    <n v="0.99104999999999999"/>
    <n v="8.9499999999999996E-3"/>
    <s v="42.31773041072289"/>
    <s v="30.24255038369349"/>
    <s v="19.57836801694265"/>
    <s v="8.435075767994347"/>
    <n v="715649358"/>
    <x v="1"/>
    <n v="0.99455450000000001"/>
    <x v="1"/>
  </r>
  <r>
    <n v="29"/>
    <n v="1"/>
    <n v="1"/>
    <n v="5"/>
    <n v="2"/>
    <n v="1"/>
    <n v="0"/>
    <n v="22"/>
    <n v="2"/>
    <n v="3"/>
    <n v="3"/>
    <n v="11522"/>
    <n v="1203"/>
    <n v="10319"/>
    <n v="0.84699999999999998"/>
    <n v="13720"/>
    <n v="119"/>
    <n v="0.83099999999999996"/>
    <n v="0.104"/>
    <n v="2.9196000000000002E-4"/>
    <n v="0.99970999999999999"/>
    <n v="8.5839141680884197"/>
    <s v="19.949415531124604"/>
    <s v="88.05468331343602"/>
    <s v="10.291026336453786"/>
    <n v="710019933"/>
    <x v="0"/>
    <n v="3.4656386999999997E-4"/>
    <x v="0"/>
  </r>
  <r>
    <n v="42"/>
    <n v="0"/>
    <n v="2"/>
    <n v="5"/>
    <n v="1"/>
    <n v="5"/>
    <n v="0"/>
    <n v="32"/>
    <n v="5"/>
    <n v="5"/>
    <n v="3"/>
    <n v="4708"/>
    <n v="0"/>
    <n v="4708"/>
    <n v="0.71799999999999997"/>
    <n v="4597"/>
    <n v="89"/>
    <n v="0.67900000000000005"/>
    <n v="0"/>
    <n v="3.4739999999999999E-4"/>
    <n v="0.99965000000000004"/>
    <s v="12.548423375759764"/>
    <s v="18.115562216999443"/>
    <s v="142.37239785721155"/>
    <s v="15.95612911384212"/>
    <n v="718629858"/>
    <x v="0"/>
    <n v="6.9517245999999998E-4"/>
    <x v="0"/>
  </r>
  <r>
    <n v="54"/>
    <n v="1"/>
    <n v="2"/>
    <n v="2"/>
    <n v="1"/>
    <n v="2"/>
    <n v="0"/>
    <n v="43"/>
    <n v="6"/>
    <n v="3"/>
    <n v="1"/>
    <n v="6224"/>
    <n v="1892"/>
    <n v="4332"/>
    <n v="0.98299999999999998"/>
    <n v="2187"/>
    <n v="58"/>
    <n v="0.65700000000000003"/>
    <n v="0.30399999999999999"/>
    <n v="1.0848E-4"/>
    <n v="0.99988999999999995"/>
    <s v="48.40644470739216"/>
    <s v="34.646983121918424"/>
    <s v="74.30350694885551"/>
    <s v="13.948213037803152"/>
    <n v="713936583"/>
    <x v="0"/>
    <n v="4.9418594999999996E-4"/>
    <x v="0"/>
  </r>
  <r>
    <n v="40"/>
    <n v="0"/>
    <n v="4"/>
    <n v="3"/>
    <n v="3"/>
    <n v="4"/>
    <n v="0"/>
    <n v="34"/>
    <n v="3"/>
    <n v="4"/>
    <n v="1"/>
    <n v="3313"/>
    <n v="2517"/>
    <n v="796"/>
    <n v="1.405"/>
    <n v="1171"/>
    <n v="20"/>
    <n v="2.3330000000000002"/>
    <n v="0.76"/>
    <n v="1.3365999999999999E-4"/>
    <n v="0.99987000000000004"/>
    <s v="57.12486468258801"/>
    <s v="22.580674379223684"/>
    <s v="48.97850344169478"/>
    <s v="14.498504876928914"/>
    <n v="769911858"/>
    <x v="0"/>
    <n v="1.0648312999999999E-3"/>
    <x v="0"/>
  </r>
  <r>
    <n v="41"/>
    <n v="1"/>
    <n v="3"/>
    <n v="3"/>
    <n v="1"/>
    <n v="0"/>
    <n v="0"/>
    <n v="32"/>
    <n v="2"/>
    <n v="2"/>
    <n v="1"/>
    <n v="34516"/>
    <n v="0"/>
    <n v="34516"/>
    <n v="0.96499999999999997"/>
    <n v="4734"/>
    <n v="57"/>
    <n v="0.54100000000000004"/>
    <n v="0"/>
    <n v="0.98575999999999997"/>
    <n v="1.4239999999999999E-2"/>
    <s v="14.530842650971548"/>
    <s v="6.216210340968249"/>
    <s v="36.206190937655336"/>
    <s v="3.716451742645528"/>
    <n v="711854808"/>
    <x v="1"/>
    <n v="0.99521219999999999"/>
    <x v="1"/>
  </r>
  <r>
    <n v="57"/>
    <n v="1"/>
    <n v="3"/>
    <n v="2"/>
    <n v="2"/>
    <n v="3"/>
    <n v="0"/>
    <n v="50"/>
    <n v="2"/>
    <n v="3"/>
    <n v="3"/>
    <n v="17096"/>
    <n v="1762"/>
    <n v="15334"/>
    <n v="0.40899999999999997"/>
    <n v="4231"/>
    <n v="62"/>
    <n v="0.55000000000000004"/>
    <n v="0.10299999999999999"/>
    <n v="3.1389999999999999E-4"/>
    <n v="0.99968999999999997"/>
    <s v="19.624544450200933"/>
    <s v="42.87170479363919"/>
    <s v="136.9797288451147"/>
    <s v="20.51948309658365"/>
    <n v="738062658"/>
    <x v="0"/>
    <n v="3.5672840999999999E-4"/>
    <x v="0"/>
  </r>
  <r>
    <n v="45"/>
    <n v="1"/>
    <n v="4"/>
    <n v="6"/>
    <n v="1"/>
    <n v="1"/>
    <n v="0"/>
    <n v="36"/>
    <n v="3"/>
    <n v="2"/>
    <n v="1"/>
    <n v="4721"/>
    <n v="1289"/>
    <n v="3432"/>
    <n v="0.65600000000000003"/>
    <n v="3856"/>
    <n v="74"/>
    <n v="0.76200000000000001"/>
    <n v="0.27300000000000002"/>
    <s v="7.9128e-05"/>
    <n v="0.99992000000000003"/>
    <s v="9.688487632982136"/>
    <s v="51.254725366192254"/>
    <s v="25.088666146550302"/>
    <s v="5.742768058992493"/>
    <n v="711287733"/>
    <x v="0"/>
    <n v="3.2101269999999999E-4"/>
    <x v="0"/>
  </r>
  <r>
    <n v="46"/>
    <n v="1"/>
    <n v="3"/>
    <n v="0"/>
    <n v="1"/>
    <n v="2"/>
    <n v="0"/>
    <n v="36"/>
    <n v="5"/>
    <n v="2"/>
    <n v="2"/>
    <n v="9981"/>
    <n v="807"/>
    <n v="9174"/>
    <n v="0.65500000000000003"/>
    <n v="1456"/>
    <n v="30"/>
    <n v="0.66700000000000004"/>
    <n v="8.1000000000000003E-2"/>
    <n v="1.1483E-4"/>
    <n v="0.99988999999999995"/>
    <s v="6.886202275753786"/>
    <s v="21.83337517379734"/>
    <s v="125.39258365082408"/>
    <s v="3.762524525352135"/>
    <n v="711595833"/>
    <x v="0"/>
    <n v="1.7906408999999999E-3"/>
    <x v="0"/>
  </r>
  <r>
    <n v="50"/>
    <n v="0"/>
    <n v="4"/>
    <n v="2"/>
    <n v="2"/>
    <n v="5"/>
    <n v="0"/>
    <n v="41"/>
    <n v="5"/>
    <n v="3"/>
    <n v="3"/>
    <n v="2509"/>
    <n v="0"/>
    <n v="2509"/>
    <n v="0.70199999999999996"/>
    <n v="2281"/>
    <n v="41"/>
    <n v="0.36699999999999999"/>
    <n v="0"/>
    <n v="0.99685999999999997"/>
    <n v="3.1411199999999998E-3"/>
    <s v="40.01712093295561"/>
    <s v="13.535822129331663"/>
    <s v="148.8892586147543"/>
    <s v="5.148051598758562"/>
    <n v="711245433"/>
    <x v="1"/>
    <n v="0.99873226999999998"/>
    <x v="1"/>
  </r>
  <r>
    <n v="59"/>
    <n v="1"/>
    <n v="0"/>
    <n v="5"/>
    <n v="2"/>
    <n v="1"/>
    <n v="0"/>
    <n v="52"/>
    <n v="1"/>
    <n v="2"/>
    <n v="2"/>
    <n v="14458"/>
    <n v="2017"/>
    <n v="12441"/>
    <n v="0.99"/>
    <n v="8696"/>
    <n v="72"/>
    <n v="0.89500000000000002"/>
    <n v="0.14000000000000001"/>
    <n v="0.99014000000000002"/>
    <n v="9.8600000000000007E-3"/>
    <s v="19.567009265673008"/>
    <s v="19.11900903495604"/>
    <s v="30.419113746698343"/>
    <s v="12.19531997659479"/>
    <n v="716721483"/>
    <x v="1"/>
    <n v="0.98915814999999996"/>
    <x v="1"/>
  </r>
  <r>
    <n v="43"/>
    <n v="0"/>
    <n v="3"/>
    <n v="2"/>
    <n v="1"/>
    <n v="5"/>
    <n v="0"/>
    <n v="32"/>
    <n v="2"/>
    <n v="3"/>
    <n v="3"/>
    <n v="8314"/>
    <n v="1349"/>
    <n v="6965"/>
    <n v="0.53100000000000003"/>
    <n v="5028"/>
    <n v="80"/>
    <n v="0.70199999999999996"/>
    <n v="0.16200000000000001"/>
    <n v="3.1389999999999999E-4"/>
    <n v="0.99968999999999997"/>
    <s v="38.93554088556505"/>
    <s v="15.194794285633796"/>
    <s v="65.61666196778042"/>
    <s v="0.3911736444379167"/>
    <n v="772388508"/>
    <x v="0"/>
    <n v="3.2101269999999999E-4"/>
    <x v="0"/>
  </r>
  <r>
    <n v="33"/>
    <n v="1"/>
    <n v="3"/>
    <n v="0"/>
    <n v="1"/>
    <n v="3"/>
    <n v="3"/>
    <n v="22"/>
    <n v="6"/>
    <n v="2"/>
    <n v="2"/>
    <n v="34516"/>
    <n v="917"/>
    <n v="33599"/>
    <n v="0.76400000000000001"/>
    <n v="14202"/>
    <n v="114"/>
    <n v="0.78100000000000003"/>
    <n v="2.7E-2"/>
    <n v="1.0375E-4"/>
    <n v="0.99990000000000001"/>
    <s v="15.072042002586976"/>
    <s v="43.75594167406034"/>
    <s v="58.68523319521532"/>
    <s v="11.426263385942187"/>
    <n v="789780033"/>
    <x v="0"/>
    <n v="4.9252170000000002E-4"/>
    <x v="0"/>
  </r>
  <r>
    <n v="53"/>
    <n v="0"/>
    <n v="4"/>
    <n v="2"/>
    <n v="2"/>
    <n v="1"/>
    <n v="0"/>
    <n v="43"/>
    <n v="1"/>
    <n v="3"/>
    <n v="2"/>
    <n v="6058"/>
    <n v="0"/>
    <n v="6058"/>
    <n v="0.997"/>
    <n v="4754"/>
    <n v="60"/>
    <n v="0.46300000000000002"/>
    <n v="0"/>
    <n v="0.99473"/>
    <n v="5.2700000000000004E-3"/>
    <s v="23.15238014054443"/>
    <s v="39.20324852748994"/>
    <s v="132.22758371736356"/>
    <s v="16.19911789256072"/>
    <n v="720164358"/>
    <x v="1"/>
    <n v="0.99354019999999998"/>
    <x v="1"/>
  </r>
  <r>
    <n v="55"/>
    <n v="0"/>
    <n v="3"/>
    <n v="3"/>
    <n v="1"/>
    <n v="4"/>
    <n v="0"/>
    <n v="48"/>
    <n v="6"/>
    <n v="2"/>
    <n v="2"/>
    <n v="2897"/>
    <n v="1601"/>
    <n v="1296"/>
    <n v="0.878"/>
    <n v="1337"/>
    <n v="25"/>
    <n v="0.47099999999999997"/>
    <n v="0.55300000000000005"/>
    <n v="1.1482E-4"/>
    <n v="0.99988999999999995"/>
    <s v="58.14233000970347"/>
    <s v="10.950455472969647"/>
    <s v="33.356565251597694"/>
    <s v="8.282969038825852"/>
    <n v="713921058"/>
    <x v="0"/>
    <n v="1.1982243E-3"/>
    <x v="0"/>
  </r>
  <r>
    <n v="34"/>
    <n v="0"/>
    <n v="1"/>
    <n v="2"/>
    <n v="2"/>
    <n v="5"/>
    <n v="0"/>
    <n v="21"/>
    <n v="6"/>
    <n v="1"/>
    <n v="3"/>
    <n v="6376"/>
    <n v="1322"/>
    <n v="5054"/>
    <n v="0.70899999999999996"/>
    <n v="5192"/>
    <n v="70"/>
    <n v="0.628"/>
    <n v="0.20699999999999999"/>
    <s v="8.6952e-05"/>
    <n v="0.99990999999999997"/>
    <s v="49.46235436422634"/>
    <n v="4.6506712690700098"/>
    <s v="71.90533151417286"/>
    <s v="12.016062768270828"/>
    <n v="712574583"/>
    <x v="0"/>
    <n v="3.2914013999999999E-4"/>
    <x v="0"/>
  </r>
  <r>
    <n v="50"/>
    <n v="0"/>
    <n v="1"/>
    <n v="2"/>
    <n v="2"/>
    <n v="4"/>
    <n v="0"/>
    <n v="39"/>
    <n v="4"/>
    <n v="5"/>
    <n v="2"/>
    <n v="2434"/>
    <n v="1340"/>
    <n v="1094"/>
    <n v="0.66800000000000004"/>
    <n v="4498"/>
    <n v="76"/>
    <n v="0.81"/>
    <n v="0.55100000000000005"/>
    <n v="1.8856999999999999E-4"/>
    <n v="0.99980999999999998"/>
    <s v="19.09189643053254"/>
    <s v="75.84750121524681"/>
    <s v="51.11910375183917"/>
    <s v="10.250052999121928"/>
    <n v="719286708"/>
    <x v="0"/>
    <n v="3.2101269999999999E-4"/>
    <x v="0"/>
  </r>
  <r>
    <n v="33"/>
    <n v="1"/>
    <n v="3"/>
    <n v="3"/>
    <n v="2"/>
    <n v="1"/>
    <n v="0"/>
    <n v="24"/>
    <n v="6"/>
    <n v="3"/>
    <n v="3"/>
    <n v="5156"/>
    <n v="1427"/>
    <n v="3729"/>
    <n v="0.48"/>
    <n v="2057"/>
    <n v="54"/>
    <n v="0.42099999999999999"/>
    <n v="0.27700000000000002"/>
    <n v="3.0516000000000001E-4"/>
    <n v="0.99968999999999997"/>
    <s v="34.424892592726195"/>
    <s v="15.423549174035218"/>
    <s v="114.18037363430884"/>
    <s v="24.867237116163047"/>
    <n v="716400633"/>
    <x v="0"/>
    <n v="7.6039124000000004E-4"/>
    <x v="0"/>
  </r>
  <r>
    <n v="57"/>
    <n v="1"/>
    <n v="1"/>
    <n v="3"/>
    <n v="1"/>
    <n v="1"/>
    <n v="0"/>
    <n v="48"/>
    <n v="5"/>
    <n v="1"/>
    <n v="3"/>
    <n v="2544"/>
    <n v="1927"/>
    <n v="617"/>
    <n v="0.93899999999999995"/>
    <n v="1346"/>
    <n v="30"/>
    <n v="0.36399999999999999"/>
    <n v="0.75700000000000001"/>
    <s v="8.453e-05"/>
    <n v="0.99992000000000003"/>
    <s v="25.78615135546584"/>
    <s v="16.68401863969506"/>
    <s v="47.03372242659536"/>
    <s v="34.53514500102054"/>
    <n v="710429358"/>
    <x v="0"/>
    <n v="1.1982243E-3"/>
    <x v="0"/>
  </r>
  <r>
    <n v="51"/>
    <n v="0"/>
    <n v="3"/>
    <n v="0"/>
    <n v="0"/>
    <n v="1"/>
    <n v="0"/>
    <n v="31"/>
    <n v="6"/>
    <n v="2"/>
    <n v="2"/>
    <n v="2768"/>
    <n v="1329"/>
    <n v="1439"/>
    <n v="0.69899999999999995"/>
    <n v="4275"/>
    <n v="78"/>
    <n v="0.81399999999999995"/>
    <n v="0.48"/>
    <n v="1.1483E-4"/>
    <n v="0.99988999999999995"/>
    <s v="21.06797986030459"/>
    <s v="43.82903098984029"/>
    <s v="49.42170724240543"/>
    <s v="33.15870876059843"/>
    <n v="778356408"/>
    <x v="0"/>
    <n v="3.2101269999999999E-4"/>
    <x v="0"/>
  </r>
  <r>
    <n v="54"/>
    <n v="0"/>
    <n v="1"/>
    <n v="1"/>
    <n v="2"/>
    <n v="5"/>
    <n v="0"/>
    <n v="36"/>
    <n v="6"/>
    <n v="3"/>
    <n v="4"/>
    <n v="26053"/>
    <n v="829"/>
    <n v="25224"/>
    <n v="0.66900000000000004"/>
    <n v="2768"/>
    <n v="70"/>
    <n v="0.628"/>
    <n v="3.2000000000000001E-2"/>
    <n v="7.0078000000000002E-4"/>
    <n v="0.99929999999999997"/>
    <s v="28.281932146605488"/>
    <s v="46.62009324986301"/>
    <s v="129.0629290371014"/>
    <s v="25.37681114329381"/>
    <n v="721475133"/>
    <x v="0"/>
    <n v="8.4315555000000003E-4"/>
    <x v="0"/>
  </r>
  <r>
    <n v="52"/>
    <n v="0"/>
    <n v="4"/>
    <n v="2"/>
    <n v="1"/>
    <n v="4"/>
    <n v="0"/>
    <n v="45"/>
    <n v="1"/>
    <n v="1"/>
    <n v="3"/>
    <n v="3705"/>
    <n v="2168"/>
    <n v="1537"/>
    <n v="0.66200000000000003"/>
    <n v="4452"/>
    <n v="89"/>
    <n v="0.89400000000000002"/>
    <n v="0.58499999999999996"/>
    <s v="9.7154e-05"/>
    <n v="0.99990000000000001"/>
    <s v="24.87869926675788"/>
    <s v="43.84201308103116"/>
    <s v="39.787355729035966"/>
    <s v="6.857064351313584"/>
    <n v="756944133"/>
    <x v="0"/>
    <n v="3.2101269999999999E-4"/>
    <x v="0"/>
  </r>
  <r>
    <n v="48"/>
    <n v="1"/>
    <n v="4"/>
    <n v="3"/>
    <n v="2"/>
    <n v="0"/>
    <n v="0"/>
    <n v="39"/>
    <n v="3"/>
    <n v="4"/>
    <n v="4"/>
    <n v="24593"/>
    <n v="0"/>
    <n v="24593"/>
    <n v="0.77700000000000002"/>
    <n v="2084"/>
    <n v="31"/>
    <n v="0.55000000000000004"/>
    <n v="0"/>
    <n v="0.99843000000000004"/>
    <n v="1.56953E-3"/>
    <s v="9.120966475895855"/>
    <s v="15.785189475809933"/>
    <n v="62.577627747601802"/>
    <s v="24.670828829548377"/>
    <n v="716654808"/>
    <x v="1"/>
    <n v="0.99841880000000005"/>
    <x v="1"/>
  </r>
  <r>
    <n v="54"/>
    <n v="0"/>
    <n v="3"/>
    <n v="4"/>
    <n v="2"/>
    <n v="4"/>
    <n v="0"/>
    <n v="49"/>
    <n v="1"/>
    <n v="4"/>
    <n v="3"/>
    <n v="8516"/>
    <n v="0"/>
    <n v="8516"/>
    <n v="0.54900000000000004"/>
    <n v="2189"/>
    <n v="37"/>
    <n v="0.27600000000000002"/>
    <n v="0"/>
    <n v="0.99777000000000005"/>
    <n v="2.2344399999999999E-3"/>
    <s v="52.049138821665686"/>
    <s v="8.227649461946527"/>
    <s v="98.93471945367963"/>
    <s v="17.38769620820635"/>
    <n v="719770158"/>
    <x v="1"/>
    <n v="0.99876772999999996"/>
    <x v="1"/>
  </r>
  <r>
    <n v="48"/>
    <n v="0"/>
    <n v="5"/>
    <n v="2"/>
    <n v="2"/>
    <n v="5"/>
    <n v="0"/>
    <n v="35"/>
    <n v="5"/>
    <n v="2"/>
    <n v="3"/>
    <n v="1942"/>
    <n v="1488"/>
    <n v="454"/>
    <n v="0.81599999999999995"/>
    <n v="4940"/>
    <n v="88"/>
    <n v="0.79600000000000004"/>
    <n v="0.76600000000000001"/>
    <n v="1.9764000000000001E-4"/>
    <n v="0.99980000000000002"/>
    <s v="16.49317620043934"/>
    <n v="33.3792997722243"/>
    <s v="66.73032556293039"/>
    <s v="17.480090540555675"/>
    <n v="718194858"/>
    <x v="0"/>
    <n v="3.2101269999999999E-4"/>
    <x v="0"/>
  </r>
  <r>
    <n v="46"/>
    <n v="0"/>
    <n v="2"/>
    <n v="2"/>
    <n v="2"/>
    <n v="4"/>
    <n v="0"/>
    <n v="36"/>
    <n v="6"/>
    <n v="2"/>
    <n v="3"/>
    <n v="2586"/>
    <n v="2196"/>
    <n v="390"/>
    <n v="0.69299999999999995"/>
    <n v="3944"/>
    <n v="78"/>
    <n v="0.85699999999999998"/>
    <n v="0.84899999999999998"/>
    <n v="1.9143E-4"/>
    <n v="0.99980999999999998"/>
    <s v="29.869197059891462"/>
    <s v="78.47602902969892"/>
    <s v="51.44657217648399"/>
    <s v="10.099491796211902"/>
    <n v="718516533"/>
    <x v="0"/>
    <n v="3.2101269999999999E-4"/>
    <x v="0"/>
  </r>
  <r>
    <n v="47"/>
    <n v="0"/>
    <n v="1"/>
    <n v="3"/>
    <n v="2"/>
    <n v="5"/>
    <n v="0"/>
    <n v="40"/>
    <n v="5"/>
    <n v="4"/>
    <n v="4"/>
    <n v="8440"/>
    <n v="2087"/>
    <n v="6353"/>
    <n v="0.80400000000000005"/>
    <n v="4161"/>
    <n v="74"/>
    <n v="0.64400000000000002"/>
    <n v="0.247"/>
    <n v="5.6901E-4"/>
    <n v="0.99943000000000004"/>
    <s v="10.717142315487676"/>
    <s v="13.67851486453801"/>
    <s v="3.3192813351723998"/>
    <s v="5.771258684422469"/>
    <n v="787638408"/>
    <x v="0"/>
    <n v="3.2914013999999999E-4"/>
    <x v="0"/>
  </r>
  <r>
    <n v="48"/>
    <n v="1"/>
    <n v="0"/>
    <n v="1"/>
    <n v="1"/>
    <n v="2"/>
    <n v="0"/>
    <n v="41"/>
    <n v="2"/>
    <n v="3"/>
    <n v="4"/>
    <n v="7277"/>
    <n v="504"/>
    <n v="6773"/>
    <n v="0.58199999999999996"/>
    <n v="2356"/>
    <n v="40"/>
    <n v="0.28999999999999998"/>
    <n v="6.9000000000000006E-2"/>
    <n v="0.99843999999999999"/>
    <n v="1.5573500000000001E-3"/>
    <s v="64.47347386769707"/>
    <s v="43.67784317323188"/>
    <s v="70.02581551007863"/>
    <s v="1.1838174184294916"/>
    <n v="767784708"/>
    <x v="1"/>
    <n v="0.99833400000000005"/>
    <x v="1"/>
  </r>
  <r>
    <n v="58"/>
    <n v="1"/>
    <n v="2"/>
    <n v="4"/>
    <n v="1"/>
    <n v="3"/>
    <n v="0"/>
    <n v="39"/>
    <n v="4"/>
    <n v="2"/>
    <n v="3"/>
    <n v="3742"/>
    <n v="2517"/>
    <n v="1225"/>
    <n v="0.75"/>
    <n v="16401"/>
    <n v="121"/>
    <n v="0.80600000000000005"/>
    <n v="0.67300000000000004"/>
    <n v="2.2525E-4"/>
    <n v="0.99977000000000005"/>
    <s v="18.57579483994986"/>
    <s v="0.2804040754534896"/>
    <s v="212.55268579645772"/>
    <s v="19.034573663341387"/>
    <n v="788779983"/>
    <x v="0"/>
    <n v="3.7453471999999999E-4"/>
    <x v="0"/>
  </r>
  <r>
    <n v="54"/>
    <n v="0"/>
    <n v="3"/>
    <n v="1"/>
    <n v="1"/>
    <n v="1"/>
    <n v="0"/>
    <n v="39"/>
    <n v="3"/>
    <n v="1"/>
    <n v="3"/>
    <n v="2112"/>
    <n v="1594"/>
    <n v="518"/>
    <n v="1.204"/>
    <n v="1338"/>
    <n v="29"/>
    <n v="2.222"/>
    <n v="0.755"/>
    <n v="1.3909999999999999E-4"/>
    <n v="0.99985999999999997"/>
    <s v="15.930612409460217"/>
    <s v="50.57481799162119"/>
    <s v="63.45671648233605"/>
    <s v="10.960495294457354"/>
    <n v="715708308"/>
    <x v="0"/>
    <n v="1.0249399E-3"/>
    <x v="0"/>
  </r>
  <r>
    <n v="50"/>
    <n v="1"/>
    <n v="2"/>
    <n v="5"/>
    <n v="2"/>
    <n v="2"/>
    <n v="0"/>
    <n v="44"/>
    <n v="1"/>
    <n v="2"/>
    <n v="1"/>
    <n v="3318"/>
    <n v="2349"/>
    <n v="969"/>
    <n v="0.88300000000000001"/>
    <n v="4905"/>
    <n v="80"/>
    <n v="0.73899999999999999"/>
    <n v="0.70799999999999996"/>
    <s v="7.0576e-05"/>
    <n v="0.99992999999999999"/>
    <s v="55.56954429705363"/>
    <s v="15.408254624045696"/>
    <s v="44.00755823602327"/>
    <n v="10.1066640277104"/>
    <n v="785230083"/>
    <x v="0"/>
    <n v="3.2101269999999999E-4"/>
    <x v="0"/>
  </r>
  <r>
    <n v="50"/>
    <n v="0"/>
    <n v="3"/>
    <n v="2"/>
    <n v="1"/>
    <n v="4"/>
    <n v="0"/>
    <n v="37"/>
    <n v="3"/>
    <n v="2"/>
    <n v="4"/>
    <n v="1438.3"/>
    <n v="0"/>
    <n v="1438.3"/>
    <n v="0.86799999999999999"/>
    <n v="3637"/>
    <n v="80"/>
    <n v="0.86"/>
    <n v="0"/>
    <n v="3.3886000000000002E-4"/>
    <n v="0.99965999999999999"/>
    <s v="45.00959962693259"/>
    <s v="64.94290023775334"/>
    <n v="76.6141270973133"/>
    <s v="12.226527558873473"/>
    <n v="720580383"/>
    <x v="0"/>
    <n v="7.1049936000000004E-4"/>
    <x v="0"/>
  </r>
  <r>
    <n v="58"/>
    <n v="0"/>
    <n v="1"/>
    <n v="0"/>
    <n v="1"/>
    <n v="4"/>
    <n v="0"/>
    <n v="38"/>
    <n v="4"/>
    <n v="2"/>
    <n v="3"/>
    <n v="3331"/>
    <n v="2251"/>
    <n v="1080"/>
    <n v="1.044"/>
    <n v="5379"/>
    <n v="92"/>
    <n v="0.64300000000000002"/>
    <n v="0.67600000000000005"/>
    <n v="1.7469999999999999E-4"/>
    <n v="0.99983"/>
    <s v="55.78058996111518"/>
    <s v="30.77141398185476"/>
    <n v="5.2074067812966103"/>
    <n v="8.9194352685408393"/>
    <n v="718137183"/>
    <x v="0"/>
    <n v="3.7645840000000001E-4"/>
    <x v="0"/>
  </r>
  <r>
    <n v="45"/>
    <n v="0"/>
    <n v="2"/>
    <n v="2"/>
    <n v="1"/>
    <n v="4"/>
    <n v="0"/>
    <n v="37"/>
    <n v="6"/>
    <n v="2"/>
    <n v="2"/>
    <n v="6091"/>
    <n v="0"/>
    <n v="6091"/>
    <n v="0.56000000000000005"/>
    <n v="3340"/>
    <n v="60"/>
    <n v="0.57899999999999996"/>
    <n v="0"/>
    <n v="1.1382E-4"/>
    <n v="0.99988999999999995"/>
    <s v="43.09232399780589"/>
    <s v="8.574432799531927"/>
    <s v="17.570061672043803"/>
    <s v="11.955433910094817"/>
    <n v="718504983"/>
    <x v="0"/>
    <n v="9.2153730000000004E-4"/>
    <x v="0"/>
  </r>
  <r>
    <n v="50"/>
    <n v="1"/>
    <n v="2"/>
    <n v="5"/>
    <n v="2"/>
    <n v="2"/>
    <n v="0"/>
    <n v="43"/>
    <n v="4"/>
    <n v="3"/>
    <n v="3"/>
    <n v="4388"/>
    <n v="642"/>
    <n v="3746"/>
    <n v="0.81499999999999995"/>
    <n v="3836"/>
    <n v="81"/>
    <n v="0.72299999999999998"/>
    <n v="0.14599999999999999"/>
    <n v="3.1104E-4"/>
    <n v="0.99968999999999997"/>
    <s v="40.49844286721942"/>
    <s v="50.39421870940114"/>
    <n v="60.235543919295601"/>
    <s v="17.922625309775317"/>
    <n v="757167633"/>
    <x v="0"/>
    <n v="5.4489190000000002E-4"/>
    <x v="0"/>
  </r>
  <r>
    <n v="56"/>
    <n v="0"/>
    <n v="4"/>
    <n v="2"/>
    <n v="1"/>
    <n v="5"/>
    <n v="0"/>
    <n v="49"/>
    <n v="5"/>
    <n v="1"/>
    <n v="3"/>
    <n v="14915"/>
    <n v="1111"/>
    <n v="13804"/>
    <n v="0.84599999999999997"/>
    <n v="1388"/>
    <n v="35"/>
    <n v="0.66700000000000004"/>
    <n v="7.3999999999999996E-2"/>
    <s v="9.7154e-05"/>
    <n v="0.99990000000000001"/>
    <s v="19.304078360126564"/>
    <s v="39.47473085972216"/>
    <s v="230.33765331927572"/>
    <s v="0.5098267976994901"/>
    <n v="714997683"/>
    <x v="0"/>
    <n v="1.1189266999999999E-3"/>
    <x v="0"/>
  </r>
  <r>
    <n v="38"/>
    <n v="1"/>
    <n v="2"/>
    <n v="3"/>
    <n v="2"/>
    <n v="2"/>
    <n v="3"/>
    <n v="36"/>
    <n v="5"/>
    <n v="3"/>
    <n v="2"/>
    <n v="31546"/>
    <n v="2057"/>
    <n v="29489"/>
    <n v="0.625"/>
    <n v="15311"/>
    <n v="108"/>
    <n v="0.71399999999999997"/>
    <n v="6.5000000000000002E-2"/>
    <n v="1.5799999999999999E-4"/>
    <n v="0.99983999999999995"/>
    <s v="4.460038129829449"/>
    <n v="4.5497206725769104"/>
    <s v="84.87260805087611"/>
    <s v="24.207017963689346"/>
    <n v="710122458"/>
    <x v="0"/>
    <n v="3.8573547000000003E-4"/>
    <x v="0"/>
  </r>
  <r>
    <n v="45"/>
    <n v="0"/>
    <n v="3"/>
    <n v="2"/>
    <n v="1"/>
    <n v="4"/>
    <n v="0"/>
    <n v="31"/>
    <n v="4"/>
    <n v="1"/>
    <n v="0"/>
    <n v="8829"/>
    <n v="901"/>
    <n v="7928"/>
    <n v="0.82499999999999996"/>
    <n v="1902"/>
    <n v="45"/>
    <n v="0.66700000000000004"/>
    <n v="0.10199999999999999"/>
    <s v="2.1081e-05"/>
    <n v="0.99997999999999998"/>
    <s v="44.72633472186462"/>
    <s v="13.408846897422388"/>
    <s v="63.18607951583089"/>
    <s v="3.278103136596481"/>
    <n v="711628458"/>
    <x v="0"/>
    <n v="1.4660207E-3"/>
    <x v="0"/>
  </r>
  <r>
    <n v="46"/>
    <n v="1"/>
    <n v="2"/>
    <n v="3"/>
    <n v="2"/>
    <n v="0"/>
    <n v="0"/>
    <n v="36"/>
    <n v="3"/>
    <n v="1"/>
    <n v="3"/>
    <n v="13001"/>
    <n v="1482"/>
    <n v="11519"/>
    <n v="0.55200000000000005"/>
    <n v="3671"/>
    <n v="55"/>
    <n v="0.52800000000000002"/>
    <n v="0.114"/>
    <s v="9.0056e-05"/>
    <n v="0.99990999999999997"/>
    <s v="14.430957499594191"/>
    <s v="16.617034107185205"/>
    <s v="72.94096115640428"/>
    <s v="23.38090828241877"/>
    <n v="712837233"/>
    <x v="0"/>
    <n v="5.1012734000000003E-4"/>
    <x v="0"/>
  </r>
  <r>
    <n v="46"/>
    <n v="1"/>
    <n v="3"/>
    <n v="6"/>
    <n v="1"/>
    <n v="3"/>
    <n v="0"/>
    <n v="40"/>
    <n v="6"/>
    <n v="1"/>
    <n v="1"/>
    <n v="10879"/>
    <n v="860"/>
    <n v="10019"/>
    <n v="0.97399999999999998"/>
    <n v="4629"/>
    <n v="69"/>
    <n v="0.72499999999999998"/>
    <n v="7.9000000000000001E-2"/>
    <s v="3.7884e-05"/>
    <n v="0.99995999999999996"/>
    <s v="31.229241673465054"/>
    <s v="92.34883153848706"/>
    <s v="38.60606056942213"/>
    <s v="10.56185351767582"/>
    <n v="714413283"/>
    <x v="0"/>
    <n v="5.4344769999999998E-4"/>
    <x v="0"/>
  </r>
  <r>
    <n v="55"/>
    <n v="1"/>
    <n v="4"/>
    <n v="6"/>
    <n v="2"/>
    <n v="2"/>
    <n v="0"/>
    <n v="48"/>
    <n v="2"/>
    <n v="2"/>
    <n v="3"/>
    <n v="18980"/>
    <n v="2517"/>
    <n v="16463"/>
    <n v="0.65500000000000003"/>
    <n v="8295"/>
    <n v="113"/>
    <n v="0.68700000000000006"/>
    <n v="0.13300000000000001"/>
    <n v="2.2068000000000001E-4"/>
    <n v="0.99978"/>
    <s v="74.09375688977434"/>
    <s v="47.91299309845768"/>
    <s v="70.20670487538644"/>
    <s v="3.855612796381816"/>
    <n v="713236458"/>
    <x v="0"/>
    <n v="3.9831083000000002E-4"/>
    <x v="0"/>
  </r>
  <r>
    <n v="37"/>
    <n v="0"/>
    <n v="1"/>
    <n v="3"/>
    <n v="1"/>
    <n v="1"/>
    <n v="0"/>
    <n v="25"/>
    <n v="4"/>
    <n v="3"/>
    <n v="4"/>
    <n v="5865"/>
    <n v="2517"/>
    <n v="3348"/>
    <n v="1.3480000000000001"/>
    <n v="2623"/>
    <n v="47"/>
    <n v="1.35"/>
    <n v="0.42899999999999999"/>
    <n v="4.7085999999999997E-4"/>
    <n v="0.99953000000000003"/>
    <s v="23.475875488989228"/>
    <s v="5.723404667564107"/>
    <s v="75.99959034761257"/>
    <s v="1.5531215344826754"/>
    <n v="711041508"/>
    <x v="0"/>
    <n v="1.0889086E-3"/>
    <x v="0"/>
  </r>
  <r>
    <n v="56"/>
    <n v="1"/>
    <n v="2"/>
    <n v="2"/>
    <n v="2"/>
    <n v="0"/>
    <n v="0"/>
    <n v="45"/>
    <n v="2"/>
    <n v="2"/>
    <n v="3"/>
    <n v="11714"/>
    <n v="898"/>
    <n v="10816"/>
    <n v="0.72599999999999998"/>
    <n v="13956"/>
    <n v="122"/>
    <n v="0.71799999999999997"/>
    <n v="7.6999999999999999E-2"/>
    <n v="1.9143E-4"/>
    <n v="0.99980999999999998"/>
    <s v="37.46625392999169"/>
    <s v="34.570595049430665"/>
    <s v="34.516930902401604"/>
    <s v="8.175957316816683"/>
    <n v="789280683"/>
    <x v="0"/>
    <n v="4.8048520000000002E-4"/>
    <x v="0"/>
  </r>
  <r>
    <n v="37"/>
    <n v="0"/>
    <n v="2"/>
    <n v="3"/>
    <n v="2"/>
    <n v="4"/>
    <n v="0"/>
    <n v="36"/>
    <n v="4"/>
    <n v="2"/>
    <n v="2"/>
    <n v="5723"/>
    <n v="1873"/>
    <n v="3850"/>
    <n v="0.85099999999999998"/>
    <n v="2732"/>
    <n v="63"/>
    <n v="0.85299999999999998"/>
    <n v="0.32700000000000001"/>
    <n v="1.1065000000000001E-4"/>
    <n v="0.99988999999999995"/>
    <s v="17.74386295205539"/>
    <s v="48.10643990663501"/>
    <s v="9.686809095400902"/>
    <s v="10.309678596580998"/>
    <n v="708099183"/>
    <x v="0"/>
    <n v="4.1394285000000001E-4"/>
    <x v="0"/>
  </r>
  <r>
    <n v="38"/>
    <n v="1"/>
    <n v="1"/>
    <n v="2"/>
    <n v="3"/>
    <n v="3"/>
    <n v="0"/>
    <n v="25"/>
    <n v="4"/>
    <n v="2"/>
    <n v="4"/>
    <n v="8138"/>
    <n v="0"/>
    <n v="8138"/>
    <n v="0.59599999999999997"/>
    <n v="4839"/>
    <n v="61"/>
    <n v="0.64900000000000002"/>
    <n v="0"/>
    <n v="3.0653000000000001E-4"/>
    <n v="0.99968999999999997"/>
    <n v="21.060035375190399"/>
    <s v="22.86862107082004"/>
    <n v="57.510196158403403"/>
    <s v="7.166389990469823"/>
    <n v="770828358"/>
    <x v="0"/>
    <n v="8.3301717E-4"/>
    <x v="0"/>
  </r>
  <r>
    <n v="57"/>
    <n v="0"/>
    <n v="2"/>
    <n v="4"/>
    <n v="1"/>
    <n v="4"/>
    <n v="0"/>
    <n v="36"/>
    <n v="3"/>
    <n v="0"/>
    <n v="1"/>
    <n v="2712"/>
    <n v="1445"/>
    <n v="1267"/>
    <n v="0.81899999999999995"/>
    <n v="4520"/>
    <n v="79"/>
    <n v="0.88100000000000001"/>
    <n v="0.53300000000000003"/>
    <s v="1.4461e-05"/>
    <n v="0.99999000000000005"/>
    <s v="46.03660374026399"/>
    <s v="31.92011233419395"/>
    <s v="1.3625199292863146"/>
    <s v="4.259672219643063"/>
    <n v="715393908"/>
    <x v="0"/>
    <n v="3.2101269999999999E-4"/>
    <x v="0"/>
  </r>
  <r>
    <n v="34"/>
    <n v="0"/>
    <n v="2"/>
    <n v="6"/>
    <n v="0"/>
    <n v="4"/>
    <n v="0"/>
    <n v="30"/>
    <n v="3"/>
    <n v="1"/>
    <n v="2"/>
    <n v="4408"/>
    <n v="1510"/>
    <n v="2898"/>
    <n v="0.73"/>
    <n v="4495"/>
    <n v="77"/>
    <n v="0.83299999999999996"/>
    <n v="0.34300000000000003"/>
    <s v="6.054e-05"/>
    <n v="0.99994000000000005"/>
    <s v="9.558873696672462"/>
    <s v="6.331969960833564"/>
    <s v="14.061376188373409"/>
    <s v="34.11014381811799"/>
    <n v="824172258"/>
    <x v="0"/>
    <n v="3.2101269999999999E-4"/>
    <x v="0"/>
  </r>
  <r>
    <n v="54"/>
    <n v="1"/>
    <n v="1"/>
    <n v="0"/>
    <n v="2"/>
    <n v="0"/>
    <n v="0"/>
    <n v="48"/>
    <n v="1"/>
    <n v="3"/>
    <n v="1"/>
    <n v="2456"/>
    <n v="1654"/>
    <n v="802"/>
    <n v="0.56499999999999995"/>
    <n v="4468"/>
    <n v="84"/>
    <n v="0.75"/>
    <n v="0.67300000000000004"/>
    <s v="9.8992e-05"/>
    <n v="0.99990000000000001"/>
    <s v="19.544761121394743"/>
    <s v="41.53736639504187"/>
    <s v="70.12861424922846"/>
    <s v="4.967493524923657"/>
    <n v="796544133"/>
    <x v="0"/>
    <n v="3.2101269999999999E-4"/>
    <x v="0"/>
  </r>
  <r>
    <n v="49"/>
    <n v="0"/>
    <n v="2"/>
    <n v="6"/>
    <n v="2"/>
    <n v="1"/>
    <n v="0"/>
    <n v="43"/>
    <n v="1"/>
    <n v="3"/>
    <n v="2"/>
    <n v="1643"/>
    <n v="526"/>
    <n v="1117"/>
    <n v="0.82899999999999996"/>
    <n v="2520"/>
    <n v="38"/>
    <n v="0.58299999999999996"/>
    <n v="0.32"/>
    <n v="0.99497000000000002"/>
    <n v="5.0299999999999997E-3"/>
    <s v="37.65570922729169"/>
    <s v="10.425997617726996"/>
    <s v="47.182521180519934"/>
    <s v="32.426076037766975"/>
    <n v="798972183"/>
    <x v="1"/>
    <n v="0.99855499999999997"/>
    <x v="1"/>
  </r>
  <r>
    <n v="51"/>
    <n v="1"/>
    <n v="1"/>
    <n v="3"/>
    <n v="2"/>
    <n v="2"/>
    <n v="3"/>
    <n v="43"/>
    <n v="2"/>
    <n v="3"/>
    <n v="2"/>
    <n v="28673"/>
    <n v="0"/>
    <n v="28673"/>
    <n v="0.53700000000000003"/>
    <n v="3722"/>
    <n v="69"/>
    <n v="0.72499999999999998"/>
    <n v="0"/>
    <n v="1.483E-4"/>
    <n v="0.99985000000000002"/>
    <s v="25.37510214707212"/>
    <s v="19.713874849281957"/>
    <s v="20.07537646122284"/>
    <s v="34.14610269286628"/>
    <n v="708876183"/>
    <x v="0"/>
    <n v="7.4965424999999997E-4"/>
    <x v="0"/>
  </r>
  <r>
    <n v="35"/>
    <n v="1"/>
    <n v="4"/>
    <n v="2"/>
    <n v="1"/>
    <n v="3"/>
    <n v="0"/>
    <n v="24"/>
    <n v="6"/>
    <n v="3"/>
    <n v="4"/>
    <n v="12634"/>
    <n v="0"/>
    <n v="12634"/>
    <n v="0.32300000000000001"/>
    <n v="717"/>
    <n v="18"/>
    <n v="0.28599999999999998"/>
    <n v="0"/>
    <n v="0.99816000000000005"/>
    <n v="1.84351E-3"/>
    <s v="13.046010782210518"/>
    <s v="8.920996583864424"/>
    <s v="45.144221207690656"/>
    <s v="8.379249249654766"/>
    <n v="711562833"/>
    <x v="1"/>
    <n v="0.99829570000000001"/>
    <x v="1"/>
  </r>
  <r>
    <n v="38"/>
    <n v="1"/>
    <n v="3"/>
    <n v="0"/>
    <n v="2"/>
    <n v="1"/>
    <n v="0"/>
    <n v="19"/>
    <n v="1"/>
    <n v="2"/>
    <n v="4"/>
    <n v="3458"/>
    <n v="321"/>
    <n v="3137"/>
    <n v="0.58599999999999997"/>
    <n v="2256"/>
    <n v="40"/>
    <n v="0.28999999999999998"/>
    <n v="9.2999999999999999E-2"/>
    <n v="0.99697000000000002"/>
    <n v="3.0251900000000001E-3"/>
    <s v="7.140672862913889"/>
    <n v="55.263932238757299"/>
    <s v="2.7249957031913565"/>
    <s v="10.066084498925775"/>
    <n v="709709283"/>
    <x v="1"/>
    <n v="0.99819760000000002"/>
    <x v="1"/>
  </r>
  <r>
    <n v="45"/>
    <n v="1"/>
    <n v="4"/>
    <n v="6"/>
    <n v="1"/>
    <n v="1"/>
    <n v="0"/>
    <n v="30"/>
    <n v="6"/>
    <n v="3"/>
    <n v="3"/>
    <n v="1892"/>
    <n v="1049"/>
    <n v="843"/>
    <n v="1.1220000000000001"/>
    <n v="4558"/>
    <n v="60"/>
    <n v="1.609"/>
    <n v="0.55400000000000005"/>
    <n v="3.4872000000000001E-4"/>
    <n v="0.99965000000000004"/>
    <s v="5.296400842855952"/>
    <s v="80.71616346172712"/>
    <s v="12.95056125836575"/>
    <s v="0.3984977211299139"/>
    <n v="713642133"/>
    <x v="0"/>
    <n v="3.5501685000000001E-4"/>
    <x v="0"/>
  </r>
  <r>
    <n v="50"/>
    <n v="0"/>
    <n v="2"/>
    <n v="4"/>
    <n v="1"/>
    <n v="5"/>
    <n v="0"/>
    <n v="36"/>
    <n v="5"/>
    <n v="2"/>
    <n v="4"/>
    <n v="4045"/>
    <n v="0"/>
    <n v="4045"/>
    <n v="0.66"/>
    <n v="2438"/>
    <n v="41"/>
    <n v="0.46400000000000002"/>
    <n v="0"/>
    <n v="0.99741000000000002"/>
    <n v="2.5948199999999999E-3"/>
    <s v="25.56433856001161"/>
    <s v="6.855562827781268"/>
    <s v="18.575287231328037"/>
    <n v="8.5267425654895295"/>
    <n v="712450008"/>
    <x v="1"/>
    <n v="0.99837339999999997"/>
    <x v="1"/>
  </r>
  <r>
    <n v="45"/>
    <n v="1"/>
    <n v="3"/>
    <n v="5"/>
    <n v="1"/>
    <n v="1"/>
    <n v="0"/>
    <n v="28"/>
    <n v="2"/>
    <n v="2"/>
    <n v="5"/>
    <n v="4572"/>
    <n v="0"/>
    <n v="4572"/>
    <n v="0.48"/>
    <n v="3555"/>
    <n v="42"/>
    <n v="0.4"/>
    <n v="0"/>
    <n v="0.99834000000000001"/>
    <n v="1.6552400000000001E-3"/>
    <s v="50.81360496289141"/>
    <s v="37.01487287836446"/>
    <s v="136.74361790373334"/>
    <s v="27.78184790770281"/>
    <n v="710064033"/>
    <x v="1"/>
    <n v="0.99766122999999995"/>
    <x v="1"/>
  </r>
  <r>
    <n v="40"/>
    <n v="0"/>
    <n v="3"/>
    <n v="2"/>
    <n v="1"/>
    <n v="4"/>
    <n v="0"/>
    <n v="36"/>
    <n v="6"/>
    <n v="1"/>
    <n v="3"/>
    <n v="7582"/>
    <n v="1942"/>
    <n v="5640"/>
    <n v="0.82299999999999995"/>
    <n v="4926"/>
    <n v="85"/>
    <n v="0.63500000000000001"/>
    <n v="0.25600000000000001"/>
    <s v="9.6126e-05"/>
    <n v="0.99990000000000001"/>
    <s v="10.819567801072266"/>
    <s v="30.218250839144797"/>
    <s v="3.4293712106792187"/>
    <n v="20.861239345240499"/>
    <n v="713904708"/>
    <x v="0"/>
    <n v="3.2914013999999999E-4"/>
    <x v="0"/>
  </r>
  <r>
    <n v="36"/>
    <n v="1"/>
    <n v="2"/>
    <n v="3"/>
    <n v="2"/>
    <n v="3"/>
    <n v="0"/>
    <n v="27"/>
    <n v="5"/>
    <n v="3"/>
    <n v="3"/>
    <n v="14690"/>
    <n v="979"/>
    <n v="13711"/>
    <n v="0.81100000000000005"/>
    <n v="2746"/>
    <n v="68"/>
    <n v="0.51100000000000001"/>
    <n v="6.7000000000000004E-2"/>
    <n v="2.9408E-4"/>
    <n v="0.99970999999999999"/>
    <s v="44.97851578339434"/>
    <s v="53.63382112301622"/>
    <s v="31.581891583491544"/>
    <s v="26.39310799935259"/>
    <n v="787868958"/>
    <x v="0"/>
    <n v="5.196396E-4"/>
    <x v="0"/>
  </r>
  <r>
    <n v="56"/>
    <n v="1"/>
    <n v="0"/>
    <n v="0"/>
    <n v="1"/>
    <n v="3"/>
    <n v="0"/>
    <n v="51"/>
    <n v="3"/>
    <n v="2"/>
    <n v="3"/>
    <n v="14501"/>
    <n v="0"/>
    <n v="14501"/>
    <n v="0.85399999999999998"/>
    <n v="1031"/>
    <n v="25"/>
    <n v="0.38900000000000001"/>
    <n v="0"/>
    <n v="0.99378"/>
    <n v="6.2199999999999998E-3"/>
    <s v="13.912175265808887"/>
    <s v="11.342859557774991"/>
    <s v="11.408337840236907"/>
    <s v="10.854984267570424"/>
    <n v="816600933"/>
    <x v="1"/>
    <n v="0.99870884000000004"/>
    <x v="1"/>
  </r>
  <r>
    <n v="61"/>
    <n v="1"/>
    <n v="2"/>
    <n v="3"/>
    <n v="2"/>
    <n v="2"/>
    <n v="3"/>
    <n v="48"/>
    <n v="5"/>
    <n v="2"/>
    <n v="3"/>
    <n v="26218"/>
    <n v="0"/>
    <n v="26218"/>
    <n v="0.74"/>
    <n v="3925"/>
    <n v="88"/>
    <n v="0.83299999999999996"/>
    <n v="0"/>
    <n v="1.6814999999999999E-4"/>
    <n v="0.99983"/>
    <s v="6.743665424633106"/>
    <s v="14.282566311439703"/>
    <n v="73.429865495825098"/>
    <s v="11.953378649506156"/>
    <n v="708502908"/>
    <x v="0"/>
    <n v="6.9517245999999998E-4"/>
    <x v="0"/>
  </r>
  <r>
    <n v="48"/>
    <n v="0"/>
    <n v="3"/>
    <n v="3"/>
    <n v="2"/>
    <n v="1"/>
    <n v="0"/>
    <n v="42"/>
    <n v="6"/>
    <n v="1"/>
    <n v="1"/>
    <n v="3743"/>
    <n v="2090"/>
    <n v="1653"/>
    <n v="0.96899999999999997"/>
    <n v="4674"/>
    <n v="67"/>
    <n v="0.71799999999999997"/>
    <n v="0.55800000000000005"/>
    <s v="3.3505e-05"/>
    <n v="0.99997000000000003"/>
    <n v="9.62095587329285"/>
    <s v="64.02802141656045"/>
    <s v="37.570308331141575"/>
    <s v="2.729502609314651"/>
    <n v="793625583"/>
    <x v="0"/>
    <n v="3.221314E-4"/>
    <x v="0"/>
  </r>
  <r>
    <n v="41"/>
    <n v="0"/>
    <n v="2"/>
    <n v="0"/>
    <n v="1"/>
    <n v="4"/>
    <n v="0"/>
    <n v="36"/>
    <n v="2"/>
    <n v="1"/>
    <n v="2"/>
    <n v="1654"/>
    <n v="1093"/>
    <n v="561"/>
    <n v="0.65"/>
    <n v="4596"/>
    <n v="82"/>
    <n v="0.82199999999999995"/>
    <n v="0.66100000000000003"/>
    <s v="5.3547e-05"/>
    <n v="0.99995000000000001"/>
    <s v="21.41942912724593"/>
    <s v="22.02284795186731"/>
    <s v="84.40198008206765"/>
    <s v="16.50973969588032"/>
    <n v="720989133"/>
    <x v="0"/>
    <n v="3.2101269999999999E-4"/>
    <x v="0"/>
  </r>
  <r>
    <n v="40"/>
    <n v="0"/>
    <n v="1"/>
    <n v="3"/>
    <n v="1"/>
    <n v="4"/>
    <n v="0"/>
    <n v="36"/>
    <n v="6"/>
    <n v="3"/>
    <n v="2"/>
    <n v="4712"/>
    <n v="0"/>
    <n v="4712"/>
    <n v="0.84"/>
    <n v="4216"/>
    <n v="82"/>
    <n v="0.64"/>
    <n v="0"/>
    <n v="1.6412999999999999E-4"/>
    <n v="0.99983999999999995"/>
    <s v="40.35678058335658"/>
    <s v="2.4432206858744743"/>
    <s v="41.98147250455592"/>
    <s v="1.8238235806928849"/>
    <n v="708515358"/>
    <x v="0"/>
    <n v="7.2847964000000002E-4"/>
    <x v="0"/>
  </r>
  <r>
    <n v="54"/>
    <n v="0"/>
    <n v="4"/>
    <n v="0"/>
    <n v="2"/>
    <n v="5"/>
    <n v="0"/>
    <n v="48"/>
    <n v="3"/>
    <n v="2"/>
    <n v="2"/>
    <n v="9723"/>
    <n v="1307"/>
    <n v="8416"/>
    <n v="0.80300000000000005"/>
    <n v="4043"/>
    <n v="76"/>
    <n v="0.9"/>
    <n v="0.13400000000000001"/>
    <n v="1.1605E-4"/>
    <n v="0.99987999999999999"/>
    <s v="2.564548392946256"/>
    <s v="29.26600347483064"/>
    <s v="38.92121320840252"/>
    <s v="15.123951215826487"/>
    <n v="709787733"/>
    <x v="0"/>
    <n v="3.2101269999999999E-4"/>
    <x v="0"/>
  </r>
  <r>
    <n v="52"/>
    <n v="1"/>
    <n v="3"/>
    <n v="1"/>
    <n v="1"/>
    <n v="2"/>
    <n v="0"/>
    <n v="40"/>
    <n v="6"/>
    <n v="2"/>
    <n v="2"/>
    <n v="5376"/>
    <n v="804"/>
    <n v="4572"/>
    <n v="0.51"/>
    <n v="4511"/>
    <n v="74"/>
    <n v="0.68200000000000005"/>
    <n v="0.15"/>
    <n v="1.7091E-4"/>
    <n v="0.99983"/>
    <s v="34.75169763686126"/>
    <s v="5.385692221280568"/>
    <s v="21.114620193246463"/>
    <s v="0.9865114644662548"/>
    <n v="716805408"/>
    <x v="0"/>
    <n v="5.1030780000000005E-4"/>
    <x v="0"/>
  </r>
  <r>
    <n v="39"/>
    <n v="1"/>
    <n v="1"/>
    <n v="5"/>
    <n v="2"/>
    <n v="2"/>
    <n v="0"/>
    <n v="22"/>
    <n v="4"/>
    <n v="3"/>
    <n v="3"/>
    <n v="9204"/>
    <n v="845"/>
    <n v="8359"/>
    <n v="0.67300000000000004"/>
    <n v="1820"/>
    <n v="58"/>
    <n v="0.61099999999999999"/>
    <n v="9.1999999999999998E-2"/>
    <n v="2.9196000000000002E-4"/>
    <n v="0.99970999999999999"/>
    <s v="14.983406397212844"/>
    <s v="49.29588485962381"/>
    <s v="15.341289430351363"/>
    <s v="1.5701836421667497"/>
    <n v="788814783"/>
    <x v="0"/>
    <n v="7.1454875E-4"/>
    <x v="0"/>
  </r>
  <r>
    <n v="46"/>
    <n v="0"/>
    <n v="2"/>
    <n v="3"/>
    <n v="1"/>
    <n v="4"/>
    <n v="0"/>
    <n v="35"/>
    <n v="6"/>
    <n v="4"/>
    <n v="3"/>
    <n v="4675"/>
    <n v="1734"/>
    <n v="2941"/>
    <n v="0.41299999999999998"/>
    <n v="1232"/>
    <n v="34"/>
    <n v="0.54500000000000004"/>
    <n v="0.371"/>
    <n v="3.5539000000000002E-4"/>
    <n v="0.99963999999999997"/>
    <s v="21.15866919656405"/>
    <s v="8.490014335423536"/>
    <s v="3.696772134456633"/>
    <s v="10.90793180127896"/>
    <n v="713620308"/>
    <x v="0"/>
    <n v="1.0598798E-3"/>
    <x v="0"/>
  </r>
  <r>
    <n v="42"/>
    <n v="0"/>
    <n v="5"/>
    <n v="5"/>
    <n v="2"/>
    <n v="4"/>
    <n v="0"/>
    <n v="36"/>
    <n v="6"/>
    <n v="3"/>
    <n v="1"/>
    <n v="1438.3"/>
    <n v="0"/>
    <n v="1438.3"/>
    <n v="0.81299999999999994"/>
    <n v="4653"/>
    <n v="78"/>
    <n v="0.95"/>
    <n v="0"/>
    <n v="1.1514999999999999E-4"/>
    <n v="0.99987999999999999"/>
    <s v="42.205439688339865"/>
    <s v="51.786573117766736"/>
    <s v="94.98240501289756"/>
    <s v="10.925256527044796"/>
    <n v="711445233"/>
    <x v="0"/>
    <n v="6.9517245999999998E-4"/>
    <x v="0"/>
  </r>
  <r>
    <n v="53"/>
    <n v="0"/>
    <n v="3"/>
    <n v="5"/>
    <n v="2"/>
    <n v="4"/>
    <n v="0"/>
    <n v="48"/>
    <n v="6"/>
    <n v="2"/>
    <n v="1"/>
    <n v="1953"/>
    <n v="1215"/>
    <n v="738"/>
    <n v="0.66700000000000004"/>
    <n v="4253"/>
    <n v="72"/>
    <n v="0.8"/>
    <n v="0.622"/>
    <s v="7.3235e-05"/>
    <n v="0.99992999999999999"/>
    <s v="14.589985860830309"/>
    <n v="9.3010730172404603"/>
    <s v="30.07232058845833"/>
    <s v="0.7968289522900854"/>
    <n v="815830083"/>
    <x v="0"/>
    <n v="3.2101269999999999E-4"/>
    <x v="0"/>
  </r>
  <r>
    <n v="54"/>
    <n v="0"/>
    <n v="0"/>
    <n v="2"/>
    <n v="1"/>
    <n v="4"/>
    <n v="0"/>
    <n v="36"/>
    <n v="5"/>
    <n v="3"/>
    <n v="4"/>
    <n v="5399"/>
    <n v="1723"/>
    <n v="3676"/>
    <n v="0.76500000000000001"/>
    <n v="1292"/>
    <n v="34"/>
    <n v="0.88900000000000001"/>
    <n v="0.31900000000000001"/>
    <n v="4.4282000000000002E-4"/>
    <n v="0.99956"/>
    <s v="0.6266254078087563"/>
    <s v="29.77873175064177"/>
    <s v="83.58292760943243"/>
    <s v="13.036307544292374"/>
    <n v="714421233"/>
    <x v="0"/>
    <n v="9.8706899999999992E-4"/>
    <x v="0"/>
  </r>
  <r>
    <n v="47"/>
    <n v="0"/>
    <n v="4"/>
    <n v="5"/>
    <n v="2"/>
    <n v="4"/>
    <n v="0"/>
    <n v="36"/>
    <n v="4"/>
    <n v="2"/>
    <n v="3"/>
    <n v="2577"/>
    <n v="1450"/>
    <n v="1127"/>
    <n v="0.747"/>
    <n v="4576"/>
    <n v="83"/>
    <n v="0.76600000000000001"/>
    <n v="0.56299999999999994"/>
    <n v="2.0642999999999999E-4"/>
    <n v="0.99978999999999996"/>
    <s v="51.937432893051565"/>
    <s v="56.97666570661391"/>
    <s v="21.556712634258485"/>
    <s v="11.316050536594105"/>
    <n v="714086133"/>
    <x v="0"/>
    <n v="3.2101269999999999E-4"/>
    <x v="0"/>
  </r>
  <r>
    <n v="55"/>
    <n v="0"/>
    <n v="1"/>
    <n v="6"/>
    <n v="1"/>
    <n v="4"/>
    <n v="0"/>
    <n v="46"/>
    <n v="5"/>
    <n v="1"/>
    <n v="4"/>
    <n v="2281"/>
    <n v="920"/>
    <n v="1361"/>
    <n v="0.57599999999999996"/>
    <n v="3968"/>
    <n v="66"/>
    <n v="0.83299999999999996"/>
    <n v="0.40300000000000002"/>
    <n v="1.6305000000000001E-4"/>
    <n v="0.99983999999999995"/>
    <s v="26.30758254767373"/>
    <s v="19.36756807731632"/>
    <s v="101.6303599499422"/>
    <s v="0.8938744557586926"/>
    <n v="719056833"/>
    <x v="0"/>
    <n v="4.0989029999999999E-4"/>
    <x v="0"/>
  </r>
  <r>
    <n v="50"/>
    <n v="1"/>
    <n v="2"/>
    <n v="3"/>
    <n v="1"/>
    <n v="0"/>
    <n v="0"/>
    <n v="40"/>
    <n v="6"/>
    <n v="4"/>
    <n v="3"/>
    <n v="13709"/>
    <n v="813"/>
    <n v="12896"/>
    <n v="0.65"/>
    <n v="2511"/>
    <n v="40"/>
    <n v="0.6"/>
    <n v="5.8999999999999997E-2"/>
    <n v="0.99719999999999998"/>
    <n v="2.80488E-3"/>
    <s v="23.78105073330225"/>
    <s v="29.86488243504142"/>
    <n v="56.535753877508398"/>
    <s v="14.508617293526845"/>
    <n v="772728933"/>
    <x v="1"/>
    <n v="0.9973552"/>
    <x v="1"/>
  </r>
  <r>
    <n v="51"/>
    <n v="0"/>
    <n v="2"/>
    <n v="5"/>
    <n v="1"/>
    <n v="4"/>
    <n v="0"/>
    <n v="40"/>
    <n v="4"/>
    <n v="3"/>
    <n v="3"/>
    <n v="1612"/>
    <n v="831"/>
    <n v="781"/>
    <n v="0.60199999999999998"/>
    <n v="4924"/>
    <n v="81"/>
    <n v="0.88400000000000001"/>
    <n v="0.51600000000000001"/>
    <n v="3.1104E-4"/>
    <n v="0.99968999999999997"/>
    <s v="49.46395082559092"/>
    <s v="51.17496167163959"/>
    <s v="87.35331285254024"/>
    <s v="15.16297670348289"/>
    <n v="771869508"/>
    <x v="0"/>
    <n v="4.8967317000000001E-4"/>
    <x v="0"/>
  </r>
  <r>
    <n v="59"/>
    <n v="0"/>
    <n v="2"/>
    <n v="3"/>
    <n v="1"/>
    <n v="1"/>
    <n v="0"/>
    <n v="36"/>
    <n v="3"/>
    <n v="3"/>
    <n v="3"/>
    <n v="4375"/>
    <n v="0"/>
    <n v="4375"/>
    <n v="0.621"/>
    <n v="2507"/>
    <n v="53"/>
    <n v="0.47199999999999998"/>
    <n v="0"/>
    <n v="0.99661"/>
    <n v="3.3878799999999998E-3"/>
    <s v="0.5841497393154772"/>
    <s v="73.44859296574118"/>
    <s v="48.36376241507532"/>
    <s v="2.401236191756407"/>
    <n v="709307808"/>
    <x v="1"/>
    <n v="0.99814712999999999"/>
    <x v="1"/>
  </r>
  <r>
    <n v="58"/>
    <n v="0"/>
    <n v="4"/>
    <n v="3"/>
    <n v="0"/>
    <n v="5"/>
    <n v="0"/>
    <n v="45"/>
    <n v="4"/>
    <n v="1"/>
    <n v="1"/>
    <n v="21065"/>
    <n v="2517"/>
    <n v="18548"/>
    <n v="0.84"/>
    <n v="1060"/>
    <n v="32"/>
    <n v="0.33300000000000002"/>
    <n v="0.11899999999999999"/>
    <n v="0.97131999999999996"/>
    <n v="2.8680000000000001E-2"/>
    <s v="2.648040502187204"/>
    <s v="19.789079649992896"/>
    <s v="77.48887295101073"/>
    <s v="6.957782880245679"/>
    <n v="709961958"/>
    <x v="1"/>
    <n v="0.99519159999999995"/>
    <x v="1"/>
  </r>
  <r>
    <n v="59"/>
    <n v="0"/>
    <n v="1"/>
    <n v="5"/>
    <n v="1"/>
    <n v="1"/>
    <n v="0"/>
    <n v="36"/>
    <n v="4"/>
    <n v="2"/>
    <n v="3"/>
    <n v="3356"/>
    <n v="985"/>
    <n v="2371"/>
    <n v="0.35"/>
    <n v="999"/>
    <n v="28"/>
    <n v="0.55600000000000005"/>
    <n v="0.29399999999999998"/>
    <n v="1.8474999999999999E-4"/>
    <n v="0.99982000000000004"/>
    <s v="20.973439987231934"/>
    <s v="44.81978748011368"/>
    <n v="39.825201166675797"/>
    <s v="19.66724372440426"/>
    <n v="710829108"/>
    <x v="0"/>
    <n v="1.2968546000000001E-3"/>
    <x v="0"/>
  </r>
  <r>
    <n v="46"/>
    <n v="1"/>
    <n v="2"/>
    <n v="6"/>
    <n v="1"/>
    <n v="3"/>
    <n v="0"/>
    <n v="36"/>
    <n v="6"/>
    <n v="1"/>
    <n v="2"/>
    <n v="14164"/>
    <n v="1525"/>
    <n v="12639"/>
    <n v="0.54300000000000004"/>
    <n v="3749"/>
    <n v="59"/>
    <n v="0.68600000000000005"/>
    <n v="0.108"/>
    <s v="6.054e-05"/>
    <n v="0.99994000000000005"/>
    <s v="40.27649792053215"/>
    <s v="54.28272907850268"/>
    <s v="112.75941083567862"/>
    <s v="19.04255429340169"/>
    <n v="714729933"/>
    <x v="0"/>
    <n v="3.8517435000000002E-4"/>
    <x v="0"/>
  </r>
  <r>
    <n v="48"/>
    <n v="1"/>
    <n v="3"/>
    <n v="0"/>
    <n v="1"/>
    <n v="1"/>
    <n v="0"/>
    <n v="35"/>
    <n v="3"/>
    <n v="1"/>
    <n v="3"/>
    <n v="2592"/>
    <n v="0"/>
    <n v="2592"/>
    <n v="0.76700000000000002"/>
    <n v="4177"/>
    <n v="85"/>
    <n v="0.77100000000000002"/>
    <n v="0"/>
    <s v="9.3457e-05"/>
    <n v="0.99990999999999997"/>
    <s v="20.271423315898016"/>
    <s v="16.182135229180417"/>
    <s v="11.197904241090686"/>
    <s v="24.686612689717528"/>
    <n v="759127158"/>
    <x v="0"/>
    <n v="6.9517245999999998E-4"/>
    <x v="0"/>
  </r>
  <r>
    <n v="38"/>
    <n v="0"/>
    <n v="2"/>
    <n v="6"/>
    <n v="2"/>
    <n v="4"/>
    <n v="0"/>
    <n v="28"/>
    <n v="6"/>
    <n v="2"/>
    <n v="1"/>
    <n v="3206"/>
    <n v="2459"/>
    <n v="747"/>
    <n v="0.69599999999999995"/>
    <n v="3852"/>
    <n v="65"/>
    <n v="0.625"/>
    <n v="0.76700000000000002"/>
    <s v="7.5449e-05"/>
    <n v="0.99992000000000003"/>
    <s v="52.256676564347366"/>
    <s v="15.929881627279489"/>
    <s v="15.345336204826395"/>
    <s v="10.227604330305704"/>
    <n v="714569958"/>
    <x v="0"/>
    <n v="3.6444895999999998E-4"/>
    <x v="0"/>
  </r>
  <r>
    <n v="39"/>
    <n v="0"/>
    <n v="4"/>
    <n v="2"/>
    <n v="1"/>
    <n v="5"/>
    <n v="0"/>
    <n v="21"/>
    <n v="6"/>
    <n v="1"/>
    <n v="4"/>
    <n v="5024"/>
    <n v="1613"/>
    <n v="3411"/>
    <n v="0.75800000000000001"/>
    <n v="1925"/>
    <n v="40"/>
    <n v="0.66700000000000004"/>
    <n v="0.32100000000000001"/>
    <n v="1.6574E-4"/>
    <n v="0.99983"/>
    <s v="0.9236595238905868"/>
    <s v="43.79655160998168"/>
    <s v="31.80592819680369"/>
    <s v="15.61168360834675"/>
    <n v="710653158"/>
    <x v="0"/>
    <n v="1.1451696999999999E-3"/>
    <x v="0"/>
  </r>
  <r>
    <n v="46"/>
    <n v="1"/>
    <n v="3"/>
    <n v="3"/>
    <n v="2"/>
    <n v="2"/>
    <n v="0"/>
    <n v="39"/>
    <n v="4"/>
    <n v="1"/>
    <n v="4"/>
    <n v="23642"/>
    <n v="2049"/>
    <n v="21593"/>
    <n v="0.71899999999999997"/>
    <n v="3139"/>
    <n v="54"/>
    <n v="0.63600000000000001"/>
    <n v="8.6999999999999994E-2"/>
    <n v="1.5941999999999999E-4"/>
    <n v="0.99983999999999995"/>
    <s v="12.582038658960483"/>
    <s v="16.767332937450533"/>
    <s v="50.28140068125964"/>
    <s v="8.908873769403735"/>
    <n v="737986083"/>
    <x v="0"/>
    <n v="6.1244314000000004E-4"/>
    <x v="0"/>
  </r>
  <r>
    <n v="51"/>
    <n v="0"/>
    <n v="2"/>
    <n v="4"/>
    <n v="1"/>
    <n v="4"/>
    <n v="0"/>
    <n v="44"/>
    <n v="3"/>
    <n v="3"/>
    <n v="4"/>
    <n v="1438.3"/>
    <n v="1031"/>
    <n v="407.3"/>
    <n v="0.58199999999999996"/>
    <n v="3308"/>
    <n v="72"/>
    <n v="0.67400000000000004"/>
    <n v="0.71699999999999997"/>
    <n v="6.0711999999999995E-4"/>
    <n v="0.99939"/>
    <s v="75.47403035510835"/>
    <s v="15.303983007100255"/>
    <s v="84.14755128445255"/>
    <s v="24.99764961614565"/>
    <n v="758426583"/>
    <x v="0"/>
    <n v="3.4067659999999998E-4"/>
    <x v="0"/>
  </r>
  <r>
    <n v="55"/>
    <n v="1"/>
    <n v="2"/>
    <n v="3"/>
    <n v="1"/>
    <n v="1"/>
    <n v="0"/>
    <n v="47"/>
    <n v="5"/>
    <n v="3"/>
    <n v="2"/>
    <n v="3096"/>
    <n v="2217"/>
    <n v="879"/>
    <n v="0.79900000000000004"/>
    <n v="2011"/>
    <n v="41"/>
    <n v="0.78300000000000003"/>
    <n v="0.71599999999999997"/>
    <n v="1.7485999999999999E-4"/>
    <n v="0.99983"/>
    <s v="47.87149488631272"/>
    <s v="43.54478281494146"/>
    <s v="20.036867974342982"/>
    <s v="6.111203022314914"/>
    <n v="713747733"/>
    <x v="0"/>
    <n v="1.0934846E-3"/>
    <x v="0"/>
  </r>
  <r>
    <n v="48"/>
    <n v="1"/>
    <n v="3"/>
    <n v="5"/>
    <n v="2"/>
    <n v="1"/>
    <n v="0"/>
    <n v="36"/>
    <n v="6"/>
    <n v="3"/>
    <n v="2"/>
    <n v="3786"/>
    <n v="0"/>
    <n v="3786"/>
    <n v="0.71499999999999997"/>
    <n v="3403"/>
    <n v="70"/>
    <n v="0.48899999999999999"/>
    <n v="0"/>
    <n v="1.9191E-4"/>
    <n v="0.99980999999999998"/>
    <s v="31.116003042162067"/>
    <s v="57.11510425906211"/>
    <s v="31.11502009636974"/>
    <s v="10.961902225189274"/>
    <n v="720384633"/>
    <x v="0"/>
    <n v="8.3350899999999996E-4"/>
    <x v="0"/>
  </r>
  <r>
    <n v="48"/>
    <n v="1"/>
    <n v="4"/>
    <n v="0"/>
    <n v="2"/>
    <n v="3"/>
    <n v="0"/>
    <n v="31"/>
    <n v="6"/>
    <n v="1"/>
    <n v="3"/>
    <n v="5033"/>
    <n v="0"/>
    <n v="5033"/>
    <n v="0.59699999999999998"/>
    <n v="4054"/>
    <n v="82"/>
    <n v="0.82199999999999995"/>
    <n v="0"/>
    <s v="9.4455e-05"/>
    <n v="0.99990999999999997"/>
    <s v="17.59290797615679"/>
    <s v="8.533459468227173"/>
    <s v="21.521538919040875"/>
    <s v="2.7396221373306684"/>
    <n v="779655183"/>
    <x v="0"/>
    <n v="6.9517245999999998E-4"/>
    <x v="0"/>
  </r>
  <r>
    <n v="53"/>
    <n v="0"/>
    <n v="2"/>
    <n v="5"/>
    <n v="2"/>
    <n v="4"/>
    <n v="0"/>
    <n v="45"/>
    <n v="1"/>
    <n v="1"/>
    <n v="1"/>
    <n v="1981"/>
    <n v="1518"/>
    <n v="463"/>
    <n v="1.0189999999999999"/>
    <n v="973"/>
    <n v="25"/>
    <n v="0.92300000000000004"/>
    <n v="0.76600000000000001"/>
    <n v="0.97155000000000002"/>
    <n v="2.845E-2"/>
    <s v="2.8694626870277062"/>
    <s v="4.443001273744941"/>
    <s v="60.48258924543285"/>
    <s v="9.540861307002334"/>
    <n v="712315683"/>
    <x v="1"/>
    <n v="0.99517800000000001"/>
    <x v="1"/>
  </r>
  <r>
    <n v="41"/>
    <n v="1"/>
    <n v="2"/>
    <n v="3"/>
    <n v="1"/>
    <n v="2"/>
    <n v="0"/>
    <n v="36"/>
    <n v="6"/>
    <n v="2"/>
    <n v="2"/>
    <n v="4499"/>
    <n v="0"/>
    <n v="4499"/>
    <n v="0.76500000000000001"/>
    <n v="4906"/>
    <n v="75"/>
    <n v="0.66700000000000004"/>
    <n v="0"/>
    <n v="1.1065000000000001E-4"/>
    <n v="0.99988999999999995"/>
    <s v="15.071624411254309"/>
    <s v="41.502923357382045"/>
    <n v="95.164356234577198"/>
    <s v="11.84611566865902"/>
    <n v="715650783"/>
    <x v="0"/>
    <n v="6.9517245999999998E-4"/>
    <x v="0"/>
  </r>
  <r>
    <n v="37"/>
    <n v="0"/>
    <n v="4"/>
    <n v="5"/>
    <n v="1"/>
    <n v="4"/>
    <n v="0"/>
    <n v="36"/>
    <n v="4"/>
    <n v="1"/>
    <n v="4"/>
    <n v="2509"/>
    <n v="1144"/>
    <n v="1365"/>
    <n v="0.69199999999999995"/>
    <n v="1804"/>
    <n v="38"/>
    <n v="0.58299999999999996"/>
    <n v="0.45600000000000002"/>
    <n v="1.7042000000000001E-4"/>
    <n v="0.99983"/>
    <s v="28.880117977177093"/>
    <s v="2.0652038930752017"/>
    <s v="64.87826113826664"/>
    <n v="15.654138889342599"/>
    <n v="708347583"/>
    <x v="0"/>
    <n v="1.0598798E-3"/>
    <x v="0"/>
  </r>
  <r>
    <n v="36"/>
    <n v="0"/>
    <n v="1"/>
    <n v="2"/>
    <n v="1"/>
    <n v="4"/>
    <n v="0"/>
    <n v="22"/>
    <n v="5"/>
    <n v="2"/>
    <n v="3"/>
    <n v="1438.3"/>
    <n v="790"/>
    <n v="648.29999999999995"/>
    <n v="0.61499999999999999"/>
    <n v="3959"/>
    <n v="59"/>
    <n v="0.73499999999999999"/>
    <n v="0.54900000000000004"/>
    <n v="1.7969000000000001E-4"/>
    <n v="0.99982000000000004"/>
    <s v="71.04760860954897"/>
    <n v="83.924557475050406"/>
    <s v="28.871689844180544"/>
    <s v="0.1309669012776674"/>
    <n v="713556033"/>
    <x v="0"/>
    <n v="6.307067E-4"/>
    <x v="0"/>
  </r>
  <r>
    <n v="51"/>
    <n v="1"/>
    <n v="4"/>
    <n v="2"/>
    <n v="2"/>
    <n v="3"/>
    <n v="3"/>
    <n v="42"/>
    <n v="6"/>
    <n v="4"/>
    <n v="2"/>
    <n v="34516"/>
    <n v="230"/>
    <n v="34286"/>
    <n v="1.004"/>
    <n v="8629"/>
    <n v="65"/>
    <n v="0.54800000000000004"/>
    <n v="7.0000000000000001E-3"/>
    <n v="0.99517"/>
    <n v="4.8301100000000003E-3"/>
    <s v="3.2873485250251906"/>
    <s v="52.29976921614509"/>
    <s v="136.0878648537569"/>
    <s v="1.4495205050161288"/>
    <n v="712768983"/>
    <x v="1"/>
    <n v="0.99560462999999999"/>
    <x v="1"/>
  </r>
  <r>
    <n v="45"/>
    <n v="1"/>
    <n v="4"/>
    <n v="2"/>
    <n v="2"/>
    <n v="1"/>
    <n v="0"/>
    <n v="35"/>
    <n v="3"/>
    <n v="2"/>
    <n v="2"/>
    <n v="7935"/>
    <n v="888"/>
    <n v="7047"/>
    <n v="0.77900000000000003"/>
    <n v="15380"/>
    <n v="122"/>
    <n v="0.69399999999999995"/>
    <n v="0.112"/>
    <n v="1.1937E-4"/>
    <n v="0.99987999999999999"/>
    <s v="64.06472185119839"/>
    <s v="17.463802038524484"/>
    <s v="16.991656076100302"/>
    <s v="8.239247549920751"/>
    <n v="713768358"/>
    <x v="0"/>
    <n v="4.5518312000000002E-4"/>
    <x v="0"/>
  </r>
  <r>
    <n v="47"/>
    <n v="1"/>
    <n v="4"/>
    <n v="5"/>
    <n v="0"/>
    <n v="3"/>
    <n v="0"/>
    <n v="30"/>
    <n v="5"/>
    <n v="2"/>
    <n v="2"/>
    <n v="17682"/>
    <n v="2481"/>
    <n v="15201"/>
    <n v="1.302"/>
    <n v="1747"/>
    <n v="31"/>
    <n v="1.214"/>
    <n v="0.14000000000000001"/>
    <n v="1.2274000000000001E-4"/>
    <n v="0.99987999999999999"/>
    <s v="11.503086854162737"/>
    <s v="36.11377593999997"/>
    <s v="11.147654343838363"/>
    <s v="19.65872857305145"/>
    <n v="715996983"/>
    <x v="0"/>
    <n v="1.0254878999999999E-3"/>
    <x v="0"/>
  </r>
  <r>
    <n v="45"/>
    <n v="1"/>
    <n v="3"/>
    <n v="2"/>
    <n v="1"/>
    <n v="2"/>
    <n v="0"/>
    <n v="25"/>
    <n v="3"/>
    <n v="3"/>
    <n v="2"/>
    <n v="9791"/>
    <n v="1311"/>
    <n v="8480"/>
    <n v="0.70399999999999996"/>
    <n v="1649"/>
    <n v="59"/>
    <n v="0.51300000000000001"/>
    <n v="0.13400000000000001"/>
    <n v="1.8665000000000001E-4"/>
    <n v="0.99980999999999998"/>
    <s v="8.616555801346063"/>
    <s v="68.67950371235467"/>
    <s v="51.29087830839645"/>
    <s v="15.871883224474397"/>
    <n v="718444233"/>
    <x v="0"/>
    <n v="4.4762128000000001E-4"/>
    <x v="0"/>
  </r>
  <r>
    <n v="40"/>
    <n v="1"/>
    <n v="3"/>
    <n v="3"/>
    <n v="1"/>
    <n v="3"/>
    <n v="0"/>
    <n v="36"/>
    <n v="2"/>
    <n v="3"/>
    <n v="4"/>
    <n v="29149"/>
    <n v="0"/>
    <n v="29149"/>
    <n v="0.61499999999999999"/>
    <n v="2106"/>
    <n v="56"/>
    <n v="0.69699999999999995"/>
    <n v="0"/>
    <n v="0.99807999999999997"/>
    <n v="1.91647E-3"/>
    <s v="31.36581377522355"/>
    <n v="0.93309537441509105"/>
    <s v="7.9803367400184335"/>
    <n v="5.3003219891210902"/>
    <n v="716434533"/>
    <x v="1"/>
    <n v="0.99536089999999999"/>
    <x v="1"/>
  </r>
  <r>
    <n v="33"/>
    <n v="0"/>
    <n v="3"/>
    <n v="2"/>
    <n v="1"/>
    <n v="4"/>
    <n v="0"/>
    <n v="20"/>
    <n v="5"/>
    <n v="1"/>
    <n v="3"/>
    <n v="1438.3"/>
    <n v="0"/>
    <n v="1438.3"/>
    <n v="0.89600000000000002"/>
    <n v="4530"/>
    <n v="72"/>
    <n v="0.63600000000000001"/>
    <n v="0"/>
    <s v="9.6126e-05"/>
    <n v="0.99990000000000001"/>
    <s v="5.696801705649644"/>
    <s v="118.67875867485446"/>
    <s v="2.969228423344868"/>
    <s v="10.319864954334236"/>
    <n v="709486158"/>
    <x v="0"/>
    <n v="7.3101480000000005E-4"/>
    <x v="0"/>
  </r>
  <r>
    <n v="48"/>
    <n v="1"/>
    <n v="4"/>
    <n v="2"/>
    <n v="1"/>
    <n v="0"/>
    <n v="0"/>
    <n v="39"/>
    <n v="4"/>
    <n v="2"/>
    <n v="4"/>
    <n v="24931"/>
    <n v="1353"/>
    <n v="23578"/>
    <n v="0.61199999999999999"/>
    <n v="5031"/>
    <n v="79"/>
    <n v="0.64600000000000002"/>
    <n v="5.3999999999999999E-2"/>
    <n v="3.4247999999999999E-4"/>
    <n v="0.99965999999999999"/>
    <s v="2.0304408820355317"/>
    <s v="3.560702009256321"/>
    <s v="29.996764799794573"/>
    <s v="4.353815287637607"/>
    <n v="715948833"/>
    <x v="0"/>
    <n v="3.6634394000000002E-4"/>
    <x v="0"/>
  </r>
  <r>
    <n v="50"/>
    <n v="0"/>
    <n v="3"/>
    <n v="2"/>
    <n v="1"/>
    <n v="1"/>
    <n v="0"/>
    <n v="39"/>
    <n v="4"/>
    <n v="3"/>
    <n v="3"/>
    <n v="1844"/>
    <n v="1388"/>
    <n v="456"/>
    <n v="0.90100000000000002"/>
    <n v="5056"/>
    <n v="81"/>
    <n v="0.8"/>
    <n v="0.753"/>
    <n v="3.1389999999999999E-4"/>
    <n v="0.99968999999999997"/>
    <s v="15.874069563085344"/>
    <s v="14.762350064849088"/>
    <s v="57.27396298082098"/>
    <s v="12.773243391252002"/>
    <n v="718518858"/>
    <x v="0"/>
    <n v="3.221314E-4"/>
    <x v="0"/>
  </r>
  <r>
    <n v="61"/>
    <n v="1"/>
    <n v="0"/>
    <n v="3"/>
    <n v="1"/>
    <n v="2"/>
    <n v="0"/>
    <n v="36"/>
    <n v="4"/>
    <n v="3"/>
    <n v="3"/>
    <n v="9172"/>
    <n v="1567"/>
    <n v="7605"/>
    <n v="1.4510000000000001"/>
    <n v="1836"/>
    <n v="42"/>
    <n v="0.75"/>
    <n v="0.17100000000000001"/>
    <n v="2.5237000000000002E-4"/>
    <n v="0.99975000000000003"/>
    <s v="22.903815471825272"/>
    <s v="17.71051404553813"/>
    <s v="35.76839586122102"/>
    <s v="1.753815705331096"/>
    <n v="721036233"/>
    <x v="0"/>
    <n v="1.0337284E-3"/>
    <x v="0"/>
  </r>
  <r>
    <n v="33"/>
    <n v="1"/>
    <n v="3"/>
    <n v="2"/>
    <n v="1"/>
    <n v="2"/>
    <n v="0"/>
    <n v="36"/>
    <n v="5"/>
    <n v="1"/>
    <n v="3"/>
    <n v="1726"/>
    <n v="1215"/>
    <n v="511"/>
    <n v="1.175"/>
    <n v="1712"/>
    <n v="48"/>
    <n v="0.54800000000000004"/>
    <n v="0.70399999999999996"/>
    <s v="9.6126e-05"/>
    <n v="0.99990000000000001"/>
    <s v="18.27030155146438"/>
    <s v="11.084944614723696"/>
    <n v="3.8528190864537599"/>
    <s v="12.854678207184758"/>
    <n v="716773533"/>
    <x v="0"/>
    <n v="1.0598798E-3"/>
    <x v="0"/>
  </r>
  <r>
    <n v="42"/>
    <n v="0"/>
    <n v="4"/>
    <n v="2"/>
    <n v="2"/>
    <n v="4"/>
    <n v="0"/>
    <n v="32"/>
    <n v="3"/>
    <n v="2"/>
    <n v="3"/>
    <n v="6158"/>
    <n v="0"/>
    <n v="6158"/>
    <n v="1.411"/>
    <n v="3132"/>
    <n v="66"/>
    <n v="0.78400000000000003"/>
    <n v="0"/>
    <n v="2.0076999999999999E-4"/>
    <n v="0.99980000000000002"/>
    <s v="31.602982322123413"/>
    <s v="53.719088879445934"/>
    <s v="103.08195984488756"/>
    <s v="10.44886077259672"/>
    <n v="715588908"/>
    <x v="0"/>
    <n v="8.2290213000000005E-4"/>
    <x v="0"/>
  </r>
  <r>
    <n v="31"/>
    <n v="1"/>
    <n v="0"/>
    <n v="5"/>
    <n v="1"/>
    <n v="1"/>
    <n v="0"/>
    <n v="22"/>
    <n v="3"/>
    <n v="3"/>
    <n v="0"/>
    <n v="4048"/>
    <n v="1113"/>
    <n v="2935"/>
    <n v="0.71699999999999997"/>
    <n v="1757"/>
    <n v="45"/>
    <n v="0.60699999999999998"/>
    <n v="0.27500000000000002"/>
    <s v="5.8546e-05"/>
    <n v="0.99994000000000005"/>
    <s v="3.3523803594290484"/>
    <s v="48.76051091359599"/>
    <s v="69.32693734916155"/>
    <n v="6.57738982785843"/>
    <n v="712880283"/>
    <x v="0"/>
    <n v="1.0903810999999999E-3"/>
    <x v="0"/>
  </r>
  <r>
    <n v="33"/>
    <n v="1"/>
    <n v="2"/>
    <n v="6"/>
    <n v="1"/>
    <n v="2"/>
    <n v="0"/>
    <n v="25"/>
    <n v="6"/>
    <n v="3"/>
    <n v="3"/>
    <n v="6242"/>
    <n v="491"/>
    <n v="5751"/>
    <n v="1.054"/>
    <n v="2187"/>
    <n v="59"/>
    <n v="0.40500000000000003"/>
    <n v="7.9000000000000001E-2"/>
    <n v="3.3251E-4"/>
    <n v="0.99966999999999995"/>
    <s v="9.501494531734489"/>
    <s v="30.995589743816986"/>
    <s v="72.82054797208238"/>
    <s v="0.2207568587726072"/>
    <n v="787621158"/>
    <x v="0"/>
    <n v="1.0997012999999999E-3"/>
    <x v="0"/>
  </r>
  <r>
    <n v="42"/>
    <n v="0"/>
    <n v="2"/>
    <n v="2"/>
    <n v="1"/>
    <n v="4"/>
    <n v="0"/>
    <n v="31"/>
    <n v="4"/>
    <n v="6"/>
    <n v="3"/>
    <n v="4311"/>
    <n v="822"/>
    <n v="3489"/>
    <n v="0.72199999999999998"/>
    <n v="4965"/>
    <n v="94"/>
    <n v="0.54100000000000004"/>
    <n v="0.191"/>
    <n v="2.3881E-4"/>
    <n v="0.99975999999999998"/>
    <s v="6.483829245020268"/>
    <s v="38.06763163632184"/>
    <s v="56.60364346229483"/>
    <s v="8.403611116173122"/>
    <n v="772310958"/>
    <x v="0"/>
    <n v="5.2322453000000003E-4"/>
    <x v="0"/>
  </r>
  <r>
    <n v="47"/>
    <n v="1"/>
    <n v="1"/>
    <n v="6"/>
    <n v="3"/>
    <n v="3"/>
    <n v="0"/>
    <n v="28"/>
    <n v="6"/>
    <n v="1"/>
    <n v="4"/>
    <n v="2797"/>
    <n v="1802"/>
    <n v="995"/>
    <n v="0.67500000000000004"/>
    <n v="3525"/>
    <n v="63"/>
    <n v="0.75"/>
    <n v="0.64400000000000002"/>
    <n v="1.6305000000000001E-4"/>
    <n v="0.99983999999999995"/>
    <s v="18.09007356939196"/>
    <s v="4.696606524966697"/>
    <s v="5.654522839915586"/>
    <s v="21.399785500685557"/>
    <n v="788776908"/>
    <x v="0"/>
    <n v="3.479205E-4"/>
    <x v="0"/>
  </r>
  <r>
    <n v="46"/>
    <n v="0"/>
    <n v="5"/>
    <n v="2"/>
    <n v="1"/>
    <n v="1"/>
    <n v="0"/>
    <n v="33"/>
    <n v="3"/>
    <n v="1"/>
    <n v="1"/>
    <n v="1438.3"/>
    <n v="883"/>
    <n v="555.29999999999995"/>
    <n v="0.70799999999999996"/>
    <n v="4474"/>
    <n v="63"/>
    <n v="0.85299999999999998"/>
    <n v="0.61399999999999999"/>
    <s v="3.429e-05"/>
    <n v="0.99997000000000003"/>
    <s v="24.745502028871897"/>
    <s v="16.304345262769527"/>
    <s v="30.24788843854756"/>
    <s v="6.443550069017956"/>
    <n v="717325158"/>
    <x v="0"/>
    <n v="4.5696449999999998E-4"/>
    <x v="0"/>
  </r>
  <r>
    <n v="45"/>
    <n v="1"/>
    <n v="2"/>
    <n v="3"/>
    <n v="1"/>
    <n v="3"/>
    <n v="0"/>
    <n v="34"/>
    <n v="5"/>
    <n v="5"/>
    <n v="2"/>
    <n v="12518"/>
    <n v="1539"/>
    <n v="10979"/>
    <n v="0.64500000000000002"/>
    <n v="1165"/>
    <n v="33"/>
    <n v="0.83299999999999996"/>
    <n v="0.123"/>
    <n v="1.953E-4"/>
    <n v="0.99980000000000002"/>
    <s v="50.60004775957156"/>
    <s v="56.57310792802309"/>
    <s v="11.048640788472571"/>
    <s v="5.069964723548512"/>
    <n v="715812258"/>
    <x v="0"/>
    <n v="9.8706899999999992E-4"/>
    <x v="0"/>
  </r>
  <r>
    <n v="44"/>
    <n v="0"/>
    <n v="3"/>
    <n v="0"/>
    <n v="2"/>
    <n v="4"/>
    <n v="0"/>
    <n v="24"/>
    <n v="5"/>
    <n v="1"/>
    <n v="4"/>
    <n v="9297"/>
    <n v="1668"/>
    <n v="7629"/>
    <n v="0.52100000000000002"/>
    <n v="1264"/>
    <n v="31"/>
    <n v="0.63200000000000001"/>
    <n v="0.17899999999999999"/>
    <n v="1.5944E-4"/>
    <n v="0.99983999999999995"/>
    <s v="13.617256919512863"/>
    <s v="16.796282432453086"/>
    <s v="22.710620939414003"/>
    <s v="23.32653972073728"/>
    <n v="713149683"/>
    <x v="0"/>
    <n v="1.0598798E-3"/>
    <x v="0"/>
  </r>
  <r>
    <n v="47"/>
    <n v="0"/>
    <n v="4"/>
    <n v="4"/>
    <n v="2"/>
    <n v="1"/>
    <n v="0"/>
    <n v="27"/>
    <n v="4"/>
    <n v="6"/>
    <n v="3"/>
    <n v="6885"/>
    <n v="1611"/>
    <n v="5274"/>
    <n v="0.95499999999999996"/>
    <n v="3804"/>
    <n v="67"/>
    <n v="0.86099999999999999"/>
    <n v="0.23400000000000001"/>
    <n v="2.9469000000000001E-4"/>
    <n v="0.99970999999999999"/>
    <s v="2.2007293848954936"/>
    <s v="76.32016047288674"/>
    <s v="5.428554452106388"/>
    <n v="6.1857083266091104"/>
    <n v="817029108"/>
    <x v="0"/>
    <n v="3.3750932000000002E-4"/>
    <x v="0"/>
  </r>
  <r>
    <n v="58"/>
    <n v="1"/>
    <n v="1"/>
    <n v="3"/>
    <n v="1"/>
    <n v="2"/>
    <n v="0"/>
    <n v="53"/>
    <n v="5"/>
    <n v="2"/>
    <n v="5"/>
    <n v="1438.3"/>
    <n v="0"/>
    <n v="1438.3"/>
    <n v="0.42499999999999999"/>
    <n v="1539"/>
    <n v="40"/>
    <n v="0.6"/>
    <n v="0"/>
    <n v="5.1555999999999998E-4"/>
    <n v="0.99948000000000004"/>
    <s v="42.279582106631096"/>
    <s v="0.1287455173268956"/>
    <s v="47.82411061965075"/>
    <s v="1.8289972164633896"/>
    <n v="806637558"/>
    <x v="0"/>
    <n v="3.7827827E-3"/>
    <x v="0"/>
  </r>
  <r>
    <n v="45"/>
    <n v="0"/>
    <n v="4"/>
    <n v="5"/>
    <n v="1"/>
    <n v="5"/>
    <n v="0"/>
    <n v="26"/>
    <n v="4"/>
    <n v="3"/>
    <n v="1"/>
    <n v="16317"/>
    <n v="0"/>
    <n v="16317"/>
    <n v="0.74199999999999999"/>
    <n v="2944"/>
    <n v="71"/>
    <n v="0.97199999999999998"/>
    <n v="0"/>
    <n v="1.1697E-4"/>
    <n v="0.99987999999999999"/>
    <s v="22.89449349908989"/>
    <n v="9.2379533185679108"/>
    <s v="151.48326090607213"/>
    <s v="2.0007764285578524"/>
    <n v="710129283"/>
    <x v="0"/>
    <n v="8.7351449999999999E-4"/>
    <x v="0"/>
  </r>
  <r>
    <n v="45"/>
    <n v="0"/>
    <n v="4"/>
    <n v="0"/>
    <n v="2"/>
    <n v="4"/>
    <n v="0"/>
    <n v="41"/>
    <n v="6"/>
    <n v="3"/>
    <n v="2"/>
    <n v="3785"/>
    <n v="2517"/>
    <n v="1268"/>
    <n v="0.57399999999999995"/>
    <n v="2401"/>
    <n v="54"/>
    <n v="0.74199999999999999"/>
    <n v="0.66500000000000004"/>
    <n v="0.99458000000000002"/>
    <n v="5.4200000000000003E-3"/>
    <s v="70.62885659377933"/>
    <s v="35.55797682177204"/>
    <s v="162.04539939487327"/>
    <s v="0.9921123337604734"/>
    <n v="822170733"/>
    <x v="1"/>
    <n v="0.99064589999999997"/>
    <x v="1"/>
  </r>
  <r>
    <n v="50"/>
    <n v="0"/>
    <n v="1"/>
    <n v="4"/>
    <n v="1"/>
    <n v="4"/>
    <n v="0"/>
    <n v="43"/>
    <n v="3"/>
    <n v="1"/>
    <n v="3"/>
    <n v="3368"/>
    <n v="844"/>
    <n v="2524"/>
    <n v="0.83799999999999997"/>
    <n v="2022"/>
    <n v="59"/>
    <n v="0.68600000000000005"/>
    <n v="0.251"/>
    <n v="1.0231E-4"/>
    <n v="0.99990000000000001"/>
    <s v="9.728324800673144"/>
    <s v="29.020383233804115"/>
    <s v="2.555555834168417"/>
    <s v="5.448455659961361"/>
    <n v="754282908"/>
    <x v="0"/>
    <n v="7.2199332999999997E-4"/>
    <x v="0"/>
  </r>
  <r>
    <n v="50"/>
    <n v="0"/>
    <n v="3"/>
    <n v="5"/>
    <n v="1"/>
    <n v="4"/>
    <n v="0"/>
    <n v="34"/>
    <n v="2"/>
    <n v="2"/>
    <n v="2"/>
    <n v="4060"/>
    <n v="2336"/>
    <n v="1724"/>
    <n v="0.94299999999999995"/>
    <n v="5173"/>
    <n v="87"/>
    <n v="0.70599999999999996"/>
    <n v="0.57499999999999996"/>
    <n v="1.2144E-4"/>
    <n v="0.99987999999999999"/>
    <s v="18.64062401365848"/>
    <s v="0.9897728118087245"/>
    <n v="25.548156687172"/>
    <s v="25.38467665194682"/>
    <n v="788842008"/>
    <x v="0"/>
    <n v="3.221314E-4"/>
    <x v="0"/>
  </r>
  <r>
    <n v="42"/>
    <n v="0"/>
    <n v="3"/>
    <n v="6"/>
    <n v="3"/>
    <n v="1"/>
    <n v="0"/>
    <n v="36"/>
    <n v="3"/>
    <n v="2"/>
    <n v="2"/>
    <n v="3015"/>
    <n v="0"/>
    <n v="3015"/>
    <n v="0.92700000000000005"/>
    <n v="4277"/>
    <n v="80"/>
    <n v="0.95099999999999996"/>
    <n v="0"/>
    <n v="1.2982E-4"/>
    <n v="0.99987000000000004"/>
    <s v="15.91768285880903"/>
    <s v="29.73763174752817"/>
    <s v="6.244038344879482"/>
    <s v="3.295387073887901"/>
    <n v="797495958"/>
    <x v="0"/>
    <n v="7.4699510000000001E-4"/>
    <x v="0"/>
  </r>
  <r>
    <n v="27"/>
    <n v="0"/>
    <n v="0"/>
    <n v="3"/>
    <n v="2"/>
    <n v="4"/>
    <n v="0"/>
    <n v="18"/>
    <n v="6"/>
    <n v="1"/>
    <n v="4"/>
    <n v="1438.3"/>
    <n v="0"/>
    <n v="1438.3"/>
    <n v="0.78100000000000003"/>
    <n v="2641"/>
    <n v="40"/>
    <n v="0.6"/>
    <n v="0"/>
    <n v="0.99246999999999996"/>
    <n v="7.5300000000000002E-3"/>
    <s v="1.8318110611586125"/>
    <s v="11.59797451543174"/>
    <n v="9.7269782470631796"/>
    <s v="8.218855562520439"/>
    <n v="717489033"/>
    <x v="1"/>
    <n v="0.99808169999999996"/>
    <x v="1"/>
  </r>
  <r>
    <n v="47"/>
    <n v="0"/>
    <n v="3"/>
    <n v="5"/>
    <n v="0"/>
    <n v="1"/>
    <n v="0"/>
    <n v="30"/>
    <n v="5"/>
    <n v="3"/>
    <n v="2"/>
    <n v="5869"/>
    <n v="2517"/>
    <n v="3352"/>
    <n v="0.505"/>
    <n v="4166"/>
    <n v="85"/>
    <n v="0.80900000000000005"/>
    <n v="0.42899999999999999"/>
    <n v="1.9191E-4"/>
    <n v="0.99980999999999998"/>
    <s v="18.44221563913507"/>
    <s v="61.23528134220607"/>
    <s v="1.8005161074044247"/>
    <s v="10.908796825199556"/>
    <n v="778965183"/>
    <x v="0"/>
    <n v="3.4692350000000002E-4"/>
    <x v="0"/>
  </r>
  <r>
    <n v="59"/>
    <n v="0"/>
    <n v="0"/>
    <n v="3"/>
    <n v="1"/>
    <n v="4"/>
    <n v="0"/>
    <n v="49"/>
    <n v="6"/>
    <n v="2"/>
    <n v="4"/>
    <n v="2833"/>
    <n v="1609"/>
    <n v="1224"/>
    <n v="0.78"/>
    <n v="1335"/>
    <n v="23"/>
    <n v="1.3"/>
    <n v="0.56799999999999995"/>
    <n v="2.7242999999999999E-4"/>
    <n v="0.99973000000000001"/>
    <s v="7.359342763528566"/>
    <s v="54.01850304115232"/>
    <s v="157.5305692830562"/>
    <s v="8.969762359305617"/>
    <n v="712643358"/>
    <x v="0"/>
    <n v="9.8706899999999992E-4"/>
    <x v="0"/>
  </r>
  <r>
    <n v="52"/>
    <n v="1"/>
    <n v="2"/>
    <n v="3"/>
    <n v="2"/>
    <n v="3"/>
    <n v="3"/>
    <n v="40"/>
    <n v="3"/>
    <n v="3"/>
    <n v="3"/>
    <n v="34516"/>
    <n v="2177"/>
    <n v="32339"/>
    <n v="1.32"/>
    <n v="1234"/>
    <n v="23"/>
    <n v="1.875"/>
    <n v="6.3E-2"/>
    <n v="2.6572999999999999E-4"/>
    <n v="0.99973000000000001"/>
    <s v="30.22020575153602"/>
    <s v="102.68547488117052"/>
    <s v="38.79628833665301"/>
    <s v="11.139544381940407"/>
    <n v="720214833"/>
    <x v="0"/>
    <n v="1.1406993999999999E-3"/>
    <x v="0"/>
  </r>
  <r>
    <n v="51"/>
    <n v="0"/>
    <n v="3"/>
    <n v="5"/>
    <n v="1"/>
    <n v="4"/>
    <n v="0"/>
    <n v="45"/>
    <n v="3"/>
    <n v="3"/>
    <n v="3"/>
    <n v="2238"/>
    <n v="1300"/>
    <n v="938"/>
    <n v="1.071"/>
    <n v="4508"/>
    <n v="79"/>
    <n v="0.75600000000000001"/>
    <n v="0.58099999999999996"/>
    <n v="3.2275000000000001E-4"/>
    <n v="0.99968000000000001"/>
    <s v="30.22939168762679"/>
    <s v="17.51075290005591"/>
    <s v="33.214154956860376"/>
    <s v="8.544268398976202"/>
    <n v="799475658"/>
    <x v="0"/>
    <n v="3.221314E-4"/>
    <x v="0"/>
  </r>
  <r>
    <n v="52"/>
    <n v="1"/>
    <n v="2"/>
    <n v="2"/>
    <n v="1"/>
    <n v="3"/>
    <n v="0"/>
    <n v="36"/>
    <n v="4"/>
    <n v="3"/>
    <n v="2"/>
    <n v="2866"/>
    <n v="1882"/>
    <n v="984"/>
    <n v="0.80300000000000005"/>
    <n v="4850"/>
    <n v="84"/>
    <n v="0.82599999999999996"/>
    <n v="0.65700000000000003"/>
    <n v="1.7987E-4"/>
    <n v="0.99982000000000004"/>
    <s v="19.92882237950533"/>
    <s v="6.781199260067405"/>
    <s v="117.7807382657186"/>
    <s v="21.087981598168422"/>
    <n v="715984908"/>
    <x v="0"/>
    <n v="3.2101269999999999E-4"/>
    <x v="0"/>
  </r>
  <r>
    <n v="62"/>
    <n v="0"/>
    <n v="1"/>
    <n v="4"/>
    <n v="1"/>
    <n v="4"/>
    <n v="0"/>
    <n v="53"/>
    <n v="3"/>
    <n v="1"/>
    <n v="3"/>
    <n v="1438.3"/>
    <n v="0"/>
    <n v="1438.3"/>
    <n v="0.69899999999999995"/>
    <n v="902"/>
    <n v="31"/>
    <n v="0.40899999999999997"/>
    <n v="0"/>
    <n v="1.0231E-4"/>
    <n v="0.99990000000000001"/>
    <s v="40.98040222819889"/>
    <s v="39.49462913333323"/>
    <s v="46.16663308220443"/>
    <s v="6.783421820965723"/>
    <n v="709465758"/>
    <x v="0"/>
    <n v="4.9564279999999997E-3"/>
    <x v="0"/>
  </r>
  <r>
    <n v="60"/>
    <n v="0"/>
    <n v="2"/>
    <n v="0"/>
    <n v="2"/>
    <n v="4"/>
    <n v="0"/>
    <n v="54"/>
    <n v="5"/>
    <n v="3"/>
    <n v="2"/>
    <n v="2694"/>
    <n v="1923"/>
    <n v="771"/>
    <n v="0.71399999999999997"/>
    <n v="3837"/>
    <n v="71"/>
    <n v="0.73199999999999998"/>
    <n v="0.71399999999999997"/>
    <n v="1.7488000000000001E-4"/>
    <n v="0.99983"/>
    <s v="41.36104580123831"/>
    <s v="42.43169225322488"/>
    <s v="110.8057880329025"/>
    <s v="4.262491531146727"/>
    <n v="708657033"/>
    <x v="0"/>
    <n v="3.2101269999999999E-4"/>
    <x v="0"/>
  </r>
  <r>
    <n v="37"/>
    <n v="0"/>
    <n v="2"/>
    <n v="6"/>
    <n v="2"/>
    <n v="4"/>
    <n v="0"/>
    <n v="36"/>
    <n v="3"/>
    <n v="2"/>
    <n v="3"/>
    <n v="1534"/>
    <n v="0"/>
    <n v="1534"/>
    <n v="0.64200000000000002"/>
    <n v="2596"/>
    <n v="39"/>
    <n v="0.39300000000000002"/>
    <n v="0"/>
    <n v="0.99526999999999999"/>
    <n v="4.7289599999999999E-3"/>
    <s v="15.37807625898617"/>
    <s v="43.71743135097827"/>
    <s v="43.31681264175678"/>
    <s v="1.990159361835049"/>
    <n v="711939558"/>
    <x v="1"/>
    <n v="0.99876772999999996"/>
    <x v="1"/>
  </r>
  <r>
    <n v="47"/>
    <n v="1"/>
    <n v="3"/>
    <n v="6"/>
    <n v="2"/>
    <n v="1"/>
    <n v="0"/>
    <n v="36"/>
    <n v="2"/>
    <n v="2"/>
    <n v="2"/>
    <n v="2479"/>
    <n v="1748"/>
    <n v="731"/>
    <n v="0.83099999999999996"/>
    <n v="8042"/>
    <n v="85"/>
    <n v="0.54500000000000004"/>
    <n v="0.70499999999999996"/>
    <n v="1.2982E-4"/>
    <n v="0.99987000000000004"/>
    <s v="63.00516519176372"/>
    <s v="44.62308991631933"/>
    <s v="116.89826164677228"/>
    <s v="22.61692465368343"/>
    <n v="713367858"/>
    <x v="0"/>
    <n v="3.7789578000000003E-4"/>
    <x v="0"/>
  </r>
  <r>
    <n v="37"/>
    <n v="1"/>
    <n v="3"/>
    <n v="3"/>
    <n v="2"/>
    <n v="2"/>
    <n v="0"/>
    <n v="36"/>
    <n v="3"/>
    <n v="1"/>
    <n v="5"/>
    <n v="8418"/>
    <n v="2051"/>
    <n v="6367"/>
    <n v="0.84699999999999998"/>
    <n v="2879"/>
    <n v="63"/>
    <n v="0.70299999999999996"/>
    <n v="0.24399999999999999"/>
    <n v="2.7585000000000001E-4"/>
    <n v="0.99972000000000005"/>
    <s v="19.56252170361978"/>
    <s v="80.84789529999121"/>
    <s v="55.71168014215289"/>
    <n v="9.4648050612158308"/>
    <n v="712255458"/>
    <x v="0"/>
    <n v="3.9759668E-4"/>
    <x v="0"/>
  </r>
  <r>
    <n v="46"/>
    <n v="1"/>
    <n v="5"/>
    <n v="5"/>
    <n v="2"/>
    <n v="2"/>
    <n v="0"/>
    <n v="33"/>
    <n v="4"/>
    <n v="1"/>
    <n v="3"/>
    <n v="3135"/>
    <n v="0"/>
    <n v="3135"/>
    <n v="0.57199999999999995"/>
    <n v="4116"/>
    <n v="68"/>
    <n v="0.7"/>
    <n v="0"/>
    <s v="9.8335e-05"/>
    <n v="0.99990000000000001"/>
    <s v="47.22975153283609"/>
    <n v="87.885168016055999"/>
    <s v="75.94403210330097"/>
    <s v="18.31043541317336"/>
    <n v="715776033"/>
    <x v="0"/>
    <n v="7.4965424999999997E-4"/>
    <x v="0"/>
  </r>
  <r>
    <n v="37"/>
    <n v="0"/>
    <n v="1"/>
    <n v="0"/>
    <n v="2"/>
    <n v="1"/>
    <n v="0"/>
    <n v="32"/>
    <n v="4"/>
    <n v="2"/>
    <n v="3"/>
    <n v="1976"/>
    <n v="0"/>
    <n v="1976"/>
    <n v="0.81200000000000006"/>
    <n v="4424"/>
    <n v="73"/>
    <n v="0.65900000000000003"/>
    <n v="0"/>
    <n v="1.7469999999999999E-4"/>
    <n v="0.99983"/>
    <n v="43.885324291944102"/>
    <s v="18.966037715020487"/>
    <s v="43.98254397846029"/>
    <n v="0.67039547137770406"/>
    <n v="816091608"/>
    <x v="0"/>
    <n v="6.9517245999999998E-4"/>
    <x v="0"/>
  </r>
  <r>
    <n v="42"/>
    <n v="0"/>
    <n v="2"/>
    <n v="2"/>
    <n v="2"/>
    <n v="4"/>
    <n v="0"/>
    <n v="31"/>
    <n v="2"/>
    <n v="1"/>
    <n v="1"/>
    <n v="3659"/>
    <n v="0"/>
    <n v="3659"/>
    <n v="0.79700000000000004"/>
    <n v="4068"/>
    <n v="61"/>
    <n v="0.69399999999999995"/>
    <n v="0"/>
    <s v="3.3214e-05"/>
    <n v="0.99997000000000003"/>
    <s v="19.86748776933078"/>
    <s v="15.88796004841013"/>
    <s v="129.48284325799742"/>
    <s v="5.088609830780695"/>
    <n v="779397183"/>
    <x v="0"/>
    <n v="8.1245880000000001E-4"/>
    <x v="0"/>
  </r>
  <r>
    <n v="56"/>
    <n v="1"/>
    <n v="2"/>
    <n v="2"/>
    <n v="1"/>
    <n v="0"/>
    <n v="0"/>
    <n v="49"/>
    <n v="4"/>
    <n v="1"/>
    <n v="4"/>
    <n v="8902"/>
    <n v="1932"/>
    <n v="6970"/>
    <n v="0.78100000000000003"/>
    <n v="969"/>
    <n v="29"/>
    <n v="1.071"/>
    <n v="0.217"/>
    <n v="1.5804E-4"/>
    <n v="0.99983999999999995"/>
    <s v="20.770745540918465"/>
    <s v="99.53263451364892"/>
    <s v="11.552066096195874"/>
    <s v="10.812828844230475"/>
    <n v="789577833"/>
    <x v="0"/>
    <n v="1.0667827000000001E-3"/>
    <x v="0"/>
  </r>
  <r>
    <n v="42"/>
    <n v="1"/>
    <n v="2"/>
    <n v="0"/>
    <n v="2"/>
    <n v="3"/>
    <n v="0"/>
    <n v="36"/>
    <n v="1"/>
    <n v="3"/>
    <n v="1"/>
    <n v="9959"/>
    <n v="2517"/>
    <n v="7442"/>
    <n v="0.88400000000000001"/>
    <n v="8847"/>
    <n v="85"/>
    <n v="0.77100000000000002"/>
    <n v="0.253"/>
    <n v="0.99060999999999999"/>
    <n v="9.3900000000000008E-3"/>
    <s v="23.406565614516623"/>
    <s v="13.730423326667474"/>
    <s v="41.53193737935241"/>
    <s v="10.202104047080756"/>
    <n v="713269533"/>
    <x v="1"/>
    <n v="0.98486229999999997"/>
    <x v="1"/>
  </r>
  <r>
    <n v="43"/>
    <n v="1"/>
    <n v="1"/>
    <n v="2"/>
    <n v="2"/>
    <n v="2"/>
    <n v="0"/>
    <n v="37"/>
    <n v="4"/>
    <n v="3"/>
    <n v="4"/>
    <n v="20013"/>
    <n v="922"/>
    <n v="19091"/>
    <n v="0.65500000000000003"/>
    <n v="1518"/>
    <n v="39"/>
    <n v="0.625"/>
    <n v="4.5999999999999999E-2"/>
    <n v="4.8434999999999998E-4"/>
    <n v="0.99951999999999996"/>
    <s v="58.46658310959554"/>
    <s v="24.23916061566319"/>
    <s v="30.053897266468088"/>
    <s v="10.00898256263724"/>
    <n v="769411758"/>
    <x v="0"/>
    <n v="1.5551865E-3"/>
    <x v="0"/>
  </r>
  <r>
    <n v="51"/>
    <n v="1"/>
    <n v="2"/>
    <n v="6"/>
    <n v="1"/>
    <n v="3"/>
    <n v="0"/>
    <n v="39"/>
    <n v="4"/>
    <n v="3"/>
    <n v="2"/>
    <n v="9773"/>
    <n v="1998"/>
    <n v="7775"/>
    <n v="0.78200000000000003"/>
    <n v="3578"/>
    <n v="71"/>
    <n v="0.77500000000000002"/>
    <n v="0.20399999999999999"/>
    <n v="1.9771E-4"/>
    <n v="0.99980000000000002"/>
    <s v="30.83762467329674"/>
    <s v="13.094717543252957"/>
    <s v="50.24815521901945"/>
    <s v="6.419428753795141"/>
    <n v="713701533"/>
    <x v="0"/>
    <n v="3.2101269999999999E-4"/>
    <x v="0"/>
  </r>
  <r>
    <n v="54"/>
    <n v="0"/>
    <n v="1"/>
    <n v="6"/>
    <n v="1"/>
    <n v="4"/>
    <n v="0"/>
    <n v="40"/>
    <n v="1"/>
    <n v="1"/>
    <n v="4"/>
    <n v="1438.3"/>
    <n v="0"/>
    <n v="1438.3"/>
    <n v="0.43"/>
    <n v="1632"/>
    <n v="36"/>
    <n v="0.44"/>
    <n v="0"/>
    <n v="0.99390999999999996"/>
    <n v="6.0899999999999999E-3"/>
    <n v="34.783971188270797"/>
    <s v="22.20214447422428"/>
    <s v="23.675352553574463"/>
    <s v="11.706878567154131"/>
    <n v="713608383"/>
    <x v="1"/>
    <n v="0.99830662999999997"/>
    <x v="1"/>
  </r>
  <r>
    <n v="36"/>
    <n v="1"/>
    <n v="4"/>
    <n v="5"/>
    <n v="1"/>
    <n v="3"/>
    <n v="0"/>
    <n v="25"/>
    <n v="4"/>
    <n v="3"/>
    <n v="3"/>
    <n v="5846"/>
    <n v="1732"/>
    <n v="4114"/>
    <n v="0.61099999999999999"/>
    <n v="2056"/>
    <n v="41"/>
    <n v="0.64"/>
    <n v="0.29599999999999999"/>
    <n v="3.2620000000000001E-4"/>
    <n v="0.99966999999999995"/>
    <s v="20.959219768464344"/>
    <s v="74.79416936980205"/>
    <s v="66.36953085341747"/>
    <s v="12.23859111470486"/>
    <n v="788684508"/>
    <x v="0"/>
    <n v="1.3267322E-3"/>
    <x v="0"/>
  </r>
  <r>
    <n v="57"/>
    <n v="0"/>
    <n v="3"/>
    <n v="5"/>
    <n v="0"/>
    <n v="5"/>
    <n v="0"/>
    <n v="36"/>
    <n v="3"/>
    <n v="4"/>
    <n v="1"/>
    <n v="2312"/>
    <n v="1789"/>
    <n v="523"/>
    <n v="0.86699999999999999"/>
    <n v="5104"/>
    <n v="82"/>
    <n v="0.78300000000000003"/>
    <n v="0.77400000000000002"/>
    <n v="1.3987E-4"/>
    <n v="0.99985999999999997"/>
    <s v="27.781760645620853"/>
    <n v="45.054262306861098"/>
    <s v="111.51988634987752"/>
    <s v="0.4549131757449435"/>
    <n v="721106133"/>
    <x v="0"/>
    <n v="3.2101269999999999E-4"/>
    <x v="0"/>
  </r>
  <r>
    <n v="50"/>
    <n v="0"/>
    <n v="2"/>
    <n v="5"/>
    <n v="2"/>
    <n v="5"/>
    <n v="0"/>
    <n v="41"/>
    <n v="2"/>
    <n v="3"/>
    <n v="2"/>
    <n v="2751"/>
    <n v="2253"/>
    <n v="498"/>
    <n v="0.497"/>
    <n v="2108"/>
    <n v="40"/>
    <n v="0.48099999999999998"/>
    <n v="0.81899999999999995"/>
    <n v="0.99461999999999995"/>
    <n v="5.3800000000000002E-3"/>
    <s v="18.249954069999426"/>
    <s v="59.401727032026464"/>
    <s v="131.94356714761412"/>
    <s v="2.689264105997644"/>
    <n v="709563258"/>
    <x v="1"/>
    <n v="0.99643599999999999"/>
    <x v="1"/>
  </r>
  <r>
    <n v="37"/>
    <n v="0"/>
    <n v="3"/>
    <n v="6"/>
    <n v="2"/>
    <n v="5"/>
    <n v="0"/>
    <n v="32"/>
    <n v="3"/>
    <n v="4"/>
    <n v="4"/>
    <n v="19636"/>
    <n v="1566"/>
    <n v="18070"/>
    <n v="0.64900000000000002"/>
    <n v="2595"/>
    <n v="58"/>
    <n v="0.61099999999999999"/>
    <n v="0.08"/>
    <n v="7.1117000000000001E-4"/>
    <n v="0.99929000000000001"/>
    <s v="0.1544778256221921"/>
    <s v="42.59011415330096"/>
    <s v="138.23697579441708"/>
    <s v="19.45249823209149"/>
    <n v="812809083"/>
    <x v="0"/>
    <n v="6.6106520000000003E-4"/>
    <x v="0"/>
  </r>
  <r>
    <n v="58"/>
    <n v="0"/>
    <n v="2"/>
    <n v="5"/>
    <n v="1"/>
    <n v="1"/>
    <n v="0"/>
    <n v="53"/>
    <n v="6"/>
    <n v="2"/>
    <n v="3"/>
    <n v="2019"/>
    <n v="1380"/>
    <n v="639"/>
    <n v="1.1579999999999999"/>
    <n v="2005"/>
    <n v="62"/>
    <n v="0.59"/>
    <n v="0.68400000000000005"/>
    <n v="1.9683E-4"/>
    <n v="0.99980000000000002"/>
    <s v="15.174425034679343"/>
    <s v="21.548255911264643"/>
    <s v="6.228018699325256"/>
    <s v="7.896678044420788"/>
    <n v="816594183"/>
    <x v="0"/>
    <n v="4.0785296000000001E-4"/>
    <x v="0"/>
  </r>
  <r>
    <n v="50"/>
    <n v="0"/>
    <n v="1"/>
    <n v="3"/>
    <n v="1"/>
    <n v="4"/>
    <n v="0"/>
    <n v="32"/>
    <n v="4"/>
    <n v="1"/>
    <n v="3"/>
    <n v="2055"/>
    <n v="1276"/>
    <n v="779"/>
    <n v="0.86899999999999999"/>
    <n v="5025"/>
    <n v="70"/>
    <n v="0.70699999999999996"/>
    <n v="0.621"/>
    <s v="8.453e-05"/>
    <n v="0.99992000000000003"/>
    <s v="31.47827900220699"/>
    <s v="40.14111673095926"/>
    <s v="26.58318350898816"/>
    <s v="12.218025195178113"/>
    <n v="708549033"/>
    <x v="0"/>
    <n v="3.2101269999999999E-4"/>
    <x v="0"/>
  </r>
  <r>
    <n v="38"/>
    <n v="1"/>
    <n v="3"/>
    <n v="6"/>
    <n v="2"/>
    <n v="3"/>
    <n v="3"/>
    <n v="36"/>
    <n v="2"/>
    <n v="2"/>
    <n v="3"/>
    <n v="34516"/>
    <n v="2008"/>
    <n v="32508"/>
    <n v="0.85799999999999998"/>
    <n v="8872"/>
    <n v="86"/>
    <n v="0.59299999999999997"/>
    <n v="5.8000000000000003E-2"/>
    <n v="1.9729E-4"/>
    <n v="0.99980000000000002"/>
    <s v="7.704751978929493"/>
    <s v="14.609418529941044"/>
    <s v="15.72974520356066"/>
    <s v="5.411596488350776"/>
    <n v="713133258"/>
    <x v="0"/>
    <n v="4.2060707000000003E-4"/>
    <x v="0"/>
  </r>
  <r>
    <n v="47"/>
    <n v="0"/>
    <n v="3"/>
    <n v="6"/>
    <n v="2"/>
    <n v="4"/>
    <n v="0"/>
    <n v="36"/>
    <n v="4"/>
    <n v="1"/>
    <n v="4"/>
    <n v="2798"/>
    <n v="1963"/>
    <n v="835"/>
    <n v="0.80500000000000005"/>
    <n v="4255"/>
    <n v="64"/>
    <n v="0.56100000000000005"/>
    <n v="0.70199999999999996"/>
    <n v="1.8024999999999999E-4"/>
    <n v="0.99982000000000004"/>
    <s v="2.4266646837731187"/>
    <s v="12.741796308097875"/>
    <s v="61.48547731503847"/>
    <s v="3.963898216803748"/>
    <n v="714036258"/>
    <x v="0"/>
    <n v="3.4604817999999999E-4"/>
    <x v="0"/>
  </r>
  <r>
    <n v="51"/>
    <n v="0"/>
    <n v="3"/>
    <n v="3"/>
    <n v="2"/>
    <n v="5"/>
    <n v="0"/>
    <n v="46"/>
    <n v="4"/>
    <n v="1"/>
    <n v="4"/>
    <n v="2286"/>
    <n v="1641"/>
    <n v="645"/>
    <n v="0.94699999999999995"/>
    <n v="4321"/>
    <n v="89"/>
    <n v="0.71199999999999997"/>
    <n v="0.71799999999999997"/>
    <n v="1.5941999999999999E-4"/>
    <n v="0.99983999999999995"/>
    <s v="33.118578069724435"/>
    <s v="35.50754345844282"/>
    <s v="118.6226312391792"/>
    <n v="6.9392664500145802"/>
    <n v="821521983"/>
    <x v="0"/>
    <n v="3.221314E-4"/>
    <x v="0"/>
  </r>
  <r>
    <n v="52"/>
    <n v="0"/>
    <n v="3"/>
    <n v="2"/>
    <n v="2"/>
    <n v="1"/>
    <n v="0"/>
    <n v="45"/>
    <n v="1"/>
    <n v="1"/>
    <n v="2"/>
    <n v="14803"/>
    <n v="985"/>
    <n v="13818"/>
    <n v="0.83099999999999996"/>
    <n v="14426"/>
    <n v="87"/>
    <n v="0.64200000000000002"/>
    <n v="6.7000000000000004E-2"/>
    <s v="5.7151e-05"/>
    <n v="0.99994000000000005"/>
    <s v="12.01202819478114"/>
    <s v="11.847441085519746"/>
    <s v="7.905212925426019"/>
    <s v="1.600867801283937"/>
    <n v="789551883"/>
    <x v="0"/>
    <n v="4.4781501999999998E-4"/>
    <x v="0"/>
  </r>
  <r>
    <n v="44"/>
    <n v="0"/>
    <n v="2"/>
    <n v="3"/>
    <n v="3"/>
    <n v="5"/>
    <n v="1"/>
    <n v="35"/>
    <n v="3"/>
    <n v="3"/>
    <n v="3"/>
    <n v="34516"/>
    <n v="0"/>
    <n v="34516"/>
    <n v="0.76700000000000002"/>
    <n v="2227"/>
    <n v="44"/>
    <n v="0.63"/>
    <n v="0"/>
    <n v="0.99705999999999995"/>
    <n v="2.9418700000000001E-3"/>
    <n v="49.856382235874698"/>
    <s v="14.119456958284056"/>
    <s v="41.799159960697935"/>
    <s v="7.803851830287236"/>
    <n v="817607358"/>
    <x v="1"/>
    <n v="0.99854653999999998"/>
    <x v="1"/>
  </r>
  <r>
    <n v="37"/>
    <n v="1"/>
    <n v="4"/>
    <n v="0"/>
    <n v="2"/>
    <n v="2"/>
    <n v="0"/>
    <n v="30"/>
    <n v="5"/>
    <n v="1"/>
    <n v="4"/>
    <n v="15936"/>
    <n v="827"/>
    <n v="15109"/>
    <n v="1.085"/>
    <n v="2477"/>
    <n v="49"/>
    <n v="1.042"/>
    <n v="5.1999999999999998E-2"/>
    <n v="1.6113999999999999E-4"/>
    <n v="0.99983999999999995"/>
    <s v="50.96225052210045"/>
    <n v="94.873040179498105"/>
    <s v="51.12645598829869"/>
    <s v="3.531860821747287"/>
    <n v="743265108"/>
    <x v="0"/>
    <n v="1.5798504E-3"/>
    <x v="0"/>
  </r>
  <r>
    <n v="42"/>
    <n v="0"/>
    <n v="4"/>
    <n v="3"/>
    <n v="1"/>
    <n v="4"/>
    <n v="0"/>
    <n v="32"/>
    <n v="6"/>
    <n v="3"/>
    <n v="3"/>
    <n v="3454"/>
    <n v="0"/>
    <n v="3454"/>
    <n v="0.86199999999999999"/>
    <n v="2826"/>
    <n v="39"/>
    <n v="0.625"/>
    <n v="0"/>
    <n v="0.99677000000000004"/>
    <n v="3.2308599999999999E-3"/>
    <s v="43.77691868687474"/>
    <s v="13.004354450971364"/>
    <s v="41.39709873016426"/>
    <n v="4.4270596832360898"/>
    <n v="789328083"/>
    <x v="1"/>
    <n v="0.99848890000000001"/>
    <x v="1"/>
  </r>
  <r>
    <n v="42"/>
    <n v="1"/>
    <n v="3"/>
    <n v="2"/>
    <n v="1"/>
    <n v="4"/>
    <n v="0"/>
    <n v="36"/>
    <n v="2"/>
    <n v="2"/>
    <n v="1"/>
    <n v="6153"/>
    <n v="974"/>
    <n v="5179"/>
    <n v="0.70299999999999996"/>
    <n v="7434"/>
    <n v="92"/>
    <n v="0.58599999999999997"/>
    <n v="0.158"/>
    <s v="7.1226e-05"/>
    <n v="0.99992999999999999"/>
    <s v="1.2142539764154483"/>
    <s v="22.113635927909687"/>
    <s v="28.031617048782056"/>
    <s v="21.229769458064386"/>
    <n v="709895508"/>
    <x v="0"/>
    <n v="4.5053779999999999E-4"/>
    <x v="0"/>
  </r>
  <r>
    <n v="45"/>
    <n v="1"/>
    <n v="5"/>
    <n v="6"/>
    <n v="1"/>
    <n v="3"/>
    <n v="3"/>
    <n v="39"/>
    <n v="2"/>
    <n v="2"/>
    <n v="3"/>
    <n v="34516"/>
    <n v="1964"/>
    <n v="32552"/>
    <n v="0.624"/>
    <n v="2234"/>
    <n v="49"/>
    <n v="0.36099999999999999"/>
    <n v="5.7000000000000002E-2"/>
    <n v="0.99492999999999998"/>
    <n v="5.0699999999999999E-3"/>
    <s v="37.42982154077619"/>
    <s v="25.086295731019938"/>
    <s v="27.431280629687667"/>
    <s v="2.524412391518975"/>
    <n v="797491683"/>
    <x v="1"/>
    <n v="0.99601269999999997"/>
    <x v="1"/>
  </r>
  <r>
    <n v="49"/>
    <n v="1"/>
    <n v="1"/>
    <n v="2"/>
    <n v="2"/>
    <n v="2"/>
    <n v="0"/>
    <n v="40"/>
    <n v="6"/>
    <n v="3"/>
    <n v="3"/>
    <n v="6481"/>
    <n v="1569"/>
    <n v="4912"/>
    <n v="0.69199999999999995"/>
    <n v="15937"/>
    <n v="119"/>
    <n v="0.80300000000000005"/>
    <n v="0.24199999999999999"/>
    <n v="2.8394999999999999E-4"/>
    <n v="0.99972000000000005"/>
    <s v="9.471726681674005"/>
    <s v="45.775606999138006"/>
    <s v="29.81448972963828"/>
    <s v="10.405324357618683"/>
    <n v="710734308"/>
    <x v="0"/>
    <n v="3.4656386999999997E-4"/>
    <x v="0"/>
  </r>
  <r>
    <n v="56"/>
    <n v="0"/>
    <n v="1"/>
    <n v="2"/>
    <n v="1"/>
    <n v="5"/>
    <n v="0"/>
    <n v="50"/>
    <n v="2"/>
    <n v="3"/>
    <n v="3"/>
    <n v="5338"/>
    <n v="0"/>
    <n v="5338"/>
    <n v="0.91900000000000004"/>
    <n v="4139"/>
    <n v="69"/>
    <n v="0.86499999999999999"/>
    <n v="0"/>
    <n v="2.8394999999999999E-4"/>
    <n v="0.99972000000000005"/>
    <s v="33.09774423792684"/>
    <s v="31.79377187781696"/>
    <n v="7.8457191147829102"/>
    <s v="16.471967645913992"/>
    <n v="801518958"/>
    <x v="0"/>
    <n v="8.0553500000000002E-4"/>
    <x v="0"/>
  </r>
  <r>
    <n v="51"/>
    <n v="0"/>
    <n v="2"/>
    <n v="0"/>
    <n v="1"/>
    <n v="5"/>
    <n v="0"/>
    <n v="32"/>
    <n v="1"/>
    <n v="3"/>
    <n v="2"/>
    <n v="15048"/>
    <n v="2517"/>
    <n v="12531"/>
    <n v="0.66600000000000004"/>
    <n v="7592"/>
    <n v="96"/>
    <n v="0.52400000000000002"/>
    <n v="0.16700000000000001"/>
    <n v="1.7488000000000001E-4"/>
    <n v="0.99983"/>
    <s v="50.69519464129894"/>
    <s v="53.22476244321796"/>
    <s v="51.62675367308033"/>
    <s v="20.226999169446817"/>
    <n v="779098308"/>
    <x v="0"/>
    <n v="4.0839396999999998E-4"/>
    <x v="0"/>
  </r>
  <r>
    <n v="38"/>
    <n v="0"/>
    <n v="1"/>
    <n v="5"/>
    <n v="1"/>
    <n v="5"/>
    <n v="0"/>
    <n v="36"/>
    <n v="3"/>
    <n v="3"/>
    <n v="1"/>
    <n v="12621"/>
    <n v="912"/>
    <n v="11709"/>
    <n v="0.64"/>
    <n v="4945"/>
    <n v="78"/>
    <n v="0.56000000000000005"/>
    <n v="7.1999999999999995E-2"/>
    <n v="1.0469E-4"/>
    <n v="0.99990000000000001"/>
    <s v="0.3510147105593715"/>
    <s v="19.876983116216604"/>
    <s v="58.64339161257429"/>
    <s v="8.545973067111625"/>
    <n v="712098033"/>
    <x v="0"/>
    <n v="4.6776433E-4"/>
    <x v="0"/>
  </r>
  <r>
    <n v="37"/>
    <n v="0"/>
    <n v="3"/>
    <n v="0"/>
    <n v="1"/>
    <n v="5"/>
    <n v="0"/>
    <n v="24"/>
    <n v="4"/>
    <n v="2"/>
    <n v="4"/>
    <n v="11239"/>
    <n v="0"/>
    <n v="11239"/>
    <n v="0.32"/>
    <n v="2055"/>
    <n v="43"/>
    <n v="0.16200000000000001"/>
    <n v="0"/>
    <n v="0.99697000000000002"/>
    <n v="3.0251900000000001E-3"/>
    <s v="31.95375285744693"/>
    <s v="2.175302018753149"/>
    <s v="16.94887747859906"/>
    <s v="7.595424772840507"/>
    <n v="713011683"/>
    <x v="1"/>
    <n v="0.99837339999999997"/>
    <x v="1"/>
  </r>
  <r>
    <n v="44"/>
    <n v="0"/>
    <n v="3"/>
    <n v="3"/>
    <n v="1"/>
    <n v="4"/>
    <n v="0"/>
    <n v="34"/>
    <n v="5"/>
    <n v="3"/>
    <n v="2"/>
    <n v="4135"/>
    <n v="1606"/>
    <n v="2529"/>
    <n v="0.73399999999999999"/>
    <n v="3334"/>
    <n v="56"/>
    <n v="0.6"/>
    <n v="0.38800000000000001"/>
    <n v="1.8144999999999999E-4"/>
    <n v="0.99982000000000004"/>
    <s v="35.25279143981201"/>
    <s v="34.31932742071354"/>
    <s v="19.150145625158768"/>
    <s v="20.034722990525864"/>
    <n v="718056033"/>
    <x v="0"/>
    <n v="4.9584946999999999E-4"/>
    <x v="0"/>
  </r>
  <r>
    <n v="51"/>
    <n v="0"/>
    <n v="2"/>
    <n v="6"/>
    <n v="1"/>
    <n v="4"/>
    <n v="0"/>
    <n v="36"/>
    <n v="1"/>
    <n v="2"/>
    <n v="2"/>
    <n v="2114"/>
    <n v="0"/>
    <n v="2114"/>
    <n v="0.875"/>
    <n v="2872"/>
    <n v="45"/>
    <n v="0.5"/>
    <n v="0"/>
    <n v="0.99207000000000001"/>
    <n v="7.9299999999999995E-3"/>
    <s v="24.243510415161907"/>
    <s v="66.80761057430409"/>
    <s v="30.006174359361832"/>
    <s v="7.649380879577617"/>
    <n v="709017258"/>
    <x v="1"/>
    <n v="0.99872713999999996"/>
    <x v="1"/>
  </r>
  <r>
    <n v="45"/>
    <n v="1"/>
    <n v="2"/>
    <n v="2"/>
    <n v="1"/>
    <n v="1"/>
    <n v="0"/>
    <n v="36"/>
    <n v="2"/>
    <n v="1"/>
    <n v="3"/>
    <n v="3735"/>
    <n v="2113"/>
    <n v="1622"/>
    <n v="0.68400000000000005"/>
    <n v="7059"/>
    <n v="82"/>
    <n v="0.57699999999999996"/>
    <n v="0.56599999999999995"/>
    <s v="9.2637e-05"/>
    <n v="0.99990999999999997"/>
    <n v="18.4736980317759"/>
    <s v="15.436897221040324"/>
    <s v="21.068460194006413"/>
    <s v="14.541973611938218"/>
    <n v="715170183"/>
    <x v="0"/>
    <n v="3.7789578000000003E-4"/>
    <x v="0"/>
  </r>
  <r>
    <n v="37"/>
    <n v="1"/>
    <n v="1"/>
    <n v="1"/>
    <n v="3"/>
    <n v="2"/>
    <n v="0"/>
    <n v="36"/>
    <n v="1"/>
    <n v="3"/>
    <n v="1"/>
    <n v="7539"/>
    <n v="0"/>
    <n v="7539"/>
    <n v="1.0229999999999999"/>
    <n v="15293"/>
    <n v="129"/>
    <n v="0.74299999999999999"/>
    <n v="0"/>
    <n v="1.4734000000000001E-4"/>
    <n v="0.99985000000000002"/>
    <s v="3.6677894682658976"/>
    <s v="7.875364438233051"/>
    <s v="28.06107199220041"/>
    <n v="8.0607615387273093"/>
    <n v="714003483"/>
    <x v="0"/>
    <n v="8.064217E-4"/>
    <x v="0"/>
  </r>
  <r>
    <n v="47"/>
    <n v="1"/>
    <n v="1"/>
    <n v="3"/>
    <n v="1"/>
    <n v="2"/>
    <n v="0"/>
    <n v="36"/>
    <n v="4"/>
    <n v="4"/>
    <n v="3"/>
    <n v="20789"/>
    <n v="0"/>
    <n v="20789"/>
    <n v="0.82"/>
    <n v="4105"/>
    <n v="67"/>
    <n v="0.71799999999999997"/>
    <n v="0"/>
    <n v="3.3358999999999998E-4"/>
    <n v="0.99966999999999995"/>
    <s v="12.003877966186035"/>
    <s v="40.07367969514291"/>
    <s v="101.7307846516152"/>
    <n v="6.9082651255349806E-2"/>
    <n v="719538183"/>
    <x v="0"/>
    <n v="7.4965424999999997E-4"/>
    <x v="0"/>
  </r>
  <r>
    <n v="44"/>
    <n v="1"/>
    <n v="4"/>
    <n v="6"/>
    <n v="0"/>
    <n v="2"/>
    <n v="0"/>
    <n v="29"/>
    <n v="4"/>
    <n v="2"/>
    <n v="2"/>
    <n v="7788"/>
    <n v="0"/>
    <n v="7788"/>
    <n v="0.29599999999999999"/>
    <n v="1196"/>
    <n v="30"/>
    <n v="0.42899999999999999"/>
    <n v="0"/>
    <n v="1.3121000000000001E-4"/>
    <n v="0.99987000000000004"/>
    <s v="6.822215444306374"/>
    <s v="15.304518362831866"/>
    <n v="33.891244251414797"/>
    <n v="15.683776350233099"/>
    <n v="779743908"/>
    <x v="0"/>
    <n v="4.459518E-3"/>
    <x v="0"/>
  </r>
  <r>
    <n v="38"/>
    <n v="0"/>
    <n v="2"/>
    <n v="2"/>
    <n v="2"/>
    <n v="5"/>
    <n v="0"/>
    <n v="24"/>
    <n v="3"/>
    <n v="2"/>
    <n v="3"/>
    <n v="2214"/>
    <n v="570"/>
    <n v="1644"/>
    <n v="0.68799999999999994"/>
    <n v="2066"/>
    <n v="45"/>
    <n v="0.25"/>
    <n v="0.25700000000000001"/>
    <n v="0.99480000000000002"/>
    <n v="5.1999999999999998E-3"/>
    <s v="10.24387109581579"/>
    <s v="70.82459924808292"/>
    <s v="49.28614178478784"/>
    <s v="22.127509712350367"/>
    <n v="717461283"/>
    <x v="1"/>
    <n v="0.99855499999999997"/>
    <x v="1"/>
  </r>
  <r>
    <n v="44"/>
    <n v="0"/>
    <n v="3"/>
    <n v="3"/>
    <n v="1"/>
    <n v="4"/>
    <n v="0"/>
    <n v="31"/>
    <n v="3"/>
    <n v="3"/>
    <n v="4"/>
    <n v="4985"/>
    <n v="1379"/>
    <n v="3606"/>
    <n v="0.89600000000000002"/>
    <n v="4222"/>
    <n v="61"/>
    <n v="0.60499999999999998"/>
    <n v="0.27700000000000002"/>
    <n v="5.2052000000000001E-4"/>
    <n v="0.99948000000000004"/>
    <s v="26.50495925303918"/>
    <s v="62.18546295325588"/>
    <s v="17.208667525624335"/>
    <s v="10.76057911811038"/>
    <n v="709626858"/>
    <x v="0"/>
    <n v="3.6606186999999998E-4"/>
    <x v="0"/>
  </r>
  <r>
    <n v="60"/>
    <n v="1"/>
    <n v="1"/>
    <n v="5"/>
    <n v="2"/>
    <n v="2"/>
    <n v="0"/>
    <n v="54"/>
    <n v="1"/>
    <n v="2"/>
    <n v="1"/>
    <n v="3618"/>
    <n v="972"/>
    <n v="2646"/>
    <n v="0.57799999999999996"/>
    <n v="4228"/>
    <n v="63"/>
    <n v="0.46500000000000002"/>
    <n v="0.26900000000000002"/>
    <s v="6.6245e-05"/>
    <n v="0.99992999999999999"/>
    <s v="48.59528673676654"/>
    <s v="52.26215836160826"/>
    <s v="6.116200107148681"/>
    <s v="12.230716652369416"/>
    <n v="769709058"/>
    <x v="0"/>
    <n v="4.6191397000000002E-4"/>
    <x v="0"/>
  </r>
  <r>
    <n v="43"/>
    <n v="0"/>
    <n v="3"/>
    <n v="3"/>
    <n v="3"/>
    <n v="1"/>
    <n v="3"/>
    <n v="25"/>
    <n v="1"/>
    <n v="2"/>
    <n v="1"/>
    <n v="17328"/>
    <n v="0"/>
    <n v="17328"/>
    <n v="0.82"/>
    <n v="15367"/>
    <n v="105"/>
    <n v="0.64100000000000001"/>
    <n v="0"/>
    <s v="6.2564e-05"/>
    <n v="0.99994000000000005"/>
    <s v="38.06794266349783"/>
    <s v="23.54643184094508"/>
    <s v="61.30354097164225"/>
    <s v="11.356241391116331"/>
    <n v="794692158"/>
    <x v="0"/>
    <n v="7.6947116999999995E-4"/>
    <x v="0"/>
  </r>
  <r>
    <n v="44"/>
    <n v="0"/>
    <n v="3"/>
    <n v="6"/>
    <n v="2"/>
    <n v="4"/>
    <n v="0"/>
    <n v="33"/>
    <n v="6"/>
    <n v="2"/>
    <n v="3"/>
    <n v="1724"/>
    <n v="0"/>
    <n v="1724"/>
    <n v="0.66900000000000004"/>
    <n v="4768"/>
    <n v="80"/>
    <n v="0.86"/>
    <n v="0"/>
    <n v="2.1834E-4"/>
    <n v="0.99978"/>
    <s v="36.08097424895286"/>
    <s v="19.913616207740517"/>
    <s v="123.51975273727577"/>
    <s v="4.298515574277671"/>
    <n v="787536933"/>
    <x v="0"/>
    <n v="6.9517245999999998E-4"/>
    <x v="0"/>
  </r>
  <r>
    <n v="35"/>
    <n v="1"/>
    <n v="4"/>
    <n v="2"/>
    <n v="1"/>
    <n v="0"/>
    <n v="0"/>
    <n v="30"/>
    <n v="4"/>
    <n v="3"/>
    <n v="4"/>
    <n v="34516"/>
    <n v="1018"/>
    <n v="33498"/>
    <n v="1.129"/>
    <n v="2350"/>
    <n v="55"/>
    <n v="0.77400000000000002"/>
    <n v="2.9000000000000001E-2"/>
    <n v="5.4115000000000001E-4"/>
    <n v="0.99946000000000002"/>
    <s v="28.06431591778765"/>
    <s v="46.978156032173054"/>
    <s v="60.21464325093782"/>
    <s v="14.266937148357009"/>
    <n v="715870758"/>
    <x v="0"/>
    <n v="5.6104219999999995E-4"/>
    <x v="0"/>
  </r>
  <r>
    <n v="48"/>
    <n v="1"/>
    <n v="3"/>
    <n v="6"/>
    <n v="3"/>
    <n v="2"/>
    <n v="0"/>
    <n v="28"/>
    <n v="2"/>
    <n v="2"/>
    <n v="1"/>
    <n v="9405"/>
    <n v="0"/>
    <n v="9405"/>
    <n v="1.0329999999999999"/>
    <n v="4801"/>
    <n v="47"/>
    <n v="0.38200000000000001"/>
    <n v="0"/>
    <n v="0.98738999999999999"/>
    <n v="1.261E-2"/>
    <s v="14.266562828602543"/>
    <s v="23.606554879210307"/>
    <s v="17.37126980356971"/>
    <s v="12.873956708674845"/>
    <n v="720903258"/>
    <x v="1"/>
    <n v="0.99852450000000004"/>
    <x v="1"/>
  </r>
  <r>
    <n v="38"/>
    <n v="0"/>
    <n v="3"/>
    <n v="2"/>
    <n v="1"/>
    <n v="4"/>
    <n v="0"/>
    <n v="36"/>
    <n v="3"/>
    <n v="2"/>
    <n v="3"/>
    <n v="2300"/>
    <n v="0"/>
    <n v="2300"/>
    <n v="0.70299999999999996"/>
    <n v="2500"/>
    <n v="47"/>
    <n v="0.11899999999999999"/>
    <n v="0"/>
    <n v="0.99499000000000004"/>
    <n v="5.0099999999999997E-3"/>
    <n v="48.424198645468202"/>
    <s v="19.85985530627214"/>
    <s v="60.35388496244475"/>
    <s v="33.70543793086538"/>
    <n v="712222758"/>
    <x v="1"/>
    <n v="0.99876772999999996"/>
    <x v="1"/>
  </r>
  <r>
    <n v="51"/>
    <n v="0"/>
    <n v="4"/>
    <n v="2"/>
    <n v="2"/>
    <n v="1"/>
    <n v="0"/>
    <n v="37"/>
    <n v="2"/>
    <n v="3"/>
    <n v="2"/>
    <n v="4708"/>
    <n v="920"/>
    <n v="3788"/>
    <n v="0.54400000000000004"/>
    <n v="2179"/>
    <n v="50"/>
    <n v="1.2729999999999999"/>
    <n v="0.19500000000000001"/>
    <n v="0.99473"/>
    <n v="5.2700000000000004E-3"/>
    <s v="6.160481083677724"/>
    <s v="43.85263405503349"/>
    <s v="41.54160667877274"/>
    <s v="4.079624437590809"/>
    <n v="713583408"/>
    <x v="1"/>
    <n v="0.99595237000000003"/>
    <x v="1"/>
  </r>
  <r>
    <n v="45"/>
    <n v="0"/>
    <n v="4"/>
    <n v="2"/>
    <n v="1"/>
    <n v="4"/>
    <n v="0"/>
    <n v="38"/>
    <n v="6"/>
    <n v="3"/>
    <n v="2"/>
    <n v="5583"/>
    <n v="0"/>
    <n v="5583"/>
    <n v="0.748"/>
    <n v="3317"/>
    <n v="71"/>
    <n v="0.82099999999999995"/>
    <n v="0"/>
    <n v="1.8864000000000001E-4"/>
    <n v="0.99980999999999998"/>
    <s v="30.102360570216742"/>
    <s v="20.232255223467646"/>
    <s v="84.53803006567368"/>
    <s v="5.150251891543631"/>
    <n v="751422258"/>
    <x v="0"/>
    <n v="7.4965424999999997E-4"/>
    <x v="0"/>
  </r>
  <r>
    <n v="50"/>
    <n v="0"/>
    <n v="2"/>
    <n v="3"/>
    <n v="2"/>
    <n v="4"/>
    <n v="0"/>
    <n v="46"/>
    <n v="5"/>
    <n v="3"/>
    <n v="2"/>
    <n v="8708"/>
    <n v="996"/>
    <n v="7712"/>
    <n v="0.52700000000000002"/>
    <n v="3927"/>
    <n v="60"/>
    <n v="0.93500000000000005"/>
    <n v="0.114"/>
    <n v="1.7485999999999999E-4"/>
    <n v="0.99983"/>
    <s v="5.225691643636455"/>
    <n v="47.904555146907697"/>
    <s v="12.261627224524734"/>
    <s v="5.448519260159875"/>
    <n v="821336133"/>
    <x v="0"/>
    <n v="3.6248067000000002E-4"/>
    <x v="0"/>
  </r>
  <r>
    <n v="44"/>
    <n v="0"/>
    <n v="3"/>
    <n v="5"/>
    <n v="1"/>
    <n v="4"/>
    <n v="3"/>
    <n v="36"/>
    <n v="3"/>
    <n v="3"/>
    <n v="2"/>
    <n v="12944"/>
    <n v="1200"/>
    <n v="11744"/>
    <n v="0.83899999999999997"/>
    <n v="16161"/>
    <n v="105"/>
    <n v="0.94399999999999995"/>
    <n v="9.2999999999999999E-2"/>
    <n v="1.7340000000000001E-4"/>
    <n v="0.99983"/>
    <s v="66.22537471602149"/>
    <s v="6.072051695015339"/>
    <s v="37.70225785181376"/>
    <s v="2.966894129521302"/>
    <n v="718655808"/>
    <x v="0"/>
    <n v="3.5650693E-4"/>
    <x v="0"/>
  </r>
  <r>
    <n v="46"/>
    <n v="1"/>
    <n v="4"/>
    <n v="0"/>
    <n v="1"/>
    <n v="3"/>
    <n v="0"/>
    <n v="34"/>
    <n v="5"/>
    <n v="3"/>
    <n v="2"/>
    <n v="13734"/>
    <n v="568"/>
    <n v="13166"/>
    <n v="0.71899999999999997"/>
    <n v="4283"/>
    <n v="67"/>
    <n v="0.86099999999999999"/>
    <n v="4.1000000000000002E-2"/>
    <n v="1.8340000000000001E-4"/>
    <n v="0.99982000000000004"/>
    <n v="5.8234745695847403"/>
    <s v="40.29367762751132"/>
    <s v="36.68089976896789"/>
    <s v="16.48747923524214"/>
    <n v="719835033"/>
    <x v="0"/>
    <n v="7.4965424999999997E-4"/>
    <x v="0"/>
  </r>
  <r>
    <n v="45"/>
    <n v="1"/>
    <n v="4"/>
    <n v="2"/>
    <n v="2"/>
    <n v="3"/>
    <n v="0"/>
    <n v="40"/>
    <n v="4"/>
    <n v="3"/>
    <n v="0"/>
    <n v="6363"/>
    <n v="1029"/>
    <n v="5334"/>
    <n v="0.83799999999999997"/>
    <n v="1542"/>
    <n v="16"/>
    <n v="1.286"/>
    <n v="0.16200000000000001"/>
    <s v="6.9589e-05"/>
    <n v="0.99992999999999999"/>
    <s v="31.42784390719998"/>
    <s v="123.79274271992104"/>
    <s v="114.83662052097584"/>
    <s v="15.88977744457793"/>
    <n v="714511758"/>
    <x v="0"/>
    <n v="9.8706899999999992E-4"/>
    <x v="0"/>
  </r>
  <r>
    <n v="37"/>
    <n v="0"/>
    <n v="3"/>
    <n v="6"/>
    <n v="2"/>
    <n v="5"/>
    <n v="0"/>
    <n v="24"/>
    <n v="2"/>
    <n v="3"/>
    <n v="2"/>
    <n v="2054"/>
    <n v="0"/>
    <n v="2054"/>
    <n v="0.87"/>
    <n v="2567"/>
    <n v="43"/>
    <n v="0.59299999999999997"/>
    <n v="0"/>
    <n v="0.99514999999999998"/>
    <n v="4.8496700000000004E-3"/>
    <s v="19.31245603174705"/>
    <s v="35.12821383996964"/>
    <n v="4.2893482202519797"/>
    <s v="26.085068419093663"/>
    <n v="708798483"/>
    <x v="1"/>
    <n v="0.99876772999999996"/>
    <x v="1"/>
  </r>
  <r>
    <n v="32"/>
    <n v="1"/>
    <n v="1"/>
    <n v="6"/>
    <n v="2"/>
    <n v="1"/>
    <n v="3"/>
    <n v="16"/>
    <n v="3"/>
    <n v="3"/>
    <n v="1"/>
    <n v="17894"/>
    <n v="2517"/>
    <n v="15377"/>
    <n v="0.73099999999999998"/>
    <n v="15305"/>
    <n v="111"/>
    <n v="0.58599999999999997"/>
    <n v="0.14099999999999999"/>
    <n v="1.0113E-4"/>
    <n v="0.99990000000000001"/>
    <s v="12.39804578585836"/>
    <s v="5.978789727546361"/>
    <s v="36.09038661938111"/>
    <s v="1.9074013590686327"/>
    <n v="794573883"/>
    <x v="0"/>
    <n v="3.8401617000000002E-4"/>
    <x v="0"/>
  </r>
  <r>
    <n v="36"/>
    <n v="1"/>
    <n v="4"/>
    <n v="5"/>
    <n v="1"/>
    <n v="1"/>
    <n v="0"/>
    <n v="28"/>
    <n v="3"/>
    <n v="1"/>
    <n v="4"/>
    <n v="2157"/>
    <n v="574"/>
    <n v="1583"/>
    <n v="0.82499999999999996"/>
    <n v="1663"/>
    <n v="33"/>
    <n v="0.32"/>
    <n v="0.26600000000000001"/>
    <n v="1.7042000000000001E-4"/>
    <n v="0.99983"/>
    <s v="1.252747404959142"/>
    <s v="48.37353499477114"/>
    <s v="16.065646161059764"/>
    <s v="10.458892345706005"/>
    <n v="719358333"/>
    <x v="0"/>
    <n v="3.8005094999999998E-3"/>
    <x v="0"/>
  </r>
  <r>
    <n v="56"/>
    <n v="1"/>
    <n v="2"/>
    <n v="0"/>
    <n v="1"/>
    <n v="0"/>
    <n v="0"/>
    <n v="36"/>
    <n v="6"/>
    <n v="3"/>
    <n v="2"/>
    <n v="27157"/>
    <n v="1547"/>
    <n v="25610"/>
    <n v="0.48699999999999999"/>
    <n v="1535"/>
    <n v="38"/>
    <n v="0.26700000000000002"/>
    <n v="5.7000000000000002E-2"/>
    <n v="1.7488000000000001E-4"/>
    <n v="0.99983"/>
    <s v="12.929226664612475"/>
    <s v="13.315410881164812"/>
    <s v="61.63394370391831"/>
    <s v="2.032878738934412"/>
    <n v="718623783"/>
    <x v="0"/>
    <n v="1.3335287000000001E-3"/>
    <x v="0"/>
  </r>
  <r>
    <n v="33"/>
    <n v="1"/>
    <n v="1"/>
    <n v="2"/>
    <n v="2"/>
    <n v="3"/>
    <n v="0"/>
    <n v="20"/>
    <n v="5"/>
    <n v="3"/>
    <n v="2"/>
    <n v="13206"/>
    <n v="925"/>
    <n v="12281"/>
    <n v="0.76600000000000001"/>
    <n v="2342"/>
    <n v="51"/>
    <n v="1.3180000000000001"/>
    <n v="7.0000000000000007E-2"/>
    <n v="1.6882999999999999E-4"/>
    <n v="0.99983"/>
    <s v="68.43380260935143"/>
    <s v="46.745149062444746"/>
    <s v="81.11228423555816"/>
    <s v="1.1469813699919007"/>
    <n v="718971333"/>
    <x v="0"/>
    <n v="1.4427684E-3"/>
    <x v="0"/>
  </r>
  <r>
    <n v="37"/>
    <n v="0"/>
    <n v="2"/>
    <n v="2"/>
    <n v="1"/>
    <n v="4"/>
    <n v="0"/>
    <n v="31"/>
    <n v="1"/>
    <n v="3"/>
    <n v="3"/>
    <n v="2984"/>
    <n v="0"/>
    <n v="2984"/>
    <n v="0.77"/>
    <n v="4878"/>
    <n v="86"/>
    <n v="0.87"/>
    <n v="0"/>
    <n v="3.0250999999999998E-4"/>
    <n v="0.99970000000000003"/>
    <s v="9.060213564106512"/>
    <s v="12.937981744811186"/>
    <s v="50.64765045477456"/>
    <s v="4.015369724331048"/>
    <n v="709606158"/>
    <x v="0"/>
    <n v="6.9517245999999998E-4"/>
    <x v="0"/>
  </r>
  <r>
    <n v="39"/>
    <n v="1"/>
    <n v="3"/>
    <n v="3"/>
    <n v="2"/>
    <n v="2"/>
    <n v="0"/>
    <n v="32"/>
    <n v="3"/>
    <n v="2"/>
    <n v="2"/>
    <n v="21718"/>
    <n v="2386"/>
    <n v="19332"/>
    <n v="0.74299999999999999"/>
    <n v="3492"/>
    <n v="66"/>
    <n v="0.69199999999999995"/>
    <n v="0.11"/>
    <n v="1.1482E-4"/>
    <n v="0.99988999999999995"/>
    <s v="17.917481420903364"/>
    <s v="35.69182440234656"/>
    <s v="70.27485227646068"/>
    <s v="1.242043402994818"/>
    <n v="717052158"/>
    <x v="0"/>
    <n v="3.2101269999999999E-4"/>
    <x v="0"/>
  </r>
  <r>
    <n v="47"/>
    <n v="0"/>
    <n v="3"/>
    <n v="3"/>
    <n v="1"/>
    <n v="4"/>
    <n v="0"/>
    <n v="36"/>
    <n v="5"/>
    <n v="3"/>
    <n v="3"/>
    <n v="2822"/>
    <n v="0"/>
    <n v="2822"/>
    <n v="0.68100000000000005"/>
    <n v="5064"/>
    <n v="74"/>
    <n v="0.85"/>
    <n v="0"/>
    <n v="3.0516000000000001E-4"/>
    <n v="0.99968999999999997"/>
    <s v="23.758929899007207"/>
    <s v="6.773044308025354"/>
    <s v="58.581830263797336"/>
    <s v="1.0940201162142162"/>
    <n v="719362458"/>
    <x v="0"/>
    <n v="6.9517245999999998E-4"/>
    <x v="0"/>
  </r>
  <r>
    <n v="39"/>
    <n v="1"/>
    <n v="4"/>
    <n v="2"/>
    <n v="1"/>
    <n v="4"/>
    <n v="0"/>
    <n v="32"/>
    <n v="4"/>
    <n v="1"/>
    <n v="4"/>
    <n v="2973"/>
    <n v="2360"/>
    <n v="613"/>
    <n v="1.2569999999999999"/>
    <n v="2593"/>
    <n v="57"/>
    <n v="0.78100000000000003"/>
    <n v="0.79400000000000004"/>
    <n v="1.6574E-4"/>
    <n v="0.99983"/>
    <n v="58.1225361250833"/>
    <s v="4.909223326568392"/>
    <n v="99.920372461406203"/>
    <s v="12.65219214366627"/>
    <n v="716548083"/>
    <x v="0"/>
    <n v="4.6583056000000002E-4"/>
    <x v="0"/>
  </r>
  <r>
    <n v="45"/>
    <n v="0"/>
    <n v="1"/>
    <n v="6"/>
    <n v="1"/>
    <n v="4"/>
    <n v="0"/>
    <n v="32"/>
    <n v="4"/>
    <n v="1"/>
    <n v="3"/>
    <n v="6373"/>
    <n v="1562"/>
    <n v="4811"/>
    <n v="0.57299999999999995"/>
    <n v="3483"/>
    <n v="82"/>
    <n v="0.64"/>
    <n v="0.245"/>
    <s v="9.5577e-05"/>
    <n v="0.99990000000000001"/>
    <s v="10.719119732655075"/>
    <n v="50.374427662707298"/>
    <s v="1.937218070851436"/>
    <s v="6.501604573633276"/>
    <n v="716750358"/>
    <x v="0"/>
    <n v="3.2914013999999999E-4"/>
    <x v="0"/>
  </r>
  <r>
    <n v="50"/>
    <n v="0"/>
    <n v="2"/>
    <n v="6"/>
    <n v="1"/>
    <n v="4"/>
    <n v="0"/>
    <n v="43"/>
    <n v="3"/>
    <n v="3"/>
    <n v="2"/>
    <n v="1438.3"/>
    <n v="910"/>
    <n v="528.29999999999995"/>
    <n v="0.66"/>
    <n v="2370"/>
    <n v="44"/>
    <n v="0.46700000000000003"/>
    <n v="0.63300000000000001"/>
    <n v="0.99497000000000002"/>
    <n v="5.0299999999999997E-3"/>
    <s v="35.64042264108308"/>
    <s v="39.17780368681145"/>
    <s v="43.18780495012882"/>
    <s v="14.579716990239184"/>
    <n v="721480158"/>
    <x v="1"/>
    <n v="0.99685067000000005"/>
    <x v="1"/>
  </r>
  <r>
    <n v="37"/>
    <n v="0"/>
    <n v="2"/>
    <n v="3"/>
    <n v="1"/>
    <n v="1"/>
    <n v="0"/>
    <n v="26"/>
    <n v="3"/>
    <n v="2"/>
    <n v="3"/>
    <n v="2946"/>
    <n v="2517"/>
    <n v="429"/>
    <n v="0.84099999999999997"/>
    <n v="5259"/>
    <n v="89"/>
    <n v="0.78"/>
    <n v="0.85399999999999998"/>
    <n v="1.861E-4"/>
    <n v="0.99980999999999998"/>
    <s v="26.681050897013836"/>
    <s v="75.04045227575565"/>
    <s v="34.375098166082914"/>
    <s v="0.9009001195489512"/>
    <n v="789248958"/>
    <x v="0"/>
    <n v="3.7608930000000002E-4"/>
    <x v="0"/>
  </r>
  <r>
    <n v="41"/>
    <n v="1"/>
    <n v="4"/>
    <n v="3"/>
    <n v="1"/>
    <n v="4"/>
    <n v="0"/>
    <n v="30"/>
    <n v="3"/>
    <n v="2"/>
    <n v="2"/>
    <n v="1614"/>
    <n v="700"/>
    <n v="914"/>
    <n v="0.84199999999999997"/>
    <n v="4293"/>
    <n v="87"/>
    <n v="0.81200000000000006"/>
    <n v="0.434"/>
    <n v="1.1603999999999999E-4"/>
    <n v="0.99987999999999999"/>
    <s v="48.98663547887248"/>
    <s v="21.29841478460132"/>
    <s v="40.02840568932908"/>
    <s v="25.462631782161928"/>
    <n v="789300408"/>
    <x v="0"/>
    <n v="5.4489190000000002E-4"/>
    <x v="0"/>
  </r>
  <r>
    <n v="47"/>
    <n v="0"/>
    <n v="3"/>
    <n v="0"/>
    <n v="0"/>
    <n v="1"/>
    <n v="0"/>
    <n v="41"/>
    <n v="1"/>
    <n v="2"/>
    <n v="1"/>
    <n v="6443"/>
    <n v="2073"/>
    <n v="4370"/>
    <n v="0.8"/>
    <n v="9277"/>
    <n v="92"/>
    <n v="0.76900000000000002"/>
    <n v="0.32200000000000001"/>
    <s v="6.9248e-05"/>
    <n v="0.99992999999999999"/>
    <s v="16.590769466992082"/>
    <s v="19.401399818273468"/>
    <s v="12.15518169769472"/>
    <s v="15.646959834696622"/>
    <n v="774012933"/>
    <x v="0"/>
    <n v="3.6856539999999998E-4"/>
    <x v="0"/>
  </r>
  <r>
    <n v="61"/>
    <n v="1"/>
    <n v="0"/>
    <n v="0"/>
    <n v="2"/>
    <n v="3"/>
    <n v="0"/>
    <n v="50"/>
    <n v="2"/>
    <n v="4"/>
    <n v="3"/>
    <n v="21398"/>
    <n v="0"/>
    <n v="21398"/>
    <n v="0.69499999999999995"/>
    <n v="3119"/>
    <n v="53"/>
    <n v="0.76700000000000002"/>
    <n v="0"/>
    <n v="0.99673"/>
    <n v="3.2668300000000001E-3"/>
    <s v="26.90471364304124"/>
    <s v="92.47687393196392"/>
    <s v="54.34263069696528"/>
    <s v="13.166970938571277"/>
    <n v="711794358"/>
    <x v="1"/>
    <n v="0.99741995000000006"/>
    <x v="1"/>
  </r>
  <r>
    <n v="32"/>
    <n v="0"/>
    <n v="1"/>
    <n v="3"/>
    <n v="2"/>
    <n v="4"/>
    <n v="0"/>
    <n v="16"/>
    <n v="2"/>
    <n v="3"/>
    <n v="1"/>
    <n v="3548"/>
    <n v="2517"/>
    <n v="1031"/>
    <n v="0.81799999999999995"/>
    <n v="15157"/>
    <n v="97"/>
    <n v="0.86499999999999999"/>
    <n v="0.70899999999999996"/>
    <s v="9.8983e-05"/>
    <n v="0.99990000000000001"/>
    <s v="11.902206263636373"/>
    <s v="50.16998492961209"/>
    <s v="44.77112671169964"/>
    <s v="2.981985999760599"/>
    <n v="708555633"/>
    <x v="0"/>
    <n v="3.7453471999999999E-4"/>
    <x v="0"/>
  </r>
  <r>
    <n v="50"/>
    <n v="0"/>
    <n v="1"/>
    <n v="5"/>
    <n v="1"/>
    <n v="4"/>
    <n v="0"/>
    <n v="36"/>
    <n v="6"/>
    <n v="2"/>
    <n v="2"/>
    <n v="4204"/>
    <n v="499"/>
    <n v="3705"/>
    <n v="0.63500000000000001"/>
    <n v="4740"/>
    <n v="67"/>
    <n v="0.52300000000000002"/>
    <n v="0.11899999999999999"/>
    <n v="1.0985E-4"/>
    <n v="0.99988999999999995"/>
    <s v="33.012060841153435"/>
    <s v="19.23406343204719"/>
    <s v="63.17502034510901"/>
    <s v="13.53272153601598"/>
    <n v="717727308"/>
    <x v="0"/>
    <n v="7.1574620000000003E-4"/>
    <x v="0"/>
  </r>
  <r>
    <n v="42"/>
    <n v="1"/>
    <n v="4"/>
    <n v="0"/>
    <n v="1"/>
    <n v="3"/>
    <n v="0"/>
    <n v="34"/>
    <n v="3"/>
    <n v="2"/>
    <n v="3"/>
    <n v="34516"/>
    <n v="668"/>
    <n v="33848"/>
    <n v="0.67800000000000005"/>
    <n v="1698"/>
    <n v="67"/>
    <n v="0.76300000000000001"/>
    <n v="1.9E-2"/>
    <n v="1.9519000000000001E-4"/>
    <n v="0.99980000000000002"/>
    <s v="1.3984763986380724"/>
    <s v="63.663307118389866"/>
    <s v="104.26560821503666"/>
    <s v="7.691182591718889"/>
    <n v="789485433"/>
    <x v="0"/>
    <n v="7.2187610000000002E-4"/>
    <x v="0"/>
  </r>
  <r>
    <n v="48"/>
    <n v="0"/>
    <n v="1"/>
    <n v="3"/>
    <n v="1"/>
    <n v="4"/>
    <n v="0"/>
    <n v="40"/>
    <n v="5"/>
    <n v="4"/>
    <n v="3"/>
    <n v="4170"/>
    <n v="1384"/>
    <n v="2786"/>
    <n v="0.77"/>
    <n v="4532"/>
    <n v="94"/>
    <n v="0.64900000000000002"/>
    <n v="0.33200000000000002"/>
    <n v="3.3358999999999998E-4"/>
    <n v="0.99966999999999995"/>
    <s v="29.882374119663137"/>
    <s v="36.77463638337667"/>
    <s v="100.66974538253932"/>
    <s v="9.473892630984391"/>
    <n v="715910883"/>
    <x v="0"/>
    <n v="3.2914013999999999E-4"/>
    <x v="0"/>
  </r>
  <r>
    <n v="43"/>
    <n v="0"/>
    <n v="2"/>
    <n v="5"/>
    <n v="1"/>
    <n v="5"/>
    <n v="0"/>
    <n v="38"/>
    <n v="6"/>
    <n v="3"/>
    <n v="1"/>
    <n v="2960"/>
    <n v="1853"/>
    <n v="1107"/>
    <n v="0.94899999999999995"/>
    <n v="3921"/>
    <n v="63"/>
    <n v="0.85299999999999998"/>
    <n v="0.626"/>
    <n v="1.1153E-4"/>
    <n v="0.99988999999999995"/>
    <s v="42.60499708957308"/>
    <s v="4.220096396742551"/>
    <s v="60.42239849475117"/>
    <s v="17.03116162773156"/>
    <n v="713251008"/>
    <x v="0"/>
    <n v="3.4075615E-4"/>
    <x v="0"/>
  </r>
  <r>
    <n v="45"/>
    <n v="0"/>
    <n v="4"/>
    <n v="3"/>
    <n v="1"/>
    <n v="4"/>
    <n v="0"/>
    <n v="36"/>
    <n v="5"/>
    <n v="2"/>
    <n v="2"/>
    <n v="2225"/>
    <n v="0"/>
    <n v="2225"/>
    <n v="0.61099999999999999"/>
    <n v="4138"/>
    <n v="85"/>
    <n v="0.77100000000000002"/>
    <n v="0"/>
    <n v="1.1603999999999999E-4"/>
    <n v="0.99987999999999999"/>
    <s v="22.44346766759707"/>
    <n v="81.450712899343401"/>
    <s v="7.628551274402723"/>
    <s v="13.160125908725938"/>
    <n v="716239383"/>
    <x v="0"/>
    <n v="6.9517245999999998E-4"/>
    <x v="0"/>
  </r>
  <r>
    <n v="39"/>
    <n v="1"/>
    <n v="4"/>
    <n v="4"/>
    <n v="2"/>
    <n v="2"/>
    <n v="3"/>
    <n v="36"/>
    <n v="6"/>
    <n v="3"/>
    <n v="3"/>
    <n v="25133"/>
    <n v="0"/>
    <n v="25133"/>
    <n v="0.46100000000000002"/>
    <n v="4033"/>
    <n v="73"/>
    <n v="0.32700000000000001"/>
    <n v="0"/>
    <n v="3.3730000000000001E-4"/>
    <n v="0.99965999999999999"/>
    <s v="29.470098640994937"/>
    <s v="5.486026091804393"/>
    <s v="46.104946153241485"/>
    <s v="17.744103743426347"/>
    <n v="709587783"/>
    <x v="0"/>
    <n v="7.7293770000000004E-4"/>
    <x v="0"/>
  </r>
  <r>
    <n v="41"/>
    <n v="1"/>
    <n v="3"/>
    <n v="3"/>
    <n v="0"/>
    <n v="3"/>
    <n v="0"/>
    <n v="28"/>
    <n v="1"/>
    <n v="3"/>
    <n v="3"/>
    <n v="16627"/>
    <n v="2118"/>
    <n v="14509"/>
    <n v="0.58899999999999997"/>
    <n v="7996"/>
    <n v="99"/>
    <n v="0.59699999999999998"/>
    <n v="0.127"/>
    <n v="3.0516000000000001E-4"/>
    <n v="0.99968999999999997"/>
    <s v="25.72205617013933"/>
    <s v="5.565646413613774"/>
    <s v="12.017398237265157"/>
    <s v="2.4776685755433743"/>
    <n v="780497958"/>
    <x v="0"/>
    <n v="3.7789578000000003E-4"/>
    <x v="0"/>
  </r>
  <r>
    <n v="34"/>
    <n v="0"/>
    <n v="3"/>
    <n v="2"/>
    <n v="1"/>
    <n v="4"/>
    <n v="1"/>
    <n v="36"/>
    <n v="6"/>
    <n v="3"/>
    <n v="2"/>
    <n v="15487"/>
    <n v="1847"/>
    <n v="13640"/>
    <n v="0.94299999999999995"/>
    <n v="7031"/>
    <n v="67"/>
    <n v="0.81100000000000005"/>
    <n v="0.11899999999999999"/>
    <n v="0.99536999999999998"/>
    <n v="4.6279199999999998E-3"/>
    <s v="18.669922083970256"/>
    <s v="11.961835539495436"/>
    <s v="11.606101187830944"/>
    <s v="4.503587597787833"/>
    <n v="708369633"/>
    <x v="1"/>
    <n v="0.98915814999999996"/>
    <x v="1"/>
  </r>
  <r>
    <n v="42"/>
    <n v="0"/>
    <n v="5"/>
    <n v="6"/>
    <n v="1"/>
    <n v="4"/>
    <n v="0"/>
    <n v="25"/>
    <n v="3"/>
    <n v="1"/>
    <n v="1"/>
    <n v="2812"/>
    <n v="2238"/>
    <n v="574"/>
    <n v="0.71299999999999997"/>
    <n v="4823"/>
    <n v="77"/>
    <n v="0.83299999999999996"/>
    <n v="0.79600000000000004"/>
    <s v="3.7691e-05"/>
    <n v="0.99995999999999996"/>
    <s v="20.14358833919884"/>
    <s v="25.902300895464744"/>
    <s v="25.768281403152617"/>
    <n v="8.3825271692810492"/>
    <n v="779642733"/>
    <x v="0"/>
    <n v="3.2101269999999999E-4"/>
    <x v="0"/>
  </r>
  <r>
    <n v="47"/>
    <n v="1"/>
    <n v="3"/>
    <n v="6"/>
    <n v="0"/>
    <n v="2"/>
    <n v="3"/>
    <n v="35"/>
    <n v="4"/>
    <n v="2"/>
    <n v="5"/>
    <n v="29812"/>
    <n v="2031"/>
    <n v="27781"/>
    <n v="0.76700000000000002"/>
    <n v="2385"/>
    <n v="50"/>
    <n v="0.51500000000000001"/>
    <n v="6.8000000000000005E-2"/>
    <n v="5.8226000000000003E-4"/>
    <n v="0.99941999999999998"/>
    <s v="14.242354321076917"/>
    <s v="37.38196439695812"/>
    <s v="109.89452442536542"/>
    <s v="14.164348629340308"/>
    <n v="778502958"/>
    <x v="0"/>
    <n v="1.3272017000000001E-3"/>
    <x v="0"/>
  </r>
  <r>
    <n v="43"/>
    <n v="0"/>
    <n v="1"/>
    <n v="2"/>
    <n v="0"/>
    <n v="5"/>
    <n v="0"/>
    <n v="30"/>
    <n v="5"/>
    <n v="3"/>
    <n v="3"/>
    <n v="9535"/>
    <n v="660"/>
    <n v="8875"/>
    <n v="0.94399999999999995"/>
    <n v="4210"/>
    <n v="81"/>
    <n v="0.72299999999999998"/>
    <n v="6.9000000000000006E-2"/>
    <n v="2.8394999999999999E-4"/>
    <n v="0.99972000000000005"/>
    <s v="46.05400927793143"/>
    <s v="17.17746863367925"/>
    <s v="15.582786595733062"/>
    <s v="5.675867273428514"/>
    <n v="710563458"/>
    <x v="0"/>
    <n v="6.3762159999999999E-4"/>
    <x v="0"/>
  </r>
  <r>
    <n v="48"/>
    <n v="1"/>
    <n v="4"/>
    <n v="2"/>
    <n v="1"/>
    <n v="3"/>
    <n v="3"/>
    <n v="40"/>
    <n v="6"/>
    <n v="2"/>
    <n v="5"/>
    <n v="34516"/>
    <n v="807"/>
    <n v="33709"/>
    <n v="0.96699999999999997"/>
    <n v="3937"/>
    <n v="80"/>
    <n v="1.0509999999999999"/>
    <n v="2.3E-2"/>
    <n v="5.354E-4"/>
    <n v="0.99946000000000002"/>
    <s v="6.302072948818209"/>
    <s v="0.3523508493228351"/>
    <s v="9.346979341793825"/>
    <s v="3.6793196531343018"/>
    <n v="710884683"/>
    <x v="0"/>
    <n v="5.9715549999999999E-4"/>
    <x v="0"/>
  </r>
  <r>
    <n v="53"/>
    <n v="0"/>
    <n v="3"/>
    <n v="2"/>
    <n v="1"/>
    <n v="5"/>
    <n v="0"/>
    <n v="40"/>
    <n v="6"/>
    <n v="3"/>
    <n v="1"/>
    <n v="12059"/>
    <n v="1978"/>
    <n v="10081"/>
    <n v="0.877"/>
    <n v="1836"/>
    <n v="36"/>
    <n v="0.89500000000000002"/>
    <n v="0.16400000000000001"/>
    <n v="1.1256000000000001E-4"/>
    <n v="0.99988999999999995"/>
    <s v="18.781768737098343"/>
    <s v="15.251555261664532"/>
    <s v="122.06333801181506"/>
    <s v="0.1045838134761104"/>
    <n v="710793783"/>
    <x v="0"/>
    <n v="9.8706899999999992E-4"/>
    <x v="0"/>
  </r>
  <r>
    <n v="53"/>
    <n v="1"/>
    <n v="4"/>
    <n v="0"/>
    <n v="2"/>
    <n v="2"/>
    <n v="0"/>
    <n v="45"/>
    <n v="5"/>
    <n v="3"/>
    <n v="2"/>
    <n v="14366"/>
    <n v="888"/>
    <n v="13478"/>
    <n v="0.63800000000000001"/>
    <n v="3868"/>
    <n v="66"/>
    <n v="0.61"/>
    <n v="6.2E-2"/>
    <n v="1.8340000000000001E-4"/>
    <n v="0.99982000000000004"/>
    <s v="40.25164987630269"/>
    <s v="5.782091018843796"/>
    <s v="55.55608020571997"/>
    <n v="13.3180735295883"/>
    <n v="788641758"/>
    <x v="0"/>
    <n v="4.8115943000000001E-4"/>
    <x v="0"/>
  </r>
  <r>
    <n v="46"/>
    <n v="0"/>
    <n v="3"/>
    <n v="2"/>
    <n v="1"/>
    <n v="5"/>
    <n v="0"/>
    <n v="40"/>
    <n v="3"/>
    <n v="4"/>
    <n v="3"/>
    <n v="13095"/>
    <n v="1836"/>
    <n v="11259"/>
    <n v="0.432"/>
    <n v="1552"/>
    <n v="32"/>
    <n v="0.185"/>
    <n v="0.14000000000000001"/>
    <n v="0.99736999999999998"/>
    <n v="2.6281999999999998E-3"/>
    <s v="0.4750512371314423"/>
    <s v="31.387719263833983"/>
    <s v="107.90887801788271"/>
    <s v="6.666060382942014"/>
    <n v="767668908"/>
    <x v="1"/>
    <n v="0.99480959999999996"/>
    <x v="1"/>
  </r>
  <r>
    <n v="41"/>
    <n v="1"/>
    <n v="3"/>
    <n v="2"/>
    <n v="1"/>
    <n v="1"/>
    <n v="0"/>
    <n v="32"/>
    <n v="3"/>
    <n v="3"/>
    <n v="2"/>
    <n v="6425"/>
    <n v="915"/>
    <n v="5510"/>
    <n v="0.95799999999999996"/>
    <n v="2036"/>
    <n v="44"/>
    <n v="0.69199999999999995"/>
    <n v="0.14199999999999999"/>
    <n v="1.8665000000000001E-4"/>
    <n v="0.99980999999999998"/>
    <s v="3.424190445126186"/>
    <s v="6.819407843508671"/>
    <s v="110.41091069653308"/>
    <s v="5.856285644130588"/>
    <n v="712655583"/>
    <x v="0"/>
    <n v="1.6351172E-3"/>
    <x v="0"/>
  </r>
  <r>
    <n v="53"/>
    <n v="1"/>
    <n v="3"/>
    <n v="2"/>
    <n v="1"/>
    <n v="1"/>
    <n v="0"/>
    <n v="43"/>
    <n v="6"/>
    <n v="4"/>
    <n v="2"/>
    <n v="7451"/>
    <n v="683"/>
    <n v="6768"/>
    <n v="0.92400000000000004"/>
    <n v="2165"/>
    <n v="49"/>
    <n v="0.96"/>
    <n v="9.1999999999999998E-2"/>
    <n v="2.2556E-4"/>
    <n v="0.99977000000000005"/>
    <s v="19.152258033776448"/>
    <s v="37.29453964871196"/>
    <s v="224.92287285197187"/>
    <s v="15.667176420042212"/>
    <n v="711315783"/>
    <x v="0"/>
    <n v="1.8378769000000001E-3"/>
    <x v="0"/>
  </r>
  <r>
    <n v="46"/>
    <n v="0"/>
    <n v="5"/>
    <n v="1"/>
    <n v="2"/>
    <n v="4"/>
    <n v="0"/>
    <n v="37"/>
    <n v="3"/>
    <n v="2"/>
    <n v="2"/>
    <n v="1787"/>
    <n v="0"/>
    <n v="1787"/>
    <n v="0.65400000000000003"/>
    <n v="2345"/>
    <n v="36"/>
    <n v="0.28599999999999998"/>
    <n v="0"/>
    <n v="0.99414999999999998"/>
    <n v="5.8500000000000002E-3"/>
    <s v="5.382170452285545"/>
    <s v="16.88256620437407"/>
    <s v="40.09181081807759"/>
    <s v="1.0481914983934684"/>
    <n v="714188883"/>
    <x v="1"/>
    <n v="0.99876772999999996"/>
    <x v="1"/>
  </r>
  <r>
    <n v="44"/>
    <n v="0"/>
    <n v="3"/>
    <n v="2"/>
    <n v="1"/>
    <n v="4"/>
    <n v="3"/>
    <n v="26"/>
    <n v="1"/>
    <n v="3"/>
    <n v="1"/>
    <n v="10877"/>
    <n v="1802"/>
    <n v="9075"/>
    <n v="0.70599999999999996"/>
    <n v="7974"/>
    <n v="90"/>
    <n v="0.73099999999999998"/>
    <n v="0.16600000000000001"/>
    <n v="1.0171E-4"/>
    <n v="0.99990000000000001"/>
    <s v="4.012609854121214"/>
    <s v="28.599052006227428"/>
    <s v="19.99461006130576"/>
    <s v="2.513366773174207"/>
    <n v="710016708"/>
    <x v="0"/>
    <n v="3.6856539999999998E-4"/>
    <x v="0"/>
  </r>
  <r>
    <n v="38"/>
    <n v="1"/>
    <n v="3"/>
    <n v="2"/>
    <n v="1"/>
    <n v="3"/>
    <n v="0"/>
    <n v="19"/>
    <n v="5"/>
    <n v="2"/>
    <n v="2"/>
    <n v="1518"/>
    <n v="1115"/>
    <n v="403"/>
    <n v="0.70499999999999996"/>
    <n v="3595"/>
    <n v="65"/>
    <n v="0.85699999999999998"/>
    <n v="0.73499999999999999"/>
    <n v="1.1811000000000001E-4"/>
    <n v="0.99987999999999999"/>
    <n v="11.4862948717225"/>
    <s v="33.22375282003341"/>
    <s v="14.895393780848638"/>
    <s v="27.41252980555087"/>
    <n v="711825558"/>
    <x v="0"/>
    <n v="3.2890364000000001E-4"/>
    <x v="0"/>
  </r>
  <r>
    <n v="43"/>
    <n v="0"/>
    <n v="3"/>
    <n v="1"/>
    <n v="2"/>
    <n v="4"/>
    <n v="0"/>
    <n v="30"/>
    <n v="1"/>
    <n v="2"/>
    <n v="2"/>
    <n v="6261"/>
    <n v="463"/>
    <n v="5798"/>
    <n v="0.88900000000000001"/>
    <n v="8132"/>
    <n v="64"/>
    <n v="0.6"/>
    <n v="7.3999999999999996E-2"/>
    <n v="0.99417999999999995"/>
    <n v="5.8199999999999997E-3"/>
    <s v="37.38171020899071"/>
    <s v="11.370332239248093"/>
    <s v="46.41469232665232"/>
    <s v="29.09506741865784"/>
    <n v="720827133"/>
    <x v="1"/>
    <n v="0.99541782999999995"/>
    <x v="1"/>
  </r>
  <r>
    <n v="35"/>
    <n v="0"/>
    <n v="3"/>
    <n v="5"/>
    <n v="1"/>
    <n v="4"/>
    <n v="0"/>
    <n v="25"/>
    <n v="4"/>
    <n v="1"/>
    <n v="2"/>
    <n v="2149"/>
    <n v="1118"/>
    <n v="1031"/>
    <n v="0.90300000000000002"/>
    <n v="1581"/>
    <n v="30"/>
    <n v="1"/>
    <n v="0.52"/>
    <s v="5.8763e-05"/>
    <n v="0.99994000000000005"/>
    <s v="66.67285048194618"/>
    <s v="118.35566600130352"/>
    <s v="8.244113364648502"/>
    <s v="2.8986998942188307"/>
    <n v="779811183"/>
    <x v="0"/>
    <n v="9.8706899999999992E-4"/>
    <x v="0"/>
  </r>
  <r>
    <n v="47"/>
    <n v="0"/>
    <n v="2"/>
    <n v="5"/>
    <n v="2"/>
    <n v="4"/>
    <n v="0"/>
    <n v="42"/>
    <n v="3"/>
    <n v="1"/>
    <n v="2"/>
    <n v="2271"/>
    <n v="2154"/>
    <n v="117"/>
    <n v="1.1299999999999999"/>
    <n v="4150"/>
    <n v="69"/>
    <n v="0.86499999999999999"/>
    <n v="0.94799999999999995"/>
    <s v="5.663e-05"/>
    <n v="0.99994000000000005"/>
    <s v="25.93625092896163"/>
    <s v="13.718488605878512"/>
    <s v="6.931662376209408"/>
    <s v="5.637409316290658"/>
    <n v="814611633"/>
    <x v="0"/>
    <n v="3.221314E-4"/>
    <x v="0"/>
  </r>
  <r>
    <n v="41"/>
    <n v="0"/>
    <n v="3"/>
    <n v="6"/>
    <n v="1"/>
    <n v="4"/>
    <n v="0"/>
    <n v="30"/>
    <n v="5"/>
    <n v="3"/>
    <n v="3"/>
    <n v="1654"/>
    <n v="0"/>
    <n v="1654"/>
    <n v="0.32900000000000001"/>
    <n v="1730"/>
    <n v="30"/>
    <n v="0.36399999999999999"/>
    <n v="0"/>
    <n v="0.99711000000000005"/>
    <n v="2.8889200000000001E-3"/>
    <s v="22.008872612850848"/>
    <s v="34.87213553665359"/>
    <s v="30.691870680879383"/>
    <s v="8.255779538372371"/>
    <n v="772407333"/>
    <x v="1"/>
    <n v="0.99856453999999994"/>
    <x v="1"/>
  </r>
  <r>
    <n v="53"/>
    <n v="1"/>
    <n v="2"/>
    <n v="4"/>
    <n v="2"/>
    <n v="2"/>
    <n v="3"/>
    <n v="47"/>
    <n v="1"/>
    <n v="3"/>
    <n v="3"/>
    <n v="29038"/>
    <n v="2295"/>
    <n v="26743"/>
    <n v="0.65700000000000003"/>
    <n v="12025"/>
    <n v="103"/>
    <n v="0.80700000000000005"/>
    <n v="7.9000000000000001E-2"/>
    <n v="3.2162E-4"/>
    <n v="0.99968000000000001"/>
    <s v="1.559133137001856"/>
    <s v="64.26346668755805"/>
    <s v="8.317354414475188"/>
    <s v="7.877946909877819"/>
    <n v="803655333"/>
    <x v="0"/>
    <n v="3.8905455999999999E-4"/>
    <x v="0"/>
  </r>
  <r>
    <n v="46"/>
    <n v="1"/>
    <n v="2"/>
    <n v="3"/>
    <n v="1"/>
    <n v="0"/>
    <n v="0"/>
    <n v="36"/>
    <n v="5"/>
    <n v="3"/>
    <n v="2"/>
    <n v="19727"/>
    <n v="1785"/>
    <n v="17942"/>
    <n v="0.57199999999999995"/>
    <n v="1245"/>
    <n v="25"/>
    <n v="0.78600000000000003"/>
    <n v="0.09"/>
    <n v="1.7485999999999999E-4"/>
    <n v="0.99983"/>
    <s v="8.590120111375423"/>
    <s v="87.36492518730431"/>
    <s v="20.63162851211072"/>
    <s v="1.764421380355922"/>
    <n v="713441958"/>
    <x v="0"/>
    <n v="1.0153692E-3"/>
    <x v="0"/>
  </r>
  <r>
    <n v="46"/>
    <n v="0"/>
    <n v="3"/>
    <n v="2"/>
    <n v="2"/>
    <n v="4"/>
    <n v="0"/>
    <n v="28"/>
    <n v="2"/>
    <n v="2"/>
    <n v="3"/>
    <n v="8551"/>
    <n v="1067"/>
    <n v="7484"/>
    <n v="0.93100000000000005"/>
    <n v="1097"/>
    <n v="32"/>
    <n v="0.77800000000000002"/>
    <n v="0.125"/>
    <n v="0.99499000000000004"/>
    <n v="5.0099999999999997E-3"/>
    <s v="4.912558902175149"/>
    <s v="53.15121003893003"/>
    <s v="3.035471204286615"/>
    <s v="8.008850869097559"/>
    <n v="711147483"/>
    <x v="1"/>
    <n v="0.99535200000000001"/>
    <x v="1"/>
  </r>
  <r>
    <n v="42"/>
    <n v="0"/>
    <n v="3"/>
    <n v="3"/>
    <n v="1"/>
    <n v="1"/>
    <n v="0"/>
    <n v="36"/>
    <n v="1"/>
    <n v="3"/>
    <n v="4"/>
    <n v="4527"/>
    <n v="0"/>
    <n v="4527"/>
    <n v="0.80100000000000005"/>
    <n v="2441"/>
    <n v="37"/>
    <n v="0.37"/>
    <n v="0"/>
    <n v="0.99807999999999997"/>
    <n v="1.91647E-3"/>
    <s v="30.771384573649964"/>
    <s v="35.62107019643909"/>
    <s v="24.49036571164973"/>
    <s v="15.618352909901525"/>
    <n v="715016508"/>
    <x v="1"/>
    <n v="0.99841880000000005"/>
    <x v="1"/>
  </r>
  <r>
    <n v="56"/>
    <n v="0"/>
    <n v="2"/>
    <n v="6"/>
    <n v="1"/>
    <n v="4"/>
    <n v="0"/>
    <n v="48"/>
    <n v="1"/>
    <n v="2"/>
    <n v="3"/>
    <n v="9092"/>
    <n v="1363"/>
    <n v="7729"/>
    <n v="0.83"/>
    <n v="14779"/>
    <n v="94"/>
    <n v="0.84299999999999997"/>
    <n v="0.15"/>
    <n v="2.1042000000000001E-4"/>
    <n v="0.99978999999999996"/>
    <s v="3.5084186720576547"/>
    <s v="25.497763468250668"/>
    <s v="17.905089374439886"/>
    <s v="14.450800405930128"/>
    <n v="712497783"/>
    <x v="0"/>
    <n v="3.4656386999999997E-4"/>
    <x v="0"/>
  </r>
  <r>
    <n v="36"/>
    <n v="1"/>
    <n v="1"/>
    <n v="5"/>
    <n v="0"/>
    <n v="0"/>
    <n v="0"/>
    <n v="28"/>
    <n v="6"/>
    <n v="3"/>
    <n v="2"/>
    <n v="5260"/>
    <n v="1116"/>
    <n v="4144"/>
    <n v="0.66400000000000003"/>
    <n v="2546"/>
    <n v="62"/>
    <n v="0.879"/>
    <n v="0.21199999999999999"/>
    <n v="1.7359999999999999E-4"/>
    <n v="0.99983"/>
    <s v="33.65272140696851"/>
    <s v="18.259477992546937"/>
    <s v="31.60316545597767"/>
    <s v="5.267654919134482"/>
    <n v="709284333"/>
    <x v="0"/>
    <n v="4.2757455999999999E-4"/>
    <x v="0"/>
  </r>
  <r>
    <n v="51"/>
    <n v="0"/>
    <n v="3"/>
    <n v="3"/>
    <n v="2"/>
    <n v="5"/>
    <n v="1"/>
    <n v="39"/>
    <n v="1"/>
    <n v="1"/>
    <n v="2"/>
    <n v="34516"/>
    <n v="1873"/>
    <n v="32643"/>
    <n v="0.629"/>
    <n v="7703"/>
    <n v="104"/>
    <n v="0.67700000000000005"/>
    <n v="5.3999999999999999E-2"/>
    <s v="6.401e-05"/>
    <n v="0.99994000000000005"/>
    <n v="16.202390229469302"/>
    <s v="47.896325626648206"/>
    <s v="38.83270735177078"/>
    <s v="11.685332946307016"/>
    <n v="717340608"/>
    <x v="0"/>
    <n v="4.1022256E-4"/>
    <x v="0"/>
  </r>
  <r>
    <n v="56"/>
    <n v="1"/>
    <n v="2"/>
    <n v="2"/>
    <n v="2"/>
    <n v="3"/>
    <n v="0"/>
    <n v="46"/>
    <n v="6"/>
    <n v="2"/>
    <n v="3"/>
    <n v="15982"/>
    <n v="0"/>
    <n v="15982"/>
    <n v="0.68700000000000006"/>
    <n v="4503"/>
    <n v="80"/>
    <n v="0.66700000000000004"/>
    <n v="0"/>
    <n v="1.9143E-4"/>
    <n v="0.99980999999999998"/>
    <s v="6.165332392319195"/>
    <n v="2.4146019803466201"/>
    <s v="54.05304465147538"/>
    <n v="6.3889316593214804"/>
    <n v="711712983"/>
    <x v="0"/>
    <n v="6.9517245999999998E-4"/>
    <x v="0"/>
  </r>
  <r>
    <n v="40"/>
    <n v="0"/>
    <n v="3"/>
    <n v="0"/>
    <n v="2"/>
    <n v="4"/>
    <n v="0"/>
    <n v="29"/>
    <n v="4"/>
    <n v="3"/>
    <n v="1"/>
    <n v="5716"/>
    <n v="623"/>
    <n v="5093"/>
    <n v="0.67300000000000004"/>
    <n v="4387"/>
    <n v="79"/>
    <n v="0.88100000000000001"/>
    <n v="0.109"/>
    <n v="1.0944E-4"/>
    <n v="0.99988999999999995"/>
    <s v="24.55816169860144"/>
    <s v="7.012600483917654"/>
    <s v="85.62100485340994"/>
    <s v="0.6901997909154949"/>
    <n v="779405133"/>
    <x v="0"/>
    <n v="5.4489190000000002E-4"/>
    <x v="0"/>
  </r>
  <r>
    <n v="57"/>
    <n v="1"/>
    <n v="2"/>
    <n v="0"/>
    <n v="1"/>
    <n v="2"/>
    <n v="0"/>
    <n v="52"/>
    <n v="5"/>
    <n v="3"/>
    <n v="3"/>
    <n v="6584"/>
    <n v="1817"/>
    <n v="4767"/>
    <n v="0.62"/>
    <n v="1353"/>
    <n v="35"/>
    <n v="0.66700000000000004"/>
    <n v="0.27600000000000002"/>
    <n v="2.9410999999999999E-4"/>
    <n v="0.99970999999999999"/>
    <s v="11.798400697793651"/>
    <s v="20.89622352456652"/>
    <s v="52.886790862413406"/>
    <s v="0.3350040263016705"/>
    <n v="807986133"/>
    <x v="0"/>
    <n v="1.0337284E-3"/>
    <x v="0"/>
  </r>
  <r>
    <n v="45"/>
    <n v="0"/>
    <n v="3"/>
    <n v="5"/>
    <n v="1"/>
    <n v="4"/>
    <n v="0"/>
    <n v="38"/>
    <n v="6"/>
    <n v="5"/>
    <n v="1"/>
    <n v="2728"/>
    <n v="0"/>
    <n v="2728"/>
    <n v="0.879"/>
    <n v="4554"/>
    <n v="75"/>
    <n v="0.74399999999999999"/>
    <n v="0"/>
    <n v="1.2926999999999999E-4"/>
    <n v="0.99987000000000004"/>
    <s v="12.883514302056264"/>
    <n v="41.2651366447353"/>
    <n v="57.140962333475002"/>
    <s v="4.570274935662585"/>
    <n v="718256658"/>
    <x v="0"/>
    <n v="7.1049936000000004E-4"/>
    <x v="0"/>
  </r>
  <r>
    <n v="46"/>
    <n v="0"/>
    <n v="3"/>
    <n v="0"/>
    <n v="1"/>
    <n v="4"/>
    <n v="0"/>
    <n v="39"/>
    <n v="3"/>
    <n v="2"/>
    <n v="3"/>
    <n v="1438.3"/>
    <n v="0"/>
    <n v="1438.3"/>
    <n v="0.78600000000000003"/>
    <n v="4370"/>
    <n v="79"/>
    <n v="0.79500000000000004"/>
    <n v="0"/>
    <n v="1.9312999999999999E-4"/>
    <n v="0.99980999999999998"/>
    <s v="13.722073179707785"/>
    <s v="66.42815010029723"/>
    <s v="157.44401899514574"/>
    <s v="4.370928182514078"/>
    <n v="709728183"/>
    <x v="0"/>
    <n v="6.9517245999999998E-4"/>
    <x v="0"/>
  </r>
  <r>
    <n v="26"/>
    <n v="1"/>
    <n v="0"/>
    <n v="2"/>
    <n v="2"/>
    <n v="4"/>
    <n v="0"/>
    <n v="13"/>
    <n v="5"/>
    <n v="2"/>
    <n v="4"/>
    <n v="2469"/>
    <n v="2410"/>
    <n v="59"/>
    <n v="0.54400000000000004"/>
    <n v="1027"/>
    <n v="20"/>
    <n v="0.17599999999999999"/>
    <n v="0.97599999999999998"/>
    <n v="0.99644999999999995"/>
    <n v="3.5547E-3"/>
    <s v="22.032166351081965"/>
    <s v="12.549884921703674"/>
    <s v="6.458892973119703"/>
    <s v="3.9143035992798767"/>
    <n v="787463508"/>
    <x v="1"/>
    <n v="0.99383646000000003"/>
    <x v="1"/>
  </r>
  <r>
    <n v="46"/>
    <n v="0"/>
    <n v="1"/>
    <n v="3"/>
    <n v="1"/>
    <n v="4"/>
    <n v="0"/>
    <n v="42"/>
    <n v="5"/>
    <n v="4"/>
    <n v="1"/>
    <n v="1438.3"/>
    <n v="0"/>
    <n v="1438.3"/>
    <n v="0.63700000000000001"/>
    <n v="1843"/>
    <n v="44"/>
    <n v="0.63"/>
    <n v="0"/>
    <n v="0.99170999999999998"/>
    <n v="8.2900000000000005E-3"/>
    <s v="26.09992832763334"/>
    <s v="33.50332963034612"/>
    <n v="0.51186025576154603"/>
    <s v="18.81625004671409"/>
    <n v="826421958"/>
    <x v="1"/>
    <n v="0.99830700000000006"/>
    <x v="1"/>
  </r>
  <r>
    <n v="54"/>
    <n v="0"/>
    <n v="4"/>
    <n v="3"/>
    <n v="1"/>
    <n v="4"/>
    <n v="0"/>
    <n v="36"/>
    <n v="3"/>
    <n v="5"/>
    <n v="3"/>
    <n v="1594"/>
    <n v="1411"/>
    <n v="183"/>
    <n v="0.81699999999999995"/>
    <n v="1459"/>
    <n v="35"/>
    <n v="1.1879999999999999"/>
    <n v="0.88500000000000001"/>
    <n v="3.4446999999999999E-4"/>
    <n v="0.99965999999999999"/>
    <s v="59.64082257475251"/>
    <s v="43.35644176253915"/>
    <n v="90.379621099684897"/>
    <s v="20.76396036891924"/>
    <n v="714363858"/>
    <x v="0"/>
    <n v="1.0249399E-3"/>
    <x v="0"/>
  </r>
  <r>
    <n v="57"/>
    <n v="1"/>
    <n v="2"/>
    <n v="5"/>
    <n v="2"/>
    <n v="3"/>
    <n v="0"/>
    <n v="53"/>
    <n v="5"/>
    <n v="2"/>
    <n v="4"/>
    <n v="34516"/>
    <n v="2099"/>
    <n v="32417"/>
    <n v="0.629"/>
    <n v="1233"/>
    <n v="26"/>
    <n v="0.85699999999999998"/>
    <n v="6.0999999999999999E-2"/>
    <n v="3.3576999999999999E-4"/>
    <n v="0.99965999999999999"/>
    <s v="31.941470436716543"/>
    <n v="60.526037524864002"/>
    <s v="54.58043562606947"/>
    <n v="6.6940415091638998"/>
    <n v="821836008"/>
    <x v="0"/>
    <n v="1.0985557E-3"/>
    <x v="0"/>
  </r>
  <r>
    <n v="45"/>
    <n v="0"/>
    <n v="5"/>
    <n v="1"/>
    <n v="1"/>
    <n v="4"/>
    <n v="0"/>
    <n v="34"/>
    <n v="4"/>
    <n v="2"/>
    <n v="2"/>
    <n v="1438.3"/>
    <n v="491"/>
    <n v="947.3"/>
    <n v="0.70799999999999996"/>
    <n v="4376"/>
    <n v="84"/>
    <n v="0.78700000000000003"/>
    <n v="0.34100000000000003"/>
    <n v="1.7003999999999999E-4"/>
    <n v="0.99983"/>
    <s v="43.940444328057744"/>
    <s v="19.19197056565351"/>
    <s v="14.302753042060518"/>
    <s v="4.380920371530466"/>
    <n v="714735033"/>
    <x v="0"/>
    <n v="6.2459736000000004E-4"/>
    <x v="0"/>
  </r>
  <r>
    <n v="43"/>
    <n v="1"/>
    <n v="4"/>
    <n v="4"/>
    <n v="3"/>
    <n v="3"/>
    <n v="0"/>
    <n v="30"/>
    <n v="2"/>
    <n v="5"/>
    <n v="3"/>
    <n v="5639"/>
    <n v="1547"/>
    <n v="4092"/>
    <n v="1.087"/>
    <n v="647"/>
    <n v="15"/>
    <n v="0.36399999999999999"/>
    <n v="0.27400000000000002"/>
    <n v="0.99761"/>
    <n v="2.39178E-3"/>
    <s v="13.368869333319015"/>
    <s v="6.111719865330167"/>
    <s v="56.74277131638048"/>
    <s v="5.781977049105639"/>
    <n v="708288108"/>
    <x v="1"/>
    <n v="0.99598819999999999"/>
    <x v="1"/>
  </r>
  <r>
    <n v="43"/>
    <n v="1"/>
    <n v="3"/>
    <n v="2"/>
    <n v="3"/>
    <n v="3"/>
    <n v="0"/>
    <n v="29"/>
    <n v="1"/>
    <n v="2"/>
    <n v="6"/>
    <n v="11422"/>
    <n v="1095"/>
    <n v="10327"/>
    <n v="0.77300000000000002"/>
    <n v="2439"/>
    <n v="45"/>
    <n v="0.8"/>
    <n v="9.6000000000000002E-2"/>
    <n v="0.99902999999999997"/>
    <n v="9.7026000000000002E-4"/>
    <s v="10.519566290782643"/>
    <s v="1.5584213056190712"/>
    <n v="35.3870004727032"/>
    <s v="12.195023182055976"/>
    <n v="720905133"/>
    <x v="1"/>
    <n v="0.99303319999999995"/>
    <x v="1"/>
  </r>
  <r>
    <n v="41"/>
    <n v="0"/>
    <n v="2"/>
    <n v="3"/>
    <n v="1"/>
    <n v="1"/>
    <n v="0"/>
    <n v="36"/>
    <n v="5"/>
    <n v="2"/>
    <n v="4"/>
    <n v="2602"/>
    <n v="1490"/>
    <n v="1112"/>
    <n v="0.66"/>
    <n v="3151"/>
    <n v="78"/>
    <n v="0.66"/>
    <n v="0.57299999999999995"/>
    <n v="3.1745999999999999E-4"/>
    <n v="0.99968000000000001"/>
    <s v="9.581949885202445"/>
    <s v="9.798763980399109"/>
    <s v="87.12865362954638"/>
    <s v="13.667114701790998"/>
    <n v="716420358"/>
    <x v="0"/>
    <n v="3.2101269999999999E-4"/>
    <x v="0"/>
  </r>
  <r>
    <n v="52"/>
    <n v="1"/>
    <n v="1"/>
    <n v="2"/>
    <n v="1"/>
    <n v="3"/>
    <n v="0"/>
    <n v="43"/>
    <n v="3"/>
    <n v="1"/>
    <n v="4"/>
    <n v="3710"/>
    <n v="2517"/>
    <n v="1193"/>
    <n v="1.5409999999999999"/>
    <n v="1578"/>
    <n v="34"/>
    <n v="0.7"/>
    <n v="0.67800000000000005"/>
    <n v="1.4834000000000001E-4"/>
    <n v="0.99985000000000002"/>
    <s v="4.886906440004948"/>
    <s v="7.240706474897655"/>
    <s v="20.171025001872238"/>
    <s v="17.37969569839205"/>
    <n v="713356833"/>
    <x v="0"/>
    <n v="1.1048665000000001E-3"/>
    <x v="0"/>
  </r>
  <r>
    <n v="58"/>
    <n v="0"/>
    <n v="2"/>
    <n v="3"/>
    <n v="2"/>
    <n v="4"/>
    <n v="0"/>
    <n v="50"/>
    <n v="4"/>
    <n v="3"/>
    <n v="4"/>
    <n v="1438.3"/>
    <n v="818"/>
    <n v="620.29999999999995"/>
    <n v="0.91700000000000004"/>
    <n v="4196"/>
    <n v="71"/>
    <n v="1.0880000000000001"/>
    <n v="0.56899999999999995"/>
    <n v="5.0162999999999998E-4"/>
    <n v="0.99950000000000006"/>
    <s v="17.336058859737534"/>
    <s v="6.194513525931106"/>
    <s v="71.77367228217179"/>
    <s v="1.1800245898575472"/>
    <n v="713184858"/>
    <x v="0"/>
    <n v="5.1208410000000003E-4"/>
    <x v="0"/>
  </r>
  <r>
    <n v="60"/>
    <n v="1"/>
    <n v="1"/>
    <n v="5"/>
    <n v="1"/>
    <n v="1"/>
    <n v="0"/>
    <n v="47"/>
    <n v="6"/>
    <n v="1"/>
    <n v="5"/>
    <n v="3735"/>
    <n v="1175"/>
    <n v="2560"/>
    <n v="1.036"/>
    <n v="8193"/>
    <n v="66"/>
    <n v="0.65"/>
    <n v="0.315"/>
    <n v="0.99622999999999995"/>
    <n v="3.7738200000000002E-3"/>
    <s v="17.20229678819768"/>
    <s v="22.393366078583693"/>
    <s v="17.27320264566898"/>
    <s v="16.36866550520415"/>
    <n v="715610733"/>
    <x v="1"/>
    <n v="0.98210805999999995"/>
    <x v="1"/>
  </r>
  <r>
    <n v="38"/>
    <n v="0"/>
    <n v="4"/>
    <n v="2"/>
    <n v="1"/>
    <n v="4"/>
    <n v="0"/>
    <n v="30"/>
    <n v="3"/>
    <n v="1"/>
    <n v="2"/>
    <n v="5951"/>
    <n v="1702"/>
    <n v="4249"/>
    <n v="1.264"/>
    <n v="2565"/>
    <n v="53"/>
    <n v="0.71"/>
    <n v="0.28599999999999998"/>
    <s v="5.7762e-05"/>
    <n v="0.99994000000000005"/>
    <s v="9.838868199509346"/>
    <s v="38.30612210808611"/>
    <s v="75.31236195140306"/>
    <n v="0.93385922818537404"/>
    <n v="718227033"/>
    <x v="0"/>
    <n v="7.5083750000000003E-4"/>
    <x v="0"/>
  </r>
  <r>
    <n v="52"/>
    <n v="1"/>
    <n v="0"/>
    <n v="0"/>
    <n v="1"/>
    <n v="0"/>
    <n v="1"/>
    <n v="47"/>
    <n v="2"/>
    <n v="1"/>
    <n v="1"/>
    <n v="34516"/>
    <n v="1464"/>
    <n v="33052"/>
    <n v="0.68899999999999995"/>
    <n v="7690"/>
    <n v="87"/>
    <n v="0.67300000000000004"/>
    <n v="4.2000000000000003E-2"/>
    <s v="3.1925e-05"/>
    <n v="0.99997000000000003"/>
    <s v="16.42981116994531"/>
    <s v="34.00801033008942"/>
    <s v="22.069743579755407"/>
    <s v="1.0885427064949216"/>
    <n v="820394733"/>
    <x v="0"/>
    <n v="4.1022256E-4"/>
    <x v="0"/>
  </r>
  <r>
    <n v="47"/>
    <n v="0"/>
    <n v="2"/>
    <n v="5"/>
    <n v="1"/>
    <n v="5"/>
    <n v="0"/>
    <n v="35"/>
    <n v="2"/>
    <n v="1"/>
    <n v="1"/>
    <n v="15155"/>
    <n v="1287"/>
    <n v="13868"/>
    <n v="0.86799999999999999"/>
    <n v="7724"/>
    <n v="79"/>
    <n v="0.57999999999999996"/>
    <n v="8.5000000000000006E-2"/>
    <s v="3.415e-05"/>
    <n v="0.99997000000000003"/>
    <s v="10.250231182263695"/>
    <s v="4.1101539319518325"/>
    <s v="23.81802736593964"/>
    <s v="1.3503086859860327"/>
    <n v="787496733"/>
    <x v="0"/>
    <n v="5.3257490000000005E-4"/>
    <x v="0"/>
  </r>
  <r>
    <n v="53"/>
    <n v="1"/>
    <n v="1"/>
    <n v="3"/>
    <n v="2"/>
    <n v="4"/>
    <n v="0"/>
    <n v="36"/>
    <n v="3"/>
    <n v="3"/>
    <n v="3"/>
    <n v="8979"/>
    <n v="1289"/>
    <n v="7690"/>
    <n v="0.65100000000000002"/>
    <n v="7422"/>
    <n v="87"/>
    <n v="0.67300000000000004"/>
    <n v="0.14399999999999999"/>
    <n v="2.7604000000000002E-4"/>
    <n v="0.99972000000000005"/>
    <s v="35.74085878506071"/>
    <s v="23.61034851994625"/>
    <s v="136.93227639715448"/>
    <s v="25.349460367213645"/>
    <n v="713299758"/>
    <x v="0"/>
    <n v="3.6856539999999998E-4"/>
    <x v="0"/>
  </r>
  <r>
    <n v="43"/>
    <n v="1"/>
    <n v="1"/>
    <n v="2"/>
    <n v="1"/>
    <n v="3"/>
    <n v="0"/>
    <n v="37"/>
    <n v="4"/>
    <n v="2"/>
    <n v="3"/>
    <n v="25517"/>
    <n v="321"/>
    <n v="25196"/>
    <n v="0.76900000000000002"/>
    <n v="2508"/>
    <n v="44"/>
    <n v="0.29399999999999998"/>
    <n v="1.2999999999999999E-2"/>
    <n v="0.99446999999999997"/>
    <n v="5.5300000000000002E-3"/>
    <s v="27.23364535659257"/>
    <s v="17.684280529519302"/>
    <s v="3.847858631743482"/>
    <s v="24.772086071700144"/>
    <n v="798022683"/>
    <x v="1"/>
    <n v="0.99873226999999998"/>
    <x v="1"/>
  </r>
  <r>
    <n v="50"/>
    <n v="0"/>
    <n v="1"/>
    <n v="3"/>
    <n v="1"/>
    <n v="4"/>
    <n v="0"/>
    <n v="45"/>
    <n v="5"/>
    <n v="3"/>
    <n v="4"/>
    <n v="1652"/>
    <n v="1318"/>
    <n v="334"/>
    <n v="0.59299999999999997"/>
    <n v="4533"/>
    <n v="69"/>
    <n v="0.53300000000000003"/>
    <n v="0.79800000000000004"/>
    <n v="4.7085999999999997E-4"/>
    <n v="0.99953000000000003"/>
    <s v="19.726587739043804"/>
    <s v="31.02489622644889"/>
    <n v="8.7176991738833607"/>
    <s v="7.646392784223837"/>
    <n v="714680208"/>
    <x v="0"/>
    <n v="3.2914013999999999E-4"/>
    <x v="0"/>
  </r>
  <r>
    <n v="41"/>
    <n v="1"/>
    <n v="4"/>
    <n v="0"/>
    <n v="1"/>
    <n v="3"/>
    <n v="0"/>
    <n v="22"/>
    <n v="1"/>
    <n v="2"/>
    <n v="3"/>
    <n v="5037"/>
    <n v="1670"/>
    <n v="3367"/>
    <n v="0.78700000000000003"/>
    <n v="4379"/>
    <n v="67"/>
    <n v="0.81100000000000005"/>
    <n v="0.33200000000000002"/>
    <n v="1.9519000000000001E-4"/>
    <n v="0.99980000000000002"/>
    <s v="24.965193202262203"/>
    <s v="42.295195545858654"/>
    <s v="58.51049535627287"/>
    <s v="4.844251554692457"/>
    <n v="720236433"/>
    <x v="0"/>
    <n v="3.2101269999999999E-4"/>
    <x v="0"/>
  </r>
  <r>
    <n v="50"/>
    <n v="1"/>
    <n v="0"/>
    <n v="5"/>
    <n v="1"/>
    <n v="2"/>
    <n v="0"/>
    <n v="46"/>
    <n v="4"/>
    <n v="1"/>
    <n v="3"/>
    <n v="3640"/>
    <n v="659"/>
    <n v="2981"/>
    <n v="0.93799999999999994"/>
    <n v="3756"/>
    <n v="70"/>
    <n v="0.84199999999999997"/>
    <n v="0.18099999999999999"/>
    <s v="8.1736e-05"/>
    <n v="0.99992000000000003"/>
    <s v="27.27982886653245"/>
    <s v="77.52720599856046"/>
    <s v="8.155922850649743"/>
    <n v="8.1849961153301702"/>
    <n v="828288333"/>
    <x v="0"/>
    <n v="5.7288585000000005E-4"/>
    <x v="0"/>
  </r>
  <r>
    <n v="35"/>
    <n v="1"/>
    <n v="3"/>
    <n v="2"/>
    <n v="1"/>
    <n v="2"/>
    <n v="0"/>
    <n v="36"/>
    <n v="4"/>
    <n v="1"/>
    <n v="4"/>
    <n v="19671"/>
    <n v="924"/>
    <n v="18747"/>
    <n v="0.82"/>
    <n v="13908"/>
    <n v="124"/>
    <n v="0.67600000000000005"/>
    <n v="4.7E-2"/>
    <n v="1.6399000000000001E-4"/>
    <n v="0.99983999999999995"/>
    <s v="3.5836326283418383"/>
    <s v="8.732412809147307"/>
    <s v="21.126686436962736"/>
    <s v="3.569074076665953"/>
    <n v="708245808"/>
    <x v="0"/>
    <n v="4.9252170000000002E-4"/>
    <x v="0"/>
  </r>
  <r>
    <n v="54"/>
    <n v="1"/>
    <n v="3"/>
    <n v="5"/>
    <n v="1"/>
    <n v="4"/>
    <n v="0"/>
    <n v="36"/>
    <n v="3"/>
    <n v="3"/>
    <n v="2"/>
    <n v="1556"/>
    <n v="1278"/>
    <n v="278"/>
    <n v="0.46"/>
    <n v="1615"/>
    <n v="35"/>
    <n v="0.59099999999999997"/>
    <n v="0.82099999999999995"/>
    <n v="1.9191E-4"/>
    <n v="0.99980999999999998"/>
    <s v="19.902186185319863"/>
    <s v="13.247625092468992"/>
    <s v="62.42046728757647"/>
    <s v="1.351747233285828"/>
    <n v="709121283"/>
    <x v="0"/>
    <n v="1.0903810999999999E-3"/>
    <x v="0"/>
  </r>
  <r>
    <n v="42"/>
    <n v="1"/>
    <n v="2"/>
    <n v="4"/>
    <n v="1"/>
    <n v="2"/>
    <n v="0"/>
    <n v="27"/>
    <n v="2"/>
    <n v="2"/>
    <n v="2"/>
    <n v="2476"/>
    <n v="2250"/>
    <n v="226"/>
    <n v="0.96899999999999997"/>
    <n v="4659"/>
    <n v="48"/>
    <n v="0.6"/>
    <n v="0.90900000000000003"/>
    <n v="0.99258999999999997"/>
    <n v="7.4099999999999999E-3"/>
    <s v="13.371988053267875"/>
    <s v="7.199903381203913"/>
    <s v="92.89378562632812"/>
    <s v="4.165739539008286"/>
    <n v="720962208"/>
    <x v="1"/>
    <n v="0.99491704000000003"/>
    <x v="1"/>
  </r>
  <r>
    <n v="49"/>
    <n v="1"/>
    <n v="4"/>
    <n v="2"/>
    <n v="2"/>
    <n v="1"/>
    <n v="0"/>
    <n v="42"/>
    <n v="3"/>
    <n v="3"/>
    <n v="2"/>
    <n v="2822"/>
    <n v="1501"/>
    <n v="1321"/>
    <n v="1.0429999999999999"/>
    <n v="4344"/>
    <n v="68"/>
    <n v="1.194"/>
    <n v="0.53200000000000003"/>
    <n v="1.8864000000000001E-4"/>
    <n v="0.99980999999999998"/>
    <s v="12.368358687597835"/>
    <n v="4.8509836618229896"/>
    <n v="9.3621661161704708"/>
    <s v="15.380352406255016"/>
    <n v="747208083"/>
    <x v="0"/>
    <n v="3.221314E-4"/>
    <x v="0"/>
  </r>
  <r>
    <n v="45"/>
    <n v="0"/>
    <n v="3"/>
    <n v="2"/>
    <n v="1"/>
    <n v="1"/>
    <n v="0"/>
    <n v="38"/>
    <n v="3"/>
    <n v="6"/>
    <n v="1"/>
    <n v="4195"/>
    <n v="2440"/>
    <n v="1755"/>
    <n v="0.88900000000000001"/>
    <n v="4430"/>
    <n v="72"/>
    <n v="0.71399999999999997"/>
    <n v="0.58199999999999996"/>
    <s v="8.8856e-05"/>
    <n v="0.99990999999999997"/>
    <s v="2.490928525175069"/>
    <s v="26.312678388467297"/>
    <s v="12.077831813015848"/>
    <s v="20.404528640859752"/>
    <n v="766550808"/>
    <x v="0"/>
    <n v="3.221314E-4"/>
    <x v="0"/>
  </r>
  <r>
    <n v="47"/>
    <n v="0"/>
    <n v="4"/>
    <n v="5"/>
    <n v="1"/>
    <n v="1"/>
    <n v="0"/>
    <n v="36"/>
    <n v="2"/>
    <n v="1"/>
    <n v="1"/>
    <n v="2155"/>
    <n v="1119"/>
    <n v="1036"/>
    <n v="0.81499999999999995"/>
    <n v="5441"/>
    <n v="91"/>
    <n v="0.71699999999999997"/>
    <n v="0.51900000000000002"/>
    <s v="3.5816e-05"/>
    <n v="0.99995999999999996"/>
    <s v="26.344310333646284"/>
    <s v="41.549768649406296"/>
    <s v="0.5581768746422153"/>
    <n v="8.7428127251262993"/>
    <n v="711516783"/>
    <x v="0"/>
    <n v="3.6856539999999998E-4"/>
    <x v="0"/>
  </r>
  <r>
    <n v="47"/>
    <n v="0"/>
    <n v="4"/>
    <n v="4"/>
    <n v="2"/>
    <n v="5"/>
    <n v="0"/>
    <n v="36"/>
    <n v="6"/>
    <n v="1"/>
    <n v="0"/>
    <n v="3054"/>
    <n v="1862"/>
    <n v="1192"/>
    <n v="0.58899999999999997"/>
    <n v="3543"/>
    <n v="87"/>
    <n v="0.81200000000000006"/>
    <n v="0.61"/>
    <s v="2.5071e-05"/>
    <n v="0.99997000000000003"/>
    <s v="7.145232215095783"/>
    <s v="98.13766259779312"/>
    <s v="104.62017095650772"/>
    <n v="9.8155582643563406"/>
    <n v="721027083"/>
    <x v="0"/>
    <n v="3.2101269999999999E-4"/>
    <x v="0"/>
  </r>
  <r>
    <n v="36"/>
    <n v="0"/>
    <n v="2"/>
    <n v="0"/>
    <n v="1"/>
    <n v="4"/>
    <n v="0"/>
    <n v="17"/>
    <n v="5"/>
    <n v="2"/>
    <n v="2"/>
    <n v="1971"/>
    <n v="0"/>
    <n v="1971"/>
    <n v="0.61299999999999999"/>
    <n v="4979"/>
    <n v="77"/>
    <n v="0.57099999999999995"/>
    <n v="0"/>
    <n v="1.1066E-4"/>
    <n v="0.99988999999999995"/>
    <s v="24.28161670892881"/>
    <s v="21.61033544017058"/>
    <s v="77.57056654203244"/>
    <s v="10.546216880065543"/>
    <n v="779072733"/>
    <x v="0"/>
    <n v="7.387203E-4"/>
    <x v="0"/>
  </r>
  <r>
    <n v="38"/>
    <n v="0"/>
    <n v="0"/>
    <n v="3"/>
    <n v="2"/>
    <n v="4"/>
    <n v="0"/>
    <n v="22"/>
    <n v="3"/>
    <n v="2"/>
    <n v="5"/>
    <n v="1556"/>
    <n v="0"/>
    <n v="1556"/>
    <n v="0.69"/>
    <n v="2283"/>
    <n v="46"/>
    <n v="0.58599999999999997"/>
    <n v="0"/>
    <n v="0.99787999999999999"/>
    <n v="2.11605E-3"/>
    <s v="18.682341392081675"/>
    <s v="12.375932499089128"/>
    <s v="25.38629108454497"/>
    <s v="10.083564159672353"/>
    <n v="780038058"/>
    <x v="1"/>
    <n v="0.99804663999999998"/>
    <x v="1"/>
  </r>
  <r>
    <n v="44"/>
    <n v="0"/>
    <n v="2"/>
    <n v="5"/>
    <n v="2"/>
    <n v="4"/>
    <n v="0"/>
    <n v="37"/>
    <n v="5"/>
    <n v="2"/>
    <n v="3"/>
    <n v="2568"/>
    <n v="1875"/>
    <n v="693"/>
    <n v="0.57799999999999996"/>
    <n v="4254"/>
    <n v="85"/>
    <n v="0.73499999999999999"/>
    <n v="0.73"/>
    <n v="1.9683E-4"/>
    <n v="0.99980000000000002"/>
    <s v="17.020758245345835"/>
    <s v="19.01305521970016"/>
    <s v="144.90491403344106"/>
    <s v="7.239647156209942"/>
    <n v="787655058"/>
    <x v="0"/>
    <n v="3.2101269999999999E-4"/>
    <x v="0"/>
  </r>
  <r>
    <n v="49"/>
    <n v="1"/>
    <n v="2"/>
    <n v="6"/>
    <n v="1"/>
    <n v="2"/>
    <n v="0"/>
    <n v="36"/>
    <n v="2"/>
    <n v="1"/>
    <n v="2"/>
    <n v="6224"/>
    <n v="1329"/>
    <n v="4895"/>
    <n v="0.74"/>
    <n v="14238"/>
    <n v="93"/>
    <n v="0.755"/>
    <n v="0.214"/>
    <s v="6.054e-05"/>
    <n v="0.99994000000000005"/>
    <s v="6.203196233731506"/>
    <n v="51.152332843625103"/>
    <s v="132.72141090215916"/>
    <s v="3.1488242634544146"/>
    <n v="716159958"/>
    <x v="0"/>
    <n v="3.4656386999999997E-4"/>
    <x v="0"/>
  </r>
  <r>
    <n v="50"/>
    <n v="0"/>
    <n v="1"/>
    <n v="4"/>
    <n v="2"/>
    <n v="1"/>
    <n v="0"/>
    <n v="46"/>
    <n v="1"/>
    <n v="3"/>
    <n v="3"/>
    <n v="1493"/>
    <n v="932"/>
    <n v="561"/>
    <n v="0.46600000000000003"/>
    <n v="1554"/>
    <n v="43"/>
    <n v="0.34399999999999997"/>
    <n v="0.624"/>
    <n v="0.99702000000000002"/>
    <n v="2.98315E-3"/>
    <s v="16.713539943344436"/>
    <s v="6.105041462008602"/>
    <s v="34.292383937736055"/>
    <s v="18.97925036215469"/>
    <n v="821179233"/>
    <x v="1"/>
    <n v="0.99658835000000001"/>
    <x v="1"/>
  </r>
  <r>
    <n v="37"/>
    <n v="0"/>
    <n v="3"/>
    <n v="6"/>
    <n v="1"/>
    <n v="4"/>
    <n v="0"/>
    <n v="17"/>
    <n v="3"/>
    <n v="1"/>
    <n v="3"/>
    <n v="1468"/>
    <n v="1074"/>
    <n v="394"/>
    <n v="0.69699999999999995"/>
    <n v="2050"/>
    <n v="32"/>
    <n v="0.52400000000000002"/>
    <n v="0.73199999999999998"/>
    <n v="0.99063000000000001"/>
    <n v="9.3699999999999999E-3"/>
    <s v="15.199516757528732"/>
    <n v="22.426805053373801"/>
    <s v="46.871456003199896"/>
    <s v="0.4505747888670145"/>
    <n v="711918033"/>
    <x v="1"/>
    <n v="0.9953784"/>
    <x v="1"/>
  </r>
  <r>
    <n v="56"/>
    <n v="0"/>
    <n v="1"/>
    <n v="3"/>
    <n v="2"/>
    <n v="4"/>
    <n v="0"/>
    <n v="43"/>
    <n v="3"/>
    <n v="2"/>
    <n v="2"/>
    <n v="2923"/>
    <n v="1934"/>
    <n v="989"/>
    <n v="0.57699999999999996"/>
    <n v="3861"/>
    <n v="68"/>
    <n v="0.7"/>
    <n v="0.66200000000000003"/>
    <n v="1.0386E-4"/>
    <n v="0.99990000000000001"/>
    <s v="14.573494737688074"/>
    <s v="7.220320986221949"/>
    <s v="21.581154611781358"/>
    <s v="1.722828628136838"/>
    <n v="710748483"/>
    <x v="0"/>
    <n v="3.2101269999999999E-4"/>
    <x v="0"/>
  </r>
  <r>
    <n v="46"/>
    <n v="1"/>
    <n v="3"/>
    <n v="2"/>
    <n v="1"/>
    <n v="3"/>
    <n v="0"/>
    <n v="31"/>
    <n v="5"/>
    <n v="2"/>
    <n v="4"/>
    <n v="26303"/>
    <n v="2376"/>
    <n v="23927"/>
    <n v="0.58299999999999996"/>
    <n v="3586"/>
    <n v="67"/>
    <n v="0.91400000000000003"/>
    <n v="0.09"/>
    <n v="3.3886000000000002E-4"/>
    <n v="0.99965999999999999"/>
    <s v="12.909200746727496"/>
    <s v="99.14277452345227"/>
    <s v="124.20364574756196"/>
    <s v="7.268676474849428"/>
    <n v="780100533"/>
    <x v="0"/>
    <n v="3.3022385E-4"/>
    <x v="0"/>
  </r>
  <r>
    <n v="49"/>
    <n v="1"/>
    <n v="1"/>
    <n v="2"/>
    <n v="2"/>
    <n v="0"/>
    <n v="0"/>
    <n v="36"/>
    <n v="3"/>
    <n v="4"/>
    <n v="3"/>
    <n v="8136"/>
    <n v="2517"/>
    <n v="5619"/>
    <n v="0.67400000000000004"/>
    <n v="2179"/>
    <n v="40"/>
    <n v="0.42899999999999999"/>
    <n v="0.309"/>
    <n v="0.99709999999999999"/>
    <n v="2.90471E-3"/>
    <s v="38.42395766308988"/>
    <s v="4.921634400411658"/>
    <s v="32.565736665798106"/>
    <s v="13.835477119166256"/>
    <n v="712656783"/>
    <x v="1"/>
    <n v="0.99596244"/>
    <x v="1"/>
  </r>
  <r>
    <n v="39"/>
    <n v="0"/>
    <n v="1"/>
    <n v="6"/>
    <n v="1"/>
    <n v="1"/>
    <n v="0"/>
    <n v="36"/>
    <n v="3"/>
    <n v="1"/>
    <n v="1"/>
    <n v="1637"/>
    <n v="0"/>
    <n v="1637"/>
    <n v="0.88900000000000001"/>
    <n v="4800"/>
    <n v="70"/>
    <n v="0.79500000000000004"/>
    <n v="0"/>
    <s v="3.4268e-05"/>
    <n v="0.99997000000000003"/>
    <s v="13.009842708959004"/>
    <s v="38.11232644445949"/>
    <s v="66.16558457143086"/>
    <s v="8.894817172289464"/>
    <n v="709665783"/>
    <x v="0"/>
    <n v="7.6884776000000002E-4"/>
    <x v="0"/>
  </r>
  <r>
    <n v="54"/>
    <n v="0"/>
    <n v="1"/>
    <n v="2"/>
    <n v="2"/>
    <n v="5"/>
    <n v="0"/>
    <n v="41"/>
    <n v="3"/>
    <n v="3"/>
    <n v="3"/>
    <n v="1874"/>
    <n v="0"/>
    <n v="1874"/>
    <n v="0.80600000000000005"/>
    <n v="2535"/>
    <n v="55"/>
    <n v="0.61799999999999999"/>
    <n v="0"/>
    <n v="0.99648999999999999"/>
    <n v="3.5083800000000002E-3"/>
    <s v="29.896983543944582"/>
    <s v="78.60755777724725"/>
    <s v="34.76419283234703"/>
    <s v="11.378251350633503"/>
    <n v="720719883"/>
    <x v="1"/>
    <n v="0.99657320000000005"/>
    <x v="1"/>
  </r>
  <r>
    <n v="40"/>
    <n v="1"/>
    <n v="3"/>
    <n v="0"/>
    <n v="3"/>
    <n v="1"/>
    <n v="0"/>
    <n v="30"/>
    <n v="2"/>
    <n v="2"/>
    <n v="2"/>
    <n v="4802"/>
    <n v="1701"/>
    <n v="3101"/>
    <n v="0.53200000000000003"/>
    <n v="4821"/>
    <n v="66"/>
    <n v="0.65"/>
    <n v="0.35399999999999998"/>
    <n v="1.1483E-4"/>
    <n v="0.99988999999999995"/>
    <s v="25.68087290065945"/>
    <s v="59.892038850046895"/>
    <s v="26.282684935028463"/>
    <s v="3.608428244601012"/>
    <n v="718488783"/>
    <x v="0"/>
    <n v="3.2101269999999999E-4"/>
    <x v="0"/>
  </r>
  <r>
    <n v="49"/>
    <n v="1"/>
    <n v="3"/>
    <n v="5"/>
    <n v="2"/>
    <n v="3"/>
    <n v="0"/>
    <n v="41"/>
    <n v="3"/>
    <n v="3"/>
    <n v="4"/>
    <n v="2930"/>
    <n v="1901"/>
    <n v="1029"/>
    <n v="0.63800000000000001"/>
    <n v="4041"/>
    <n v="75"/>
    <n v="0.59599999999999997"/>
    <n v="0.64900000000000002"/>
    <n v="5.5051999999999998E-4"/>
    <n v="0.99944999999999995"/>
    <s v="7.442688799208785"/>
    <s v="29.98163592145214"/>
    <n v="96.994163879020206"/>
    <s v="18.84086924240315"/>
    <n v="712428333"/>
    <x v="0"/>
    <n v="3.2914013999999999E-4"/>
    <x v="0"/>
  </r>
  <r>
    <n v="49"/>
    <n v="1"/>
    <n v="3"/>
    <n v="2"/>
    <n v="2"/>
    <n v="3"/>
    <n v="0"/>
    <n v="36"/>
    <n v="2"/>
    <n v="3"/>
    <n v="1"/>
    <n v="4557"/>
    <n v="985"/>
    <n v="3572"/>
    <n v="0.59199999999999997"/>
    <n v="7333"/>
    <n v="91"/>
    <n v="0.59599999999999997"/>
    <n v="0.216"/>
    <n v="1.1256000000000001E-4"/>
    <n v="0.99988999999999995"/>
    <s v="4.870657511755283"/>
    <s v="3.294548846866136"/>
    <s v="62.74399445287048"/>
    <s v="26.536942043607343"/>
    <n v="780545133"/>
    <x v="0"/>
    <n v="4.2788283000000002E-4"/>
    <x v="0"/>
  </r>
  <r>
    <n v="48"/>
    <n v="1"/>
    <n v="4"/>
    <n v="5"/>
    <n v="1"/>
    <n v="3"/>
    <n v="0"/>
    <n v="37"/>
    <n v="5"/>
    <n v="6"/>
    <n v="3"/>
    <n v="30948"/>
    <n v="2404"/>
    <n v="28544"/>
    <n v="0.60899999999999999"/>
    <n v="1511"/>
    <n v="35"/>
    <n v="0.20699999999999999"/>
    <n v="7.8E-2"/>
    <n v="2.5751000000000002E-4"/>
    <n v="0.99973999999999996"/>
    <s v="8.373950007525206"/>
    <s v="31.53333509637549"/>
    <n v="4.0650984334303404"/>
    <s v="19.934303898131837"/>
    <n v="711668283"/>
    <x v="0"/>
    <n v="1.2999559999999999E-3"/>
    <x v="0"/>
  </r>
  <r>
    <n v="40"/>
    <n v="1"/>
    <n v="3"/>
    <n v="2"/>
    <n v="2"/>
    <n v="1"/>
    <n v="0"/>
    <n v="27"/>
    <n v="2"/>
    <n v="2"/>
    <n v="3"/>
    <n v="7680"/>
    <n v="1589"/>
    <n v="6091"/>
    <n v="0.68799999999999994"/>
    <n v="13617"/>
    <n v="105"/>
    <n v="0.72099999999999997"/>
    <n v="0.20699999999999999"/>
    <n v="1.9864000000000001E-4"/>
    <n v="0.99980000000000002"/>
    <s v="0.8326726262164323"/>
    <s v="78.08843054327728"/>
    <s v="49.91186025510265"/>
    <s v="22.336811391055992"/>
    <n v="719913783"/>
    <x v="0"/>
    <n v="3.4656386999999997E-4"/>
    <x v="0"/>
  </r>
  <r>
    <n v="45"/>
    <n v="0"/>
    <n v="3"/>
    <n v="2"/>
    <n v="1"/>
    <n v="5"/>
    <n v="0"/>
    <n v="36"/>
    <n v="5"/>
    <n v="2"/>
    <n v="3"/>
    <n v="18432"/>
    <n v="484"/>
    <n v="17948"/>
    <n v="0.55700000000000005"/>
    <n v="2300"/>
    <n v="45"/>
    <n v="0.55200000000000005"/>
    <n v="2.5999999999999999E-2"/>
    <n v="0.99499000000000004"/>
    <n v="5.0099999999999997E-3"/>
    <s v="31.122214626543297"/>
    <s v="75.53839066408068"/>
    <s v="39.82360516782264"/>
    <s v="0.9818215455979098"/>
    <n v="716127333"/>
    <x v="1"/>
    <n v="0.99873226999999998"/>
    <x v="1"/>
  </r>
  <r>
    <n v="46"/>
    <n v="0"/>
    <n v="3"/>
    <n v="2"/>
    <n v="2"/>
    <n v="1"/>
    <n v="0"/>
    <n v="41"/>
    <n v="5"/>
    <n v="2"/>
    <n v="4"/>
    <n v="7457"/>
    <n v="0"/>
    <n v="7457"/>
    <n v="0.71699999999999997"/>
    <n v="3162"/>
    <n v="64"/>
    <n v="0.73"/>
    <n v="0"/>
    <n v="3.3886000000000002E-4"/>
    <n v="0.99965999999999999"/>
    <s v="16.76598628288498"/>
    <s v="3.937412000651313"/>
    <s v="86.24509865660018"/>
    <s v="6.234231846817849"/>
    <n v="820651908"/>
    <x v="0"/>
    <n v="7.8814493999999999E-4"/>
    <x v="0"/>
  </r>
  <r>
    <n v="39"/>
    <n v="1"/>
    <n v="3"/>
    <n v="0"/>
    <n v="2"/>
    <n v="1"/>
    <n v="0"/>
    <n v="28"/>
    <n v="6"/>
    <n v="2"/>
    <n v="2"/>
    <n v="1640"/>
    <n v="1177"/>
    <n v="463"/>
    <n v="0.69499999999999995"/>
    <n v="3124"/>
    <n v="66"/>
    <n v="0.78400000000000003"/>
    <n v="0.71799999999999997"/>
    <n v="1.1483E-4"/>
    <n v="0.99988999999999995"/>
    <s v="2.228436723394513"/>
    <s v="21.30109942076147"/>
    <s v="47.42400009960849"/>
    <s v="9.154564457891768"/>
    <n v="713574708"/>
    <x v="0"/>
    <n v="3.4921730000000002E-4"/>
    <x v="0"/>
  </r>
  <r>
    <n v="44"/>
    <n v="1"/>
    <n v="4"/>
    <n v="2"/>
    <n v="2"/>
    <n v="3"/>
    <n v="0"/>
    <n v="37"/>
    <n v="3"/>
    <n v="3"/>
    <n v="1"/>
    <n v="14388"/>
    <n v="2517"/>
    <n v="11871"/>
    <n v="0.70899999999999996"/>
    <n v="7042"/>
    <n v="85"/>
    <n v="0.63500000000000001"/>
    <n v="0.17499999999999999"/>
    <n v="1.1377E-4"/>
    <n v="0.99988999999999995"/>
    <n v="36.265649152025603"/>
    <s v="27.616353177581907"/>
    <s v="99.61735247894175"/>
    <n v="8.9564822777059305"/>
    <n v="720849708"/>
    <x v="0"/>
    <n v="4.0839396999999998E-4"/>
    <x v="0"/>
  </r>
  <r>
    <n v="38"/>
    <n v="0"/>
    <n v="1"/>
    <n v="5"/>
    <n v="2"/>
    <n v="4"/>
    <n v="0"/>
    <n v="27"/>
    <n v="6"/>
    <n v="3"/>
    <n v="4"/>
    <n v="8638"/>
    <n v="0"/>
    <n v="8638"/>
    <n v="0.48899999999999999"/>
    <n v="1295"/>
    <n v="29"/>
    <n v="0.38100000000000001"/>
    <n v="0"/>
    <n v="4.9799999999999996E-4"/>
    <n v="0.99950000000000006"/>
    <n v="5.0328310989345297"/>
    <s v="15.316571870965332"/>
    <s v="11.771355459872726"/>
    <s v="27.27009641467661"/>
    <n v="713693958"/>
    <x v="0"/>
    <n v="4.459518E-3"/>
    <x v="0"/>
  </r>
  <r>
    <n v="42"/>
    <n v="0"/>
    <n v="2"/>
    <n v="2"/>
    <n v="1"/>
    <n v="4"/>
    <n v="0"/>
    <n v="36"/>
    <n v="2"/>
    <n v="3"/>
    <n v="3"/>
    <n v="1438.3"/>
    <n v="0"/>
    <n v="1438.3"/>
    <n v="0.66300000000000003"/>
    <n v="2418"/>
    <n v="48"/>
    <n v="0.77800000000000002"/>
    <n v="0"/>
    <n v="0.99670999999999998"/>
    <n v="3.29379E-3"/>
    <n v="2.9016541875744899"/>
    <s v="74.33181837918401"/>
    <s v="18.443468487062734"/>
    <s v="7.409818513186128"/>
    <n v="719860308"/>
    <x v="1"/>
    <n v="0.9985098"/>
    <x v="1"/>
  </r>
  <r>
    <n v="36"/>
    <n v="1"/>
    <n v="1"/>
    <n v="5"/>
    <n v="1"/>
    <n v="2"/>
    <n v="0"/>
    <n v="19"/>
    <n v="6"/>
    <n v="3"/>
    <n v="5"/>
    <n v="9764"/>
    <n v="0"/>
    <n v="9764"/>
    <n v="0.68899999999999995"/>
    <n v="15097"/>
    <n v="115"/>
    <n v="0.79700000000000004"/>
    <n v="0"/>
    <n v="8.6149000000000002E-4"/>
    <n v="0.99914000000000003"/>
    <s v="25.114948806755425"/>
    <n v="87.450349548309106"/>
    <s v="35.21770662450495"/>
    <s v="7.4271605664168465"/>
    <n v="779692608"/>
    <x v="0"/>
    <n v="5.6555665999999997E-2"/>
    <x v="0"/>
  </r>
  <r>
    <n v="59"/>
    <n v="0"/>
    <n v="2"/>
    <n v="6"/>
    <n v="2"/>
    <n v="5"/>
    <n v="0"/>
    <n v="46"/>
    <n v="2"/>
    <n v="3"/>
    <n v="2"/>
    <n v="23731"/>
    <n v="1890"/>
    <n v="21841"/>
    <n v="0.67700000000000005"/>
    <n v="13647"/>
    <n v="93"/>
    <n v="0.57599999999999996"/>
    <n v="0.08"/>
    <n v="1.9771E-4"/>
    <n v="0.99980000000000002"/>
    <s v="48.47676540871039"/>
    <n v="50.084814611382399"/>
    <s v="10.672426301786292"/>
    <s v="8.278037303780172"/>
    <n v="712337208"/>
    <x v="0"/>
    <n v="3.7509174E-4"/>
    <x v="0"/>
  </r>
  <r>
    <n v="43"/>
    <n v="1"/>
    <n v="5"/>
    <n v="5"/>
    <n v="1"/>
    <n v="2"/>
    <n v="0"/>
    <n v="36"/>
    <n v="6"/>
    <n v="2"/>
    <n v="4"/>
    <n v="2621"/>
    <n v="598"/>
    <n v="2023"/>
    <n v="0.96699999999999997"/>
    <n v="4852"/>
    <n v="85"/>
    <n v="0.77100000000000002"/>
    <n v="0.22800000000000001"/>
    <n v="3.4664E-4"/>
    <n v="0.99965000000000004"/>
    <s v="5.716567850035014"/>
    <s v="20.18190889444522"/>
    <s v="72.44581642867998"/>
    <s v="2.4724569078877945"/>
    <n v="767256933"/>
    <x v="0"/>
    <n v="5.7810993000000001E-4"/>
    <x v="0"/>
  </r>
  <r>
    <n v="50"/>
    <n v="0"/>
    <n v="0"/>
    <n v="3"/>
    <n v="2"/>
    <n v="1"/>
    <n v="0"/>
    <n v="39"/>
    <n v="5"/>
    <n v="3"/>
    <n v="2"/>
    <n v="8264"/>
    <n v="2057"/>
    <n v="6207"/>
    <n v="0.82099999999999995"/>
    <n v="4240"/>
    <n v="73"/>
    <n v="0.58699999999999997"/>
    <n v="0.249"/>
    <n v="1.5004999999999999E-4"/>
    <n v="0.99985000000000002"/>
    <s v="16.093909144416035"/>
    <s v="27.21237837265064"/>
    <s v="14.89464724285847"/>
    <s v="15.169533459962349"/>
    <n v="711993258"/>
    <x v="0"/>
    <n v="3.2914013999999999E-4"/>
    <x v="0"/>
  </r>
  <r>
    <n v="65"/>
    <n v="0"/>
    <n v="1"/>
    <n v="0"/>
    <n v="1"/>
    <n v="4"/>
    <n v="0"/>
    <n v="54"/>
    <n v="3"/>
    <n v="3"/>
    <n v="3"/>
    <n v="2888"/>
    <n v="1134"/>
    <n v="1754"/>
    <n v="1.4790000000000001"/>
    <n v="2489"/>
    <n v="54"/>
    <n v="0.74199999999999999"/>
    <n v="0.39300000000000002"/>
    <n v="2.7607E-4"/>
    <n v="0.99972000000000005"/>
    <s v="3.945370409504706"/>
    <s v="43.608882508314274"/>
    <s v="24.67412544060499"/>
    <s v="3.5330116108677947"/>
    <n v="716174433"/>
    <x v="0"/>
    <n v="5.7239574000000004E-4"/>
    <x v="0"/>
  </r>
  <r>
    <n v="57"/>
    <n v="0"/>
    <n v="4"/>
    <n v="5"/>
    <n v="2"/>
    <n v="4"/>
    <n v="0"/>
    <n v="51"/>
    <n v="5"/>
    <n v="3"/>
    <n v="3"/>
    <n v="3545"/>
    <n v="1446"/>
    <n v="2099"/>
    <n v="0.63800000000000001"/>
    <n v="3691"/>
    <n v="69"/>
    <n v="0.91700000000000004"/>
    <n v="0.40799999999999997"/>
    <n v="3.2620000000000001E-4"/>
    <n v="0.99966999999999995"/>
    <s v="23.15516793788926"/>
    <s v="34.08020159575361"/>
    <s v="157.0083300906549"/>
    <s v="11.189988285471504"/>
    <n v="801083133"/>
    <x v="0"/>
    <n v="3.2101269999999999E-4"/>
    <x v="0"/>
  </r>
  <r>
    <n v="48"/>
    <n v="1"/>
    <n v="2"/>
    <n v="4"/>
    <n v="1"/>
    <n v="1"/>
    <n v="0"/>
    <n v="34"/>
    <n v="4"/>
    <n v="2"/>
    <n v="2"/>
    <n v="4776"/>
    <n v="0"/>
    <n v="4776"/>
    <n v="0.626"/>
    <n v="4581"/>
    <n v="60"/>
    <n v="0.622"/>
    <n v="0"/>
    <n v="1.3392999999999999E-4"/>
    <n v="0.99987000000000004"/>
    <s v="14.423255233210163"/>
    <s v="41.50560442447649"/>
    <s v="39.94119379814993"/>
    <s v="8.831733063993239"/>
    <n v="713394858"/>
    <x v="0"/>
    <n v="8.8916449999999997E-4"/>
    <x v="0"/>
  </r>
  <r>
    <n v="46"/>
    <n v="0"/>
    <n v="2"/>
    <n v="3"/>
    <n v="2"/>
    <n v="4"/>
    <n v="0"/>
    <n v="36"/>
    <n v="3"/>
    <n v="3"/>
    <n v="4"/>
    <n v="2283"/>
    <n v="1020"/>
    <n v="1263"/>
    <n v="0.94399999999999995"/>
    <n v="3687"/>
    <n v="68"/>
    <n v="1.125"/>
    <n v="0.44700000000000001"/>
    <n v="5.0162999999999998E-4"/>
    <n v="0.99950000000000006"/>
    <s v="5.329222552878661"/>
    <s v="71.88324076826247"/>
    <n v="22.874822961448601"/>
    <s v="25.00241752703566"/>
    <n v="712202433"/>
    <x v="0"/>
    <n v="3.221314E-4"/>
    <x v="0"/>
  </r>
  <r>
    <n v="46"/>
    <n v="1"/>
    <n v="3"/>
    <n v="2"/>
    <n v="1"/>
    <n v="2"/>
    <n v="0"/>
    <n v="34"/>
    <n v="1"/>
    <n v="2"/>
    <n v="4"/>
    <n v="4930"/>
    <n v="159"/>
    <n v="4771"/>
    <n v="0.59199999999999997"/>
    <n v="7412"/>
    <n v="60"/>
    <n v="0.57899999999999996"/>
    <n v="3.2000000000000001E-2"/>
    <n v="0.99705999999999995"/>
    <n v="2.9414100000000002E-3"/>
    <s v="32.63800906552252"/>
    <s v="56.20753109464169"/>
    <s v="61.76473383739094"/>
    <s v="14.259998242815993"/>
    <n v="716832858"/>
    <x v="1"/>
    <n v="0.99406945999999996"/>
    <x v="1"/>
  </r>
  <r>
    <n v="58"/>
    <n v="1"/>
    <n v="1"/>
    <n v="3"/>
    <n v="2"/>
    <n v="1"/>
    <n v="0"/>
    <n v="46"/>
    <n v="4"/>
    <n v="1"/>
    <n v="0"/>
    <n v="5579"/>
    <n v="0"/>
    <n v="5579"/>
    <n v="0.48099999999999998"/>
    <n v="1025"/>
    <n v="35"/>
    <n v="0.66700000000000004"/>
    <n v="0"/>
    <s v="1.8538e-05"/>
    <n v="0.99997999999999998"/>
    <s v="27.71028289610648"/>
    <s v="0.9390336702848616"/>
    <s v="74.60496411623696"/>
    <s v="21.80378920413321"/>
    <n v="720902133"/>
    <x v="0"/>
    <n v="3.9867970000000003E-3"/>
    <x v="0"/>
  </r>
  <r>
    <n v="65"/>
    <n v="1"/>
    <n v="2"/>
    <n v="2"/>
    <n v="1"/>
    <n v="5"/>
    <n v="0"/>
    <n v="55"/>
    <n v="3"/>
    <n v="2"/>
    <n v="2"/>
    <n v="6099"/>
    <n v="2175"/>
    <n v="3924"/>
    <n v="0.58199999999999996"/>
    <n v="1319"/>
    <n v="34"/>
    <n v="0.54500000000000004"/>
    <n v="0.35699999999999998"/>
    <n v="1.1382E-4"/>
    <n v="0.99988999999999995"/>
    <s v="14.536461337502011"/>
    <s v="27.48074592709357"/>
    <s v="54.82698481714004"/>
    <s v="16.219109020596527"/>
    <n v="716284308"/>
    <x v="0"/>
    <n v="1.0903810999999999E-3"/>
    <x v="0"/>
  </r>
  <r>
    <n v="48"/>
    <n v="1"/>
    <n v="4"/>
    <n v="6"/>
    <n v="1"/>
    <n v="2"/>
    <n v="0"/>
    <n v="36"/>
    <n v="4"/>
    <n v="3"/>
    <n v="3"/>
    <n v="1622"/>
    <n v="1249"/>
    <n v="373"/>
    <n v="0.58499999999999996"/>
    <n v="4164"/>
    <n v="66"/>
    <n v="0.61"/>
    <n v="0.77"/>
    <n v="3.4872000000000001E-4"/>
    <n v="0.99965000000000004"/>
    <s v="16.674701920656283"/>
    <s v="15.850384316360522"/>
    <s v="71.36855061250294"/>
    <s v="8.135038400894373"/>
    <n v="778780008"/>
    <x v="0"/>
    <n v="3.2914013999999999E-4"/>
    <x v="0"/>
  </r>
  <r>
    <n v="27"/>
    <n v="1"/>
    <n v="0"/>
    <n v="6"/>
    <n v="1"/>
    <n v="1"/>
    <n v="0"/>
    <n v="14"/>
    <n v="4"/>
    <n v="1"/>
    <n v="4"/>
    <n v="3823"/>
    <n v="2130"/>
    <n v="1693"/>
    <n v="0.371"/>
    <n v="2026"/>
    <n v="49"/>
    <n v="0.441"/>
    <n v="0.55700000000000005"/>
    <n v="1.4907000000000001E-4"/>
    <n v="0.99985000000000002"/>
    <s v="10.716580067545609"/>
    <s v="7.334586003920569"/>
    <s v="114.56145430993988"/>
    <s v="17.93395275788334"/>
    <n v="720854358"/>
    <x v="0"/>
    <n v="1.1531783E-3"/>
    <x v="0"/>
  </r>
  <r>
    <n v="39"/>
    <n v="1"/>
    <n v="3"/>
    <n v="3"/>
    <n v="2"/>
    <n v="2"/>
    <n v="0"/>
    <n v="36"/>
    <n v="4"/>
    <n v="2"/>
    <n v="3"/>
    <n v="6929"/>
    <n v="1691"/>
    <n v="5238"/>
    <n v="0.53400000000000003"/>
    <n v="1388"/>
    <n v="27"/>
    <n v="0.92900000000000005"/>
    <n v="0.24399999999999999"/>
    <n v="1.9311E-4"/>
    <n v="0.99980999999999998"/>
    <s v="10.72175100531861"/>
    <s v="55.85669469991632"/>
    <s v="1.4716351135599133"/>
    <s v="18.750059544102182"/>
    <n v="717683583"/>
    <x v="0"/>
    <n v="9.8706899999999992E-4"/>
    <x v="0"/>
  </r>
  <r>
    <n v="38"/>
    <n v="1"/>
    <n v="1"/>
    <n v="0"/>
    <n v="1"/>
    <n v="2"/>
    <n v="0"/>
    <n v="36"/>
    <n v="4"/>
    <n v="1"/>
    <n v="2"/>
    <n v="2836"/>
    <n v="862"/>
    <n v="1974"/>
    <n v="0.77200000000000002"/>
    <n v="4121"/>
    <n v="83"/>
    <n v="0.69399999999999995"/>
    <n v="0.30399999999999999"/>
    <s v="5.0261e-05"/>
    <n v="0.99995000000000001"/>
    <s v="32.877342352962366"/>
    <s v="17.58771898804839"/>
    <s v="60.99651900171752"/>
    <s v="15.97810823295366"/>
    <n v="715233108"/>
    <x v="0"/>
    <n v="4.8967317000000001E-4"/>
    <x v="0"/>
  </r>
  <r>
    <n v="32"/>
    <n v="1"/>
    <n v="3"/>
    <n v="2"/>
    <n v="1"/>
    <n v="1"/>
    <n v="0"/>
    <n v="20"/>
    <n v="2"/>
    <n v="2"/>
    <n v="2"/>
    <n v="3264"/>
    <n v="0"/>
    <n v="3264"/>
    <n v="0.54900000000000004"/>
    <n v="6439"/>
    <n v="63"/>
    <n v="0.75"/>
    <n v="0"/>
    <n v="0.99160999999999999"/>
    <n v="8.3899999999999999E-3"/>
    <s v="2.554188978619107"/>
    <s v="21.40772454139196"/>
    <s v="81.56274647584178"/>
    <s v="17.653148084504704"/>
    <n v="719859033"/>
    <x v="1"/>
    <n v="0.99520869999999995"/>
    <x v="1"/>
  </r>
  <r>
    <n v="48"/>
    <n v="1"/>
    <n v="3"/>
    <n v="3"/>
    <n v="2"/>
    <n v="3"/>
    <n v="0"/>
    <n v="36"/>
    <n v="3"/>
    <n v="3"/>
    <n v="4"/>
    <n v="10111"/>
    <n v="868"/>
    <n v="9243"/>
    <n v="0.748"/>
    <n v="4791"/>
    <n v="68"/>
    <n v="0.88900000000000001"/>
    <n v="8.5999999999999993E-2"/>
    <n v="5.2052000000000001E-4"/>
    <n v="0.99948000000000004"/>
    <s v="4.344468169496977"/>
    <s v="34.852650513600786"/>
    <s v="78.64051461010266"/>
    <n v="25.469102053113001"/>
    <n v="717800358"/>
    <x v="0"/>
    <n v="4.4540687999999998E-4"/>
    <x v="0"/>
  </r>
  <r>
    <n v="40"/>
    <n v="1"/>
    <n v="3"/>
    <n v="1"/>
    <n v="1"/>
    <n v="1"/>
    <n v="0"/>
    <n v="36"/>
    <n v="3"/>
    <n v="3"/>
    <n v="4"/>
    <n v="2313"/>
    <n v="0"/>
    <n v="2313"/>
    <n v="0.67300000000000004"/>
    <n v="2249"/>
    <n v="42"/>
    <n v="0.312"/>
    <n v="0"/>
    <n v="0.99870999999999999"/>
    <n v="1.2882200000000001E-3"/>
    <s v="13.167036208223609"/>
    <s v="30.71599506394926"/>
    <s v="56.894353353206455"/>
    <s v="11.499587490566688"/>
    <n v="712593933"/>
    <x v="1"/>
    <n v="0.99841880000000005"/>
    <x v="1"/>
  </r>
  <r>
    <n v="49"/>
    <n v="0"/>
    <n v="1"/>
    <n v="4"/>
    <n v="1"/>
    <n v="5"/>
    <n v="0"/>
    <n v="39"/>
    <n v="6"/>
    <n v="3"/>
    <n v="1"/>
    <n v="4821"/>
    <n v="0"/>
    <n v="4821"/>
    <n v="0.746"/>
    <n v="4680"/>
    <n v="77"/>
    <n v="0.97399999999999998"/>
    <n v="0"/>
    <n v="1.1981000000000001E-4"/>
    <n v="0.99987999999999999"/>
    <n v="6.4618354945459799"/>
    <s v="14.17647319563974"/>
    <s v="20.275610054259392"/>
    <s v="1.8957190555138737"/>
    <n v="711363258"/>
    <x v="0"/>
    <n v="6.9517245999999998E-4"/>
    <x v="0"/>
  </r>
  <r>
    <n v="26"/>
    <n v="1"/>
    <n v="0"/>
    <n v="5"/>
    <n v="2"/>
    <n v="4"/>
    <n v="0"/>
    <n v="36"/>
    <n v="4"/>
    <n v="3"/>
    <n v="4"/>
    <n v="2665"/>
    <n v="1567"/>
    <n v="1098"/>
    <n v="0.58599999999999997"/>
    <n v="2514"/>
    <n v="64"/>
    <n v="0.45500000000000002"/>
    <n v="0.58799999999999997"/>
    <n v="4.5531E-4"/>
    <n v="0.99953999999999998"/>
    <n v="21.7285673060201"/>
    <s v="41.847223929503606"/>
    <n v="114.38618828049199"/>
    <s v="16.528416024005804"/>
    <n v="719139558"/>
    <x v="0"/>
    <n v="4.4142877000000002E-4"/>
    <x v="0"/>
  </r>
  <r>
    <n v="33"/>
    <n v="0"/>
    <n v="3"/>
    <n v="2"/>
    <n v="1"/>
    <n v="4"/>
    <n v="0"/>
    <n v="25"/>
    <n v="4"/>
    <n v="1"/>
    <n v="4"/>
    <n v="3030"/>
    <n v="2517"/>
    <n v="513"/>
    <n v="0.78500000000000003"/>
    <n v="1805"/>
    <n v="44"/>
    <n v="0.46700000000000003"/>
    <n v="0.83099999999999996"/>
    <n v="1.6399000000000001E-4"/>
    <n v="0.99983999999999995"/>
    <s v="6.789510405429036"/>
    <s v="17.492692997856977"/>
    <n v="95.305205539909096"/>
    <s v="7.163983867525023"/>
    <n v="709584483"/>
    <x v="0"/>
    <n v="1.2315542E-3"/>
    <x v="0"/>
  </r>
  <r>
    <n v="55"/>
    <n v="1"/>
    <n v="2"/>
    <n v="1"/>
    <n v="1"/>
    <n v="2"/>
    <n v="0"/>
    <n v="36"/>
    <n v="3"/>
    <n v="4"/>
    <n v="3"/>
    <n v="16427"/>
    <n v="1682"/>
    <n v="14745"/>
    <n v="0.63100000000000001"/>
    <n v="1579"/>
    <n v="36"/>
    <n v="1.1180000000000001"/>
    <n v="0.10199999999999999"/>
    <n v="5.2895999999999998E-4"/>
    <n v="0.99946999999999997"/>
    <s v="15.536201962485952"/>
    <s v="3.1693190363290773"/>
    <s v="74.56785750077952"/>
    <s v="15.101495092548408"/>
    <n v="779078733"/>
    <x v="0"/>
    <n v="1.0249399E-3"/>
    <x v="0"/>
  </r>
  <r>
    <n v="44"/>
    <n v="1"/>
    <n v="4"/>
    <n v="4"/>
    <n v="2"/>
    <n v="0"/>
    <n v="0"/>
    <n v="32"/>
    <n v="2"/>
    <n v="4"/>
    <n v="2"/>
    <n v="23957"/>
    <n v="2102"/>
    <n v="21855"/>
    <n v="0.997"/>
    <n v="1276"/>
    <n v="26"/>
    <n v="0.73299999999999998"/>
    <n v="8.7999999999999995E-2"/>
    <n v="2.6823999999999999E-4"/>
    <n v="0.99973000000000001"/>
    <s v="23.936815656531756"/>
    <n v="94.275203463617601"/>
    <s v="18.040405279821503"/>
    <n v="37.687090790280401"/>
    <n v="710082708"/>
    <x v="0"/>
    <n v="1.3107449000000001E-3"/>
    <x v="0"/>
  </r>
  <r>
    <n v="39"/>
    <n v="0"/>
    <n v="1"/>
    <n v="5"/>
    <n v="2"/>
    <n v="4"/>
    <n v="0"/>
    <n v="35"/>
    <n v="1"/>
    <n v="5"/>
    <n v="1"/>
    <n v="1961"/>
    <n v="0"/>
    <n v="1961"/>
    <n v="0.63100000000000001"/>
    <n v="4846"/>
    <n v="92"/>
    <n v="0.84"/>
    <n v="0"/>
    <n v="1.1692999999999999E-4"/>
    <n v="0.99987999999999999"/>
    <s v="12.530254148483108"/>
    <s v="9.020687383073009"/>
    <s v="118.13520589159522"/>
    <s v="20.002251328497863"/>
    <n v="825838908"/>
    <x v="0"/>
    <n v="6.9517245999999998E-4"/>
    <x v="0"/>
  </r>
  <r>
    <n v="44"/>
    <n v="1"/>
    <n v="1"/>
    <n v="5"/>
    <n v="1"/>
    <n v="2"/>
    <n v="0"/>
    <n v="36"/>
    <n v="5"/>
    <n v="2"/>
    <n v="3"/>
    <n v="14450"/>
    <n v="2440"/>
    <n v="12010"/>
    <n v="1.2829999999999999"/>
    <n v="1235"/>
    <n v="30"/>
    <n v="0.66700000000000004"/>
    <n v="0.16900000000000001"/>
    <n v="1.8474999999999999E-4"/>
    <n v="0.99982000000000004"/>
    <s v="0.9953606548243497"/>
    <s v="6.624562553964488"/>
    <s v="67.68289606294935"/>
    <s v="16.739234855254537"/>
    <n v="717929133"/>
    <x v="0"/>
    <n v="1.0337284E-3"/>
    <x v="0"/>
  </r>
  <r>
    <n v="43"/>
    <n v="1"/>
    <n v="3"/>
    <n v="6"/>
    <n v="2"/>
    <n v="1"/>
    <n v="0"/>
    <n v="38"/>
    <n v="6"/>
    <n v="1"/>
    <n v="1"/>
    <n v="2615"/>
    <n v="0"/>
    <n v="2615"/>
    <n v="0.58899999999999997"/>
    <n v="1395"/>
    <n v="34"/>
    <n v="0.25900000000000001"/>
    <n v="0"/>
    <s v="3.7884e-05"/>
    <n v="0.99995999999999996"/>
    <s v="12.237555309627435"/>
    <s v="38.39107936957055"/>
    <s v="34.12363584860663"/>
    <s v="7.726244565233319"/>
    <n v="820355433"/>
    <x v="0"/>
    <n v="4.459518E-3"/>
    <x v="0"/>
  </r>
  <r>
    <n v="50"/>
    <n v="1"/>
    <n v="2"/>
    <n v="2"/>
    <n v="1"/>
    <n v="3"/>
    <n v="0"/>
    <n v="36"/>
    <n v="6"/>
    <n v="1"/>
    <n v="2"/>
    <n v="9748"/>
    <n v="1354"/>
    <n v="8394"/>
    <n v="0.89300000000000002"/>
    <n v="3323"/>
    <n v="66"/>
    <n v="0.83299999999999996"/>
    <n v="0.13900000000000001"/>
    <s v="5.5077e-05"/>
    <n v="0.99994000000000005"/>
    <n v="67.053067494160302"/>
    <s v="20.335762811362404"/>
    <s v="38.90127754077721"/>
    <s v="12.397941864649916"/>
    <n v="720877083"/>
    <x v="0"/>
    <n v="3.3750932000000002E-4"/>
    <x v="0"/>
  </r>
  <r>
    <n v="39"/>
    <n v="1"/>
    <n v="3"/>
    <n v="0"/>
    <n v="3"/>
    <n v="3"/>
    <n v="0"/>
    <n v="36"/>
    <n v="4"/>
    <n v="2"/>
    <n v="3"/>
    <n v="33406"/>
    <n v="1692"/>
    <n v="31714"/>
    <n v="1.242"/>
    <n v="1529"/>
    <n v="30"/>
    <n v="0.875"/>
    <n v="5.0999999999999997E-2"/>
    <n v="1.9312999999999999E-4"/>
    <n v="0.99980999999999998"/>
    <n v="6.8844589498101598"/>
    <s v="24.81924687478936"/>
    <s v="39.89765579175765"/>
    <s v="7.269249214386474"/>
    <n v="714244383"/>
    <x v="0"/>
    <n v="1.0985557E-3"/>
    <x v="0"/>
  </r>
  <r>
    <n v="45"/>
    <n v="1"/>
    <n v="1"/>
    <n v="6"/>
    <n v="0"/>
    <n v="1"/>
    <n v="3"/>
    <n v="31"/>
    <n v="3"/>
    <n v="1"/>
    <n v="1"/>
    <n v="17437"/>
    <n v="2225"/>
    <n v="15212"/>
    <n v="0.81399999999999995"/>
    <n v="3381"/>
    <n v="51"/>
    <n v="0.59399999999999997"/>
    <n v="0.128"/>
    <s v="3.0963e-05"/>
    <n v="0.99997000000000003"/>
    <s v="26.763743941071283"/>
    <s v="5.581286416783088"/>
    <s v="149.49647312458848"/>
    <s v="4.571962671772576"/>
    <n v="713444058"/>
    <x v="0"/>
    <n v="9.1668043999999999E-4"/>
    <x v="0"/>
  </r>
  <r>
    <n v="45"/>
    <n v="0"/>
    <n v="2"/>
    <n v="2"/>
    <n v="1"/>
    <n v="1"/>
    <n v="0"/>
    <n v="40"/>
    <n v="1"/>
    <n v="3"/>
    <n v="3"/>
    <n v="3592"/>
    <n v="865"/>
    <n v="2727"/>
    <n v="0.66300000000000003"/>
    <n v="12777"/>
    <n v="95"/>
    <n v="0.72699999999999998"/>
    <n v="0.24099999999999999"/>
    <n v="3.0250999999999998E-4"/>
    <n v="0.99970000000000003"/>
    <s v="24.372673323152316"/>
    <s v="29.608769474793107"/>
    <s v="85.99450720544488"/>
    <n v="9.8538159699479806"/>
    <n v="814590483"/>
    <x v="0"/>
    <n v="4.6744339999999998E-4"/>
    <x v="0"/>
  </r>
  <r>
    <n v="40"/>
    <n v="0"/>
    <n v="5"/>
    <n v="2"/>
    <n v="2"/>
    <n v="4"/>
    <n v="0"/>
    <n v="29"/>
    <n v="3"/>
    <n v="2"/>
    <n v="4"/>
    <n v="4205"/>
    <n v="2517"/>
    <n v="1688"/>
    <n v="0.65200000000000002"/>
    <n v="4256"/>
    <n v="69"/>
    <n v="0.72499999999999998"/>
    <n v="0.59899999999999998"/>
    <n v="3.3713999999999999E-4"/>
    <n v="0.99965999999999999"/>
    <s v="18.04769915344551"/>
    <s v="13.137881980301682"/>
    <s v="1.3232734711425012"/>
    <s v="32.48719621359505"/>
    <n v="717078933"/>
    <x v="0"/>
    <n v="3.4692350000000002E-4"/>
    <x v="0"/>
  </r>
  <r>
    <n v="62"/>
    <n v="0"/>
    <n v="0"/>
    <n v="2"/>
    <n v="1"/>
    <n v="5"/>
    <n v="0"/>
    <n v="52"/>
    <n v="6"/>
    <n v="3"/>
    <n v="2"/>
    <n v="9050"/>
    <n v="1538"/>
    <n v="7512"/>
    <n v="0.77"/>
    <n v="1542"/>
    <n v="43"/>
    <n v="0.65400000000000003"/>
    <n v="0.17"/>
    <n v="1.5435000000000001E-4"/>
    <n v="0.99985000000000002"/>
    <s v="12.923849011067382"/>
    <s v="44.910267975976666"/>
    <s v="0.1047272164486779"/>
    <s v="7.334423052464018"/>
    <n v="714927333"/>
    <x v="0"/>
    <n v="1.0337284E-3"/>
    <x v="0"/>
  </r>
  <r>
    <n v="54"/>
    <n v="1"/>
    <n v="4"/>
    <n v="6"/>
    <n v="0"/>
    <n v="0"/>
    <n v="0"/>
    <n v="36"/>
    <n v="6"/>
    <n v="3"/>
    <n v="2"/>
    <n v="33791"/>
    <n v="1960"/>
    <n v="31831"/>
    <n v="0.61799999999999999"/>
    <n v="1047"/>
    <n v="31"/>
    <n v="0.82399999999999995"/>
    <n v="5.8000000000000003E-2"/>
    <n v="2.0735E-4"/>
    <n v="0.99978999999999996"/>
    <s v="17.296325882909503"/>
    <s v="50.34688248327251"/>
    <s v="81.44930071323763"/>
    <n v="3.62285158448586"/>
    <n v="708476808"/>
    <x v="0"/>
    <n v="1.1872624E-3"/>
    <x v="0"/>
  </r>
  <r>
    <n v="44"/>
    <n v="0"/>
    <n v="3"/>
    <n v="3"/>
    <n v="2"/>
    <n v="4"/>
    <n v="0"/>
    <n v="31"/>
    <n v="3"/>
    <n v="2"/>
    <n v="2"/>
    <n v="1980"/>
    <n v="823"/>
    <n v="1157"/>
    <n v="0.86099999999999999"/>
    <n v="4467"/>
    <n v="69"/>
    <n v="0.68300000000000005"/>
    <n v="0.41599999999999998"/>
    <n v="1.1482E-4"/>
    <n v="0.99988999999999995"/>
    <s v="7.569887439423132"/>
    <s v="3.860785170521045"/>
    <s v="10.072206325037351"/>
    <s v="30.548396567576848"/>
    <n v="710013258"/>
    <x v="0"/>
    <n v="5.1030780000000005E-4"/>
    <x v="0"/>
  </r>
  <r>
    <n v="50"/>
    <n v="1"/>
    <n v="3"/>
    <n v="5"/>
    <n v="1"/>
    <n v="1"/>
    <n v="0"/>
    <n v="40"/>
    <n v="5"/>
    <n v="2"/>
    <n v="2"/>
    <n v="3469"/>
    <n v="0"/>
    <n v="3469"/>
    <n v="0.95599999999999996"/>
    <n v="3680"/>
    <n v="80"/>
    <n v="0.95099999999999996"/>
    <n v="0"/>
    <n v="1.2144E-4"/>
    <n v="0.99987999999999999"/>
    <s v="6.866049353339415"/>
    <s v="36.76899365814204"/>
    <n v="63.616312139756097"/>
    <s v="1.149015487191937"/>
    <n v="720286908"/>
    <x v="0"/>
    <n v="7.4699510000000001E-4"/>
    <x v="0"/>
  </r>
  <r>
    <n v="49"/>
    <n v="1"/>
    <n v="3"/>
    <n v="3"/>
    <n v="1"/>
    <n v="2"/>
    <n v="1"/>
    <n v="42"/>
    <n v="3"/>
    <n v="1"/>
    <n v="4"/>
    <n v="34516"/>
    <n v="0"/>
    <n v="34516"/>
    <n v="0.83799999999999997"/>
    <n v="15095"/>
    <n v="102"/>
    <n v="0.75900000000000001"/>
    <n v="0"/>
    <n v="1.8367000000000001E-4"/>
    <n v="0.99982000000000004"/>
    <s v="21.351978462552054"/>
    <s v="123.95278718165692"/>
    <s v="11.209443610342769"/>
    <s v="24.57004062954676"/>
    <n v="773185833"/>
    <x v="0"/>
    <n v="7.6702517000000003E-4"/>
    <x v="0"/>
  </r>
  <r>
    <n v="45"/>
    <n v="0"/>
    <n v="3"/>
    <n v="2"/>
    <n v="3"/>
    <n v="4"/>
    <n v="3"/>
    <n v="36"/>
    <n v="3"/>
    <n v="2"/>
    <n v="2"/>
    <n v="14521"/>
    <n v="0"/>
    <n v="14521"/>
    <n v="0.41"/>
    <n v="4178"/>
    <n v="66"/>
    <n v="0.46700000000000003"/>
    <n v="0"/>
    <n v="1.0671999999999999E-4"/>
    <n v="0.99988999999999995"/>
    <s v="5.803902921250035"/>
    <s v="15.150910744130243"/>
    <s v="14.45382574724857"/>
    <s v="5.220672937153802"/>
    <n v="716040783"/>
    <x v="0"/>
    <n v="8.3350899999999996E-4"/>
    <x v="0"/>
  </r>
  <r>
    <n v="34"/>
    <n v="1"/>
    <n v="4"/>
    <n v="5"/>
    <n v="2"/>
    <n v="2"/>
    <n v="0"/>
    <n v="20"/>
    <n v="3"/>
    <n v="2"/>
    <n v="6"/>
    <n v="3940"/>
    <n v="1384"/>
    <n v="2556"/>
    <n v="0.90800000000000003"/>
    <n v="3257"/>
    <n v="53"/>
    <n v="0.76700000000000002"/>
    <n v="0.35099999999999998"/>
    <n v="0.99907000000000001"/>
    <n v="9.3369999999999998E-4"/>
    <s v="15.738957575711549"/>
    <s v="26.41493501257907"/>
    <s v="107.7767821797816"/>
    <n v="9.3730963233315006"/>
    <n v="719756133"/>
    <x v="1"/>
    <n v="0.98602749999999995"/>
    <x v="1"/>
  </r>
  <r>
    <n v="61"/>
    <n v="0"/>
    <n v="0"/>
    <n v="3"/>
    <n v="1"/>
    <n v="4"/>
    <n v="0"/>
    <n v="47"/>
    <n v="1"/>
    <n v="3"/>
    <n v="4"/>
    <n v="4130"/>
    <n v="0"/>
    <n v="4130"/>
    <n v="0.81399999999999995"/>
    <n v="2418"/>
    <n v="57"/>
    <n v="0.78100000000000003"/>
    <n v="0"/>
    <n v="0.99768000000000001"/>
    <n v="2.3165600000000001E-3"/>
    <n v="0.39496628658041399"/>
    <s v="39.726464172862414"/>
    <s v="66.40600501343931"/>
    <s v="12.682851710751857"/>
    <n v="780289308"/>
    <x v="1"/>
    <n v="0.99479139999999999"/>
    <x v="1"/>
  </r>
  <r>
    <n v="47"/>
    <n v="0"/>
    <n v="4"/>
    <n v="2"/>
    <n v="1"/>
    <n v="5"/>
    <n v="0"/>
    <n v="36"/>
    <n v="4"/>
    <n v="1"/>
    <n v="3"/>
    <n v="5349"/>
    <n v="1228"/>
    <n v="4121"/>
    <n v="0.72799999999999998"/>
    <n v="1343"/>
    <n v="30"/>
    <n v="1.3080000000000001"/>
    <n v="0.23"/>
    <s v="9.7154e-05"/>
    <n v="0.99990000000000001"/>
    <s v="28.00080950429784"/>
    <s v="1.5198324386282682"/>
    <s v="1.199974780261697"/>
    <s v="3.651553529010344"/>
    <n v="772288758"/>
    <x v="0"/>
    <n v="9.8706899999999992E-4"/>
    <x v="0"/>
  </r>
  <r>
    <n v="45"/>
    <n v="0"/>
    <n v="3"/>
    <n v="3"/>
    <n v="1"/>
    <n v="4"/>
    <n v="0"/>
    <n v="32"/>
    <n v="2"/>
    <n v="5"/>
    <n v="1"/>
    <n v="2948"/>
    <n v="968"/>
    <n v="1980"/>
    <n v="0.94599999999999995"/>
    <n v="7834"/>
    <n v="86"/>
    <n v="0.50900000000000001"/>
    <n v="0.32800000000000001"/>
    <n v="1.2222000000000001E-4"/>
    <n v="0.99987999999999999"/>
    <s v="16.118917574030288"/>
    <s v="92.93842342339488"/>
    <s v="5.028471527015558"/>
    <s v="2.4940439529697738"/>
    <n v="789016983"/>
    <x v="0"/>
    <n v="4.5210592000000002E-4"/>
    <x v="0"/>
  </r>
  <r>
    <n v="43"/>
    <n v="0"/>
    <n v="2"/>
    <n v="0"/>
    <n v="1"/>
    <n v="4"/>
    <n v="0"/>
    <n v="36"/>
    <n v="5"/>
    <n v="2"/>
    <n v="3"/>
    <n v="4020"/>
    <n v="0"/>
    <n v="4020"/>
    <n v="0.56299999999999994"/>
    <n v="1952"/>
    <n v="39"/>
    <n v="0.34499999999999997"/>
    <n v="0"/>
    <n v="0.99465999999999999"/>
    <n v="5.3400000000000001E-3"/>
    <s v="23.824490415166323"/>
    <s v="29.655856357566325"/>
    <s v="19.826720573159857"/>
    <s v="7.4776485036548435"/>
    <n v="712734933"/>
    <x v="1"/>
    <n v="0.99866544999999995"/>
    <x v="1"/>
  </r>
  <r>
    <n v="39"/>
    <n v="0"/>
    <n v="2"/>
    <n v="2"/>
    <n v="1"/>
    <n v="4"/>
    <n v="0"/>
    <n v="34"/>
    <n v="4"/>
    <n v="3"/>
    <n v="4"/>
    <n v="2594"/>
    <n v="0"/>
    <n v="2594"/>
    <n v="0.52600000000000002"/>
    <n v="1457"/>
    <n v="43"/>
    <n v="0.38700000000000001"/>
    <n v="0"/>
    <n v="5.1599999999999997E-4"/>
    <n v="0.99948000000000004"/>
    <s v="7.593647892367883"/>
    <s v="0.6253791411178246"/>
    <s v="9.825957812209232"/>
    <s v="5.857632682083384"/>
    <n v="819409608"/>
    <x v="0"/>
    <n v="4.459518E-3"/>
    <x v="0"/>
  </r>
  <r>
    <n v="46"/>
    <n v="0"/>
    <n v="4"/>
    <n v="3"/>
    <n v="2"/>
    <n v="4"/>
    <n v="0"/>
    <n v="33"/>
    <n v="3"/>
    <n v="2"/>
    <n v="2"/>
    <n v="3942"/>
    <n v="1711"/>
    <n v="2231"/>
    <n v="0.61"/>
    <n v="4622"/>
    <n v="71"/>
    <n v="0.61399999999999999"/>
    <n v="0.434"/>
    <n v="1.1603999999999999E-4"/>
    <n v="0.99987999999999999"/>
    <s v="20.713833242577607"/>
    <s v="59.63245212140522"/>
    <s v="3.3763249901039845"/>
    <s v="17.454154770915626"/>
    <n v="711359058"/>
    <x v="0"/>
    <n v="3.2914013999999999E-4"/>
    <x v="0"/>
  </r>
  <r>
    <n v="38"/>
    <n v="0"/>
    <n v="4"/>
    <n v="6"/>
    <n v="2"/>
    <n v="5"/>
    <n v="0"/>
    <n v="14"/>
    <n v="4"/>
    <n v="1"/>
    <n v="2"/>
    <n v="4394"/>
    <n v="0"/>
    <n v="4394"/>
    <n v="0.88900000000000001"/>
    <n v="1538"/>
    <n v="43"/>
    <n v="0.53600000000000003"/>
    <n v="0"/>
    <s v="6.3492e-05"/>
    <n v="0.99994000000000005"/>
    <s v="43.661094067204495"/>
    <s v="3.1187511534934966"/>
    <n v="85.821366401552098"/>
    <s v="3.2211949880579542"/>
    <n v="788699808"/>
    <x v="0"/>
    <n v="4.459518E-3"/>
    <x v="0"/>
  </r>
  <r>
    <n v="45"/>
    <n v="0"/>
    <n v="3"/>
    <n v="1"/>
    <n v="1"/>
    <n v="4"/>
    <n v="0"/>
    <n v="36"/>
    <n v="1"/>
    <n v="2"/>
    <n v="2"/>
    <n v="2143"/>
    <n v="1479"/>
    <n v="664"/>
    <n v="0.70799999999999996"/>
    <n v="4404"/>
    <n v="77"/>
    <n v="0.75"/>
    <n v="0.69"/>
    <n v="1.7091E-4"/>
    <n v="0.99983"/>
    <s v="39.17461460636802"/>
    <s v="14.13075060186598"/>
    <s v="59.50779799059999"/>
    <s v="0.2066842919762263"/>
    <n v="715566408"/>
    <x v="0"/>
    <n v="3.2101269999999999E-4"/>
    <x v="0"/>
  </r>
  <r>
    <n v="54"/>
    <n v="1"/>
    <n v="3"/>
    <n v="2"/>
    <n v="3"/>
    <n v="3"/>
    <n v="0"/>
    <n v="47"/>
    <n v="6"/>
    <n v="2"/>
    <n v="4"/>
    <n v="15108"/>
    <n v="1288"/>
    <n v="13820"/>
    <n v="0.68400000000000005"/>
    <n v="3713"/>
    <n v="65"/>
    <n v="0.51200000000000001"/>
    <n v="8.5000000000000006E-2"/>
    <n v="3.3886000000000002E-4"/>
    <n v="0.99965999999999999"/>
    <s v="23.115706527658503"/>
    <s v="6.313521824833762"/>
    <s v="25.223667578467012"/>
    <s v="6.085668674104643"/>
    <n v="712521783"/>
    <x v="0"/>
    <n v="3.6298158000000003E-4"/>
    <x v="0"/>
  </r>
  <r>
    <n v="39"/>
    <n v="0"/>
    <n v="3"/>
    <n v="2"/>
    <n v="3"/>
    <n v="5"/>
    <n v="3"/>
    <n v="30"/>
    <n v="6"/>
    <n v="3"/>
    <n v="5"/>
    <n v="33905"/>
    <n v="2070"/>
    <n v="31835"/>
    <n v="0.68500000000000005"/>
    <n v="15335"/>
    <n v="99"/>
    <n v="0.76800000000000002"/>
    <n v="6.0999999999999999E-2"/>
    <n v="8.3695999999999998E-4"/>
    <n v="0.99916000000000005"/>
    <s v="28.774117150113582"/>
    <s v="20.78254056639282"/>
    <s v="87.68000774360839"/>
    <s v="29.664306633015737"/>
    <n v="715199808"/>
    <x v="0"/>
    <n v="2.9879737999999999E-2"/>
    <x v="0"/>
  </r>
  <r>
    <n v="46"/>
    <n v="1"/>
    <n v="4"/>
    <n v="2"/>
    <n v="2"/>
    <n v="3"/>
    <n v="3"/>
    <n v="40"/>
    <n v="5"/>
    <n v="1"/>
    <n v="4"/>
    <n v="34516"/>
    <n v="0"/>
    <n v="34516"/>
    <n v="0.93799999999999994"/>
    <n v="3568"/>
    <n v="57"/>
    <n v="0.67600000000000005"/>
    <n v="0"/>
    <n v="1.4976E-4"/>
    <n v="0.99985000000000002"/>
    <s v="19.76570647429904"/>
    <s v="7.177789380241307"/>
    <n v="83.460286737926694"/>
    <s v="3.2562848782102742"/>
    <n v="793678608"/>
    <x v="0"/>
    <n v="1.2497599999999999E-3"/>
    <x v="0"/>
  </r>
  <r>
    <n v="61"/>
    <n v="0"/>
    <n v="0"/>
    <n v="2"/>
    <n v="1"/>
    <n v="5"/>
    <n v="0"/>
    <n v="36"/>
    <n v="6"/>
    <n v="2"/>
    <n v="3"/>
    <n v="2035"/>
    <n v="1883"/>
    <n v="152"/>
    <n v="0.95499999999999996"/>
    <n v="4802"/>
    <n v="85"/>
    <n v="0.60399999999999998"/>
    <n v="0.92500000000000004"/>
    <n v="1.6427999999999999E-4"/>
    <n v="0.99983999999999995"/>
    <s v="19.161285789210392"/>
    <s v="47.72301989633874"/>
    <s v="82.31967348101364"/>
    <s v="7.911466693671808"/>
    <n v="712713108"/>
    <x v="0"/>
    <n v="3.3028650000000001E-4"/>
    <x v="0"/>
  </r>
  <r>
    <n v="59"/>
    <n v="1"/>
    <n v="1"/>
    <n v="0"/>
    <n v="2"/>
    <n v="1"/>
    <n v="0"/>
    <n v="51"/>
    <n v="4"/>
    <n v="2"/>
    <n v="2"/>
    <n v="5042"/>
    <n v="1002"/>
    <n v="4040"/>
    <n v="1.1080000000000001"/>
    <n v="2897"/>
    <n v="62"/>
    <n v="0.63200000000000001"/>
    <n v="0.19900000000000001"/>
    <n v="1.0387000000000001E-4"/>
    <n v="0.99990000000000001"/>
    <s v="18.29126335264881"/>
    <s v="45.02286404727478"/>
    <s v="37.976391842054745"/>
    <s v="11.126187691681883"/>
    <n v="711372258"/>
    <x v="0"/>
    <n v="3.9283919999999998E-4"/>
    <x v="0"/>
  </r>
  <r>
    <n v="33"/>
    <n v="1"/>
    <n v="1"/>
    <n v="4"/>
    <n v="1"/>
    <n v="0"/>
    <n v="0"/>
    <n v="14"/>
    <n v="6"/>
    <n v="1"/>
    <n v="0"/>
    <n v="7571"/>
    <n v="2264"/>
    <n v="5307"/>
    <n v="0.69599999999999995"/>
    <n v="2273"/>
    <n v="49"/>
    <n v="0.48499999999999999"/>
    <n v="0.29899999999999999"/>
    <s v="2.2438e-05"/>
    <n v="0.99997999999999998"/>
    <s v="85.71324136399727"/>
    <s v="1.1601972254631436"/>
    <n v="79.434404242962998"/>
    <s v="6.3222941685272245"/>
    <n v="711219333"/>
    <x v="0"/>
    <n v="1.2722325E-3"/>
    <x v="0"/>
  </r>
  <r>
    <n v="51"/>
    <n v="1"/>
    <n v="1"/>
    <n v="6"/>
    <n v="1"/>
    <n v="0"/>
    <n v="0"/>
    <n v="31"/>
    <n v="5"/>
    <n v="1"/>
    <n v="2"/>
    <n v="25837"/>
    <n v="1812"/>
    <n v="24025"/>
    <n v="0.68600000000000005"/>
    <n v="3783"/>
    <n v="70"/>
    <n v="0.75"/>
    <n v="7.0000000000000007E-2"/>
    <s v="5.6825e-05"/>
    <n v="0.99994000000000005"/>
    <s v="6.034080263596541"/>
    <s v="24.053767086711076"/>
    <s v="168.4611961903603"/>
    <s v="6.480020890721087"/>
    <n v="713111883"/>
    <x v="0"/>
    <n v="3.5729867999999997E-4"/>
    <x v="0"/>
  </r>
  <r>
    <n v="54"/>
    <n v="0"/>
    <n v="1"/>
    <n v="4"/>
    <n v="2"/>
    <n v="4"/>
    <n v="0"/>
    <n v="35"/>
    <n v="4"/>
    <n v="3"/>
    <n v="3"/>
    <n v="1724"/>
    <n v="0"/>
    <n v="1724"/>
    <n v="0.67"/>
    <n v="2725"/>
    <n v="47"/>
    <n v="0.42399999999999999"/>
    <n v="0"/>
    <n v="0.99702000000000002"/>
    <n v="2.98315E-3"/>
    <s v="62.41466207256821"/>
    <s v="18.02696139534113"/>
    <s v="7.315023407371769"/>
    <n v="5.6781476057494098"/>
    <n v="779029458"/>
    <x v="1"/>
    <n v="0.99869054999999995"/>
    <x v="1"/>
  </r>
  <r>
    <n v="60"/>
    <n v="0"/>
    <n v="0"/>
    <n v="2"/>
    <n v="2"/>
    <n v="5"/>
    <n v="1"/>
    <n v="55"/>
    <n v="4"/>
    <n v="3"/>
    <n v="2"/>
    <n v="7469"/>
    <n v="2517"/>
    <n v="4952"/>
    <n v="0.65600000000000003"/>
    <n v="16328"/>
    <n v="124"/>
    <n v="0.77100000000000002"/>
    <n v="0.33700000000000002"/>
    <n v="1.7783E-4"/>
    <n v="0.99982000000000004"/>
    <s v="8.526661737914687"/>
    <s v="1.3762311909025398"/>
    <s v="134.41479959524017"/>
    <s v="3.458915632539681"/>
    <n v="718455633"/>
    <x v="0"/>
    <n v="3.7453471999999999E-4"/>
    <x v="0"/>
  </r>
  <r>
    <n v="49"/>
    <n v="1"/>
    <n v="2"/>
    <n v="5"/>
    <n v="1"/>
    <n v="3"/>
    <n v="0"/>
    <n v="44"/>
    <n v="6"/>
    <n v="2"/>
    <n v="2"/>
    <n v="13884"/>
    <n v="1204"/>
    <n v="12680"/>
    <n v="0.57499999999999996"/>
    <n v="4650"/>
    <n v="70"/>
    <n v="0.55600000000000005"/>
    <n v="8.6999999999999994E-2"/>
    <n v="1.1703E-4"/>
    <n v="0.99987999999999999"/>
    <s v="5.438307660950317"/>
    <s v="7.147201920525084"/>
    <s v="133.32717382683958"/>
    <s v="12.053365407753567"/>
    <n v="807596358"/>
    <x v="0"/>
    <n v="3.3858346E-4"/>
    <x v="0"/>
  </r>
  <r>
    <n v="37"/>
    <n v="1"/>
    <n v="3"/>
    <n v="5"/>
    <n v="2"/>
    <n v="1"/>
    <n v="0"/>
    <n v="36"/>
    <n v="3"/>
    <n v="2"/>
    <n v="4"/>
    <n v="1696"/>
    <n v="0"/>
    <n v="1696"/>
    <n v="0.85699999999999998"/>
    <n v="2095"/>
    <n v="43"/>
    <n v="0.53600000000000003"/>
    <n v="0"/>
    <n v="0.99714000000000003"/>
    <n v="2.86097E-3"/>
    <s v="56.494563158307486"/>
    <s v="8.240251411403532"/>
    <s v="42.79755778635336"/>
    <s v="5.785170376194988"/>
    <n v="721365033"/>
    <x v="1"/>
    <n v="0.99841880000000005"/>
    <x v="1"/>
  </r>
  <r>
    <n v="46"/>
    <n v="0"/>
    <n v="4"/>
    <n v="2"/>
    <n v="1"/>
    <n v="5"/>
    <n v="0"/>
    <n v="39"/>
    <n v="4"/>
    <n v="3"/>
    <n v="3"/>
    <n v="3257"/>
    <n v="0"/>
    <n v="3257"/>
    <n v="0.75700000000000001"/>
    <n v="4042"/>
    <n v="85"/>
    <n v="0.84799999999999998"/>
    <n v="0"/>
    <n v="3.1725999999999998E-4"/>
    <n v="0.99968000000000001"/>
    <s v="11.583692862423826"/>
    <s v="26.87793146435477"/>
    <s v="106.20954165199778"/>
    <s v="18.037801679647448"/>
    <n v="719716983"/>
    <x v="0"/>
    <n v="6.9517245999999998E-4"/>
    <x v="0"/>
  </r>
  <r>
    <n v="50"/>
    <n v="0"/>
    <n v="2"/>
    <n v="2"/>
    <n v="3"/>
    <n v="4"/>
    <n v="0"/>
    <n v="40"/>
    <n v="3"/>
    <n v="2"/>
    <n v="3"/>
    <n v="1606"/>
    <n v="0"/>
    <n v="1606"/>
    <n v="0.82399999999999995"/>
    <n v="4129"/>
    <n v="68"/>
    <n v="0.74399999999999999"/>
    <n v="0"/>
    <n v="1.9143E-4"/>
    <n v="0.99980999999999998"/>
    <s v="32.72711038203239"/>
    <s v="13.325939381820314"/>
    <s v="93.66479664503773"/>
    <s v="4.667147419507604"/>
    <n v="711181608"/>
    <x v="0"/>
    <n v="7.4965424999999997E-4"/>
    <x v="0"/>
  </r>
  <r>
    <n v="40"/>
    <n v="0"/>
    <n v="3"/>
    <n v="6"/>
    <n v="1"/>
    <n v="4"/>
    <n v="0"/>
    <n v="31"/>
    <n v="5"/>
    <n v="6"/>
    <n v="1"/>
    <n v="1811"/>
    <n v="821"/>
    <n v="990"/>
    <n v="0.77300000000000002"/>
    <n v="4290"/>
    <n v="73"/>
    <n v="0.78"/>
    <n v="0.45300000000000001"/>
    <s v="9.767e-05"/>
    <n v="0.99990000000000001"/>
    <s v="0.2197224027935273"/>
    <s v="5.120679869532448"/>
    <s v="215.32001875724436"/>
    <s v="12.768122697656288"/>
    <n v="710756133"/>
    <x v="0"/>
    <n v="5.1030780000000005E-4"/>
    <x v="0"/>
  </r>
  <r>
    <n v="41"/>
    <n v="0"/>
    <n v="3"/>
    <n v="4"/>
    <n v="2"/>
    <n v="4"/>
    <n v="0"/>
    <n v="36"/>
    <n v="1"/>
    <n v="3"/>
    <n v="1"/>
    <n v="2067"/>
    <n v="1966"/>
    <n v="101"/>
    <n v="0.91"/>
    <n v="3033"/>
    <n v="41"/>
    <n v="0.70799999999999996"/>
    <n v="0.95099999999999996"/>
    <n v="0.99251"/>
    <n v="7.4900000000000001E-3"/>
    <s v="31.35663379690993"/>
    <s v="43.26302042393783"/>
    <s v="5.278917657885025"/>
    <s v="0.5290670767863644"/>
    <n v="721104708"/>
    <x v="1"/>
    <n v="0.99520797000000005"/>
    <x v="1"/>
  </r>
  <r>
    <n v="43"/>
    <n v="0"/>
    <n v="5"/>
    <n v="3"/>
    <n v="3"/>
    <n v="1"/>
    <n v="0"/>
    <n v="24"/>
    <n v="3"/>
    <n v="2"/>
    <n v="2"/>
    <n v="4430"/>
    <n v="2203"/>
    <n v="2227"/>
    <n v="1.046"/>
    <n v="2742"/>
    <n v="49"/>
    <n v="0.4"/>
    <n v="0.497"/>
    <n v="0.99131999999999998"/>
    <n v="8.6800000000000002E-3"/>
    <n v="9.6924162254341795"/>
    <s v="16.599661485968184"/>
    <s v="69.81146327971301"/>
    <s v="18.80165547372646"/>
    <n v="710752233"/>
    <x v="1"/>
    <n v="0.99462419999999996"/>
    <x v="1"/>
  </r>
  <r>
    <n v="57"/>
    <n v="0"/>
    <n v="2"/>
    <n v="3"/>
    <n v="2"/>
    <n v="4"/>
    <n v="0"/>
    <n v="45"/>
    <n v="4"/>
    <n v="1"/>
    <n v="3"/>
    <n v="2454"/>
    <n v="1610"/>
    <n v="844"/>
    <n v="1.036"/>
    <n v="4983"/>
    <n v="79"/>
    <n v="0.79500000000000004"/>
    <n v="0.65600000000000003"/>
    <s v="9.0056e-05"/>
    <n v="0.99990999999999997"/>
    <s v="14.963199580238763"/>
    <s v="4.8354639428597785"/>
    <s v="23.881032743774917"/>
    <s v="0.5166526477156936"/>
    <n v="789047208"/>
    <x v="0"/>
    <n v="3.221314E-4"/>
    <x v="0"/>
  </r>
  <r>
    <n v="54"/>
    <n v="0"/>
    <n v="2"/>
    <n v="5"/>
    <n v="2"/>
    <n v="4"/>
    <n v="0"/>
    <n v="41"/>
    <n v="5"/>
    <n v="2"/>
    <n v="4"/>
    <n v="1438.3"/>
    <n v="814"/>
    <n v="624.29999999999995"/>
    <n v="0.67500000000000004"/>
    <n v="4217"/>
    <n v="72"/>
    <n v="0.5"/>
    <n v="0.56599999999999995"/>
    <n v="3.3576999999999999E-4"/>
    <n v="0.99965999999999999"/>
    <s v="0.1194876587249076"/>
    <s v="49.52536917748098"/>
    <s v="194.30185423479216"/>
    <s v="25.434034026296565"/>
    <n v="715765758"/>
    <x v="0"/>
    <n v="5.6825980000000005E-4"/>
    <x v="0"/>
  </r>
  <r>
    <n v="45"/>
    <n v="0"/>
    <n v="4"/>
    <n v="2"/>
    <n v="2"/>
    <n v="1"/>
    <n v="0"/>
    <n v="34"/>
    <n v="3"/>
    <n v="2"/>
    <n v="2"/>
    <n v="2700"/>
    <n v="1977"/>
    <n v="723"/>
    <n v="0.80100000000000005"/>
    <n v="4984"/>
    <n v="75"/>
    <n v="1.083"/>
    <n v="0.73199999999999998"/>
    <n v="1.1937E-4"/>
    <n v="0.99987999999999999"/>
    <s v="19.776144840993823"/>
    <s v="76.44868517204063"/>
    <s v="74.88429201426038"/>
    <s v="7.511814021495203"/>
    <n v="719614758"/>
    <x v="0"/>
    <n v="3.2101269999999999E-4"/>
    <x v="0"/>
  </r>
  <r>
    <n v="36"/>
    <n v="1"/>
    <n v="3"/>
    <n v="2"/>
    <n v="1"/>
    <n v="3"/>
    <n v="0"/>
    <n v="21"/>
    <n v="5"/>
    <n v="3"/>
    <n v="2"/>
    <n v="5015"/>
    <n v="1963"/>
    <n v="3052"/>
    <n v="0.88100000000000001"/>
    <n v="2491"/>
    <n v="43"/>
    <n v="0.87"/>
    <n v="0.39100000000000001"/>
    <n v="0.99467000000000005"/>
    <n v="5.3299999999999997E-3"/>
    <s v="11.41908988766514"/>
    <s v="53.05671926693865"/>
    <s v="14.357575668374611"/>
    <s v="0.8001343848706609"/>
    <n v="794675058"/>
    <x v="1"/>
    <n v="0.99482179999999998"/>
    <x v="1"/>
  </r>
  <r>
    <n v="60"/>
    <n v="0"/>
    <n v="2"/>
    <n v="0"/>
    <n v="1"/>
    <n v="4"/>
    <n v="0"/>
    <n v="41"/>
    <n v="6"/>
    <n v="2"/>
    <n v="2"/>
    <n v="4167"/>
    <n v="0"/>
    <n v="4167"/>
    <n v="0.91700000000000004"/>
    <n v="5039"/>
    <n v="85"/>
    <n v="0.80900000000000005"/>
    <n v="0"/>
    <n v="1.1066E-4"/>
    <n v="0.99988999999999995"/>
    <s v="20.32690466731511"/>
    <s v="5.655285595609669"/>
    <s v="31.338203005024035"/>
    <s v="7.946276597108251"/>
    <n v="719794383"/>
    <x v="0"/>
    <n v="7.4699510000000001E-4"/>
    <x v="0"/>
  </r>
  <r>
    <n v="48"/>
    <n v="0"/>
    <n v="5"/>
    <n v="2"/>
    <n v="2"/>
    <n v="4"/>
    <n v="0"/>
    <n v="38"/>
    <n v="5"/>
    <n v="3"/>
    <n v="2"/>
    <n v="1605"/>
    <n v="1300"/>
    <n v="305"/>
    <n v="0.95"/>
    <n v="4495"/>
    <n v="67"/>
    <n v="0.71799999999999997"/>
    <n v="0.81"/>
    <n v="1.8569999999999999E-4"/>
    <n v="0.99980999999999998"/>
    <s v="38.08940993517388"/>
    <s v="50.70784616062229"/>
    <s v="53.07690010028852"/>
    <s v="4.169536995756331"/>
    <n v="709892658"/>
    <x v="0"/>
    <n v="3.221314E-4"/>
    <x v="0"/>
  </r>
  <r>
    <n v="51"/>
    <n v="1"/>
    <n v="1"/>
    <n v="5"/>
    <n v="1"/>
    <n v="3"/>
    <n v="0"/>
    <n v="41"/>
    <n v="5"/>
    <n v="3"/>
    <n v="3"/>
    <n v="5638"/>
    <n v="808"/>
    <n v="4830"/>
    <n v="0.78100000000000003"/>
    <n v="2036"/>
    <n v="50"/>
    <n v="0.61299999999999999"/>
    <n v="0.14299999999999999"/>
    <n v="2.9196000000000002E-4"/>
    <n v="0.99970999999999999"/>
    <s v="3.416029406033142"/>
    <s v="43.58892079215919"/>
    <s v="108.82582100977132"/>
    <s v="0.7654336061352278"/>
    <n v="772674933"/>
    <x v="0"/>
    <n v="1.6739984E-3"/>
    <x v="0"/>
  </r>
  <r>
    <n v="46"/>
    <n v="0"/>
    <n v="2"/>
    <n v="2"/>
    <n v="1"/>
    <n v="4"/>
    <n v="0"/>
    <n v="38"/>
    <n v="4"/>
    <n v="3"/>
    <n v="0"/>
    <n v="2888"/>
    <n v="2245"/>
    <n v="643"/>
    <n v="0.77200000000000002"/>
    <n v="1111"/>
    <n v="26"/>
    <n v="0.36799999999999999"/>
    <n v="0.77700000000000002"/>
    <s v="6.6354e-05"/>
    <n v="0.99992999999999999"/>
    <n v="15.3465862476993"/>
    <s v="74.50143487521471"/>
    <s v="88.97696034141377"/>
    <s v="1.9083594141098787"/>
    <n v="710802258"/>
    <x v="0"/>
    <n v="1.2315542E-3"/>
    <x v="0"/>
  </r>
  <r>
    <n v="43"/>
    <n v="0"/>
    <n v="1"/>
    <n v="6"/>
    <n v="0"/>
    <n v="4"/>
    <n v="0"/>
    <n v="36"/>
    <n v="4"/>
    <n v="2"/>
    <n v="3"/>
    <n v="2637"/>
    <n v="1272"/>
    <n v="1365"/>
    <n v="0.72799999999999998"/>
    <n v="1569"/>
    <n v="39"/>
    <n v="1.0529999999999999"/>
    <n v="0.48199999999999998"/>
    <n v="1.9751E-4"/>
    <n v="0.99980000000000002"/>
    <s v="12.644741718412275"/>
    <s v="19.621529860018505"/>
    <s v="52.090533884904005"/>
    <s v="4.8442002820349455"/>
    <n v="708577308"/>
    <x v="0"/>
    <n v="9.8706899999999992E-4"/>
    <x v="0"/>
  </r>
  <r>
    <n v="42"/>
    <n v="1"/>
    <n v="4"/>
    <n v="3"/>
    <n v="1"/>
    <n v="2"/>
    <n v="0"/>
    <n v="27"/>
    <n v="2"/>
    <n v="3"/>
    <n v="2"/>
    <n v="13804"/>
    <n v="1903"/>
    <n v="11901"/>
    <n v="0.72299999999999998"/>
    <n v="7376"/>
    <n v="97"/>
    <n v="0.54"/>
    <n v="0.13800000000000001"/>
    <n v="1.8338999999999999E-4"/>
    <n v="0.99982000000000004"/>
    <s v="16.13694855550168"/>
    <s v="33.96778532692938"/>
    <s v="78.55939216128205"/>
    <s v="11.807602244751893"/>
    <n v="715851333"/>
    <x v="0"/>
    <n v="3.7789578000000003E-4"/>
    <x v="0"/>
  </r>
  <r>
    <n v="42"/>
    <n v="0"/>
    <n v="1"/>
    <n v="2"/>
    <n v="1"/>
    <n v="4"/>
    <n v="0"/>
    <n v="36"/>
    <n v="5"/>
    <n v="1"/>
    <n v="2"/>
    <n v="2393"/>
    <n v="1985"/>
    <n v="408"/>
    <n v="0.78800000000000003"/>
    <n v="978"/>
    <n v="16"/>
    <n v="0.77800000000000002"/>
    <n v="0.83"/>
    <s v="5.1697e-05"/>
    <n v="0.99995000000000001"/>
    <s v="13.402081652036056"/>
    <n v="92.783256709412001"/>
    <s v="10.832532289676603"/>
    <s v="16.69209000966491"/>
    <n v="714752208"/>
    <x v="0"/>
    <n v="1.1172062E-3"/>
    <x v="0"/>
  </r>
  <r>
    <n v="53"/>
    <n v="0"/>
    <n v="3"/>
    <n v="0"/>
    <n v="1"/>
    <n v="4"/>
    <n v="0"/>
    <n v="43"/>
    <n v="4"/>
    <n v="2"/>
    <n v="3"/>
    <n v="1438.3"/>
    <n v="721"/>
    <n v="717.3"/>
    <n v="0.60099999999999998"/>
    <n v="4606"/>
    <n v="86"/>
    <n v="0.95499999999999996"/>
    <n v="0.501"/>
    <n v="1.9312999999999999E-4"/>
    <n v="0.99980999999999998"/>
    <s v="23.494086235962328"/>
    <s v="40.45275761537742"/>
    <s v="42.09721723591592"/>
    <s v="12.30045858760689"/>
    <n v="714533058"/>
    <x v="0"/>
    <n v="5.4489190000000002E-4"/>
    <x v="0"/>
  </r>
  <r>
    <n v="50"/>
    <n v="0"/>
    <n v="3"/>
    <n v="5"/>
    <n v="1"/>
    <n v="4"/>
    <n v="0"/>
    <n v="36"/>
    <n v="3"/>
    <n v="2"/>
    <n v="2"/>
    <n v="2615"/>
    <n v="1404"/>
    <n v="1211"/>
    <n v="0.503"/>
    <n v="3785"/>
    <n v="67"/>
    <n v="1.161"/>
    <n v="0.53700000000000003"/>
    <n v="1.2144E-4"/>
    <n v="0.99987999999999999"/>
    <s v="29.228016271427983"/>
    <s v="44.02822662527604"/>
    <s v="33.90110619133953"/>
    <s v="3.9677183708958346"/>
    <n v="710966433"/>
    <x v="0"/>
    <n v="3.2101269999999999E-4"/>
    <x v="0"/>
  </r>
  <r>
    <n v="36"/>
    <n v="1"/>
    <n v="2"/>
    <n v="0"/>
    <n v="2"/>
    <n v="3"/>
    <n v="0"/>
    <n v="31"/>
    <n v="5"/>
    <n v="2"/>
    <n v="3"/>
    <n v="5821"/>
    <n v="764"/>
    <n v="5057"/>
    <n v="0.68799999999999994"/>
    <n v="5291"/>
    <n v="96"/>
    <n v="0.68400000000000005"/>
    <n v="0.13100000000000001"/>
    <n v="1.8611999999999999E-4"/>
    <n v="0.99980999999999998"/>
    <s v="4.501240767412071"/>
    <s v="25.181671029233424"/>
    <s v="15.103690064578329"/>
    <s v="6.962502613483555"/>
    <n v="816761433"/>
    <x v="0"/>
    <n v="5.6985276999999999E-4"/>
    <x v="0"/>
  </r>
  <r>
    <n v="44"/>
    <n v="0"/>
    <n v="4"/>
    <n v="2"/>
    <n v="0"/>
    <n v="4"/>
    <n v="0"/>
    <n v="30"/>
    <n v="4"/>
    <n v="3"/>
    <n v="2"/>
    <n v="1791"/>
    <n v="1314"/>
    <n v="477"/>
    <n v="0.72499999999999998"/>
    <n v="5109"/>
    <n v="79"/>
    <n v="0.75600000000000001"/>
    <n v="0.73399999999999999"/>
    <n v="1.8864000000000001E-4"/>
    <n v="0.99980999999999998"/>
    <s v="31.02033359693268"/>
    <s v="58.61735433312381"/>
    <s v="44.17152789715493"/>
    <s v="4.922205240010366"/>
    <n v="712394283"/>
    <x v="0"/>
    <n v="3.2101269999999999E-4"/>
    <x v="0"/>
  </r>
  <r>
    <n v="49"/>
    <n v="0"/>
    <n v="2"/>
    <n v="3"/>
    <n v="1"/>
    <n v="5"/>
    <n v="0"/>
    <n v="36"/>
    <n v="6"/>
    <n v="2"/>
    <n v="3"/>
    <n v="15704"/>
    <n v="0"/>
    <n v="15704"/>
    <n v="0.92400000000000004"/>
    <n v="4253"/>
    <n v="91"/>
    <n v="0.68500000000000005"/>
    <n v="0"/>
    <n v="1.861E-4"/>
    <n v="0.99980999999999998"/>
    <s v="25.31315301336628"/>
    <s v="16.514866306088244"/>
    <n v="59.898889094785602"/>
    <s v="10.28933614387523"/>
    <n v="715179933"/>
    <x v="0"/>
    <n v="7.4699510000000001E-4"/>
    <x v="0"/>
  </r>
  <r>
    <n v="47"/>
    <n v="0"/>
    <n v="4"/>
    <n v="3"/>
    <n v="0"/>
    <n v="4"/>
    <n v="0"/>
    <n v="36"/>
    <n v="5"/>
    <n v="4"/>
    <n v="2"/>
    <n v="2776"/>
    <n v="1341"/>
    <n v="1435"/>
    <n v="0.74399999999999999"/>
    <n v="4318"/>
    <n v="68"/>
    <n v="0.94299999999999995"/>
    <n v="0.48299999999999998"/>
    <n v="2.2162000000000001E-4"/>
    <n v="0.99978"/>
    <s v="29.59090143570141"/>
    <s v="36.07134003373944"/>
    <s v="56.58780867478822"/>
    <s v="14.871966052084485"/>
    <n v="708375858"/>
    <x v="0"/>
    <n v="3.2101269999999999E-4"/>
    <x v="0"/>
  </r>
  <r>
    <n v="47"/>
    <n v="1"/>
    <n v="1"/>
    <n v="3"/>
    <n v="1"/>
    <n v="2"/>
    <n v="0"/>
    <n v="29"/>
    <n v="3"/>
    <n v="2"/>
    <n v="2"/>
    <n v="3394"/>
    <n v="0"/>
    <n v="3394"/>
    <n v="0.45400000000000001"/>
    <n v="3115"/>
    <n v="69"/>
    <n v="0.81599999999999995"/>
    <n v="0"/>
    <n v="1.0386E-4"/>
    <n v="0.99990000000000001"/>
    <s v="2.7767795903521524"/>
    <s v="45.43139052297856"/>
    <s v="62.29633682179103"/>
    <s v="6.8393569019174185"/>
    <n v="712568358"/>
    <x v="0"/>
    <n v="8.1548570000000004E-4"/>
    <x v="0"/>
  </r>
  <r>
    <n v="46"/>
    <n v="1"/>
    <n v="4"/>
    <n v="3"/>
    <n v="1"/>
    <n v="3"/>
    <n v="0"/>
    <n v="37"/>
    <n v="3"/>
    <n v="2"/>
    <n v="3"/>
    <n v="15535"/>
    <n v="1302"/>
    <n v="14233"/>
    <n v="0.46100000000000002"/>
    <n v="3718"/>
    <n v="66"/>
    <n v="0.61"/>
    <n v="8.4000000000000005E-2"/>
    <n v="1.9516999999999999E-4"/>
    <n v="0.99980000000000002"/>
    <n v="14.810254408885999"/>
    <n v="8.7514589484256007"/>
    <s v="14.619822237905868"/>
    <n v="7.3864387640966395E-2"/>
    <n v="715240683"/>
    <x v="0"/>
    <n v="3.3858346E-4"/>
    <x v="0"/>
  </r>
  <r>
    <n v="35"/>
    <n v="0"/>
    <n v="1"/>
    <n v="5"/>
    <n v="2"/>
    <n v="5"/>
    <n v="3"/>
    <n v="27"/>
    <n v="4"/>
    <n v="3"/>
    <n v="2"/>
    <n v="34516"/>
    <n v="0"/>
    <n v="34516"/>
    <n v="0.68200000000000005"/>
    <n v="2562"/>
    <n v="62"/>
    <n v="0.72199999999999998"/>
    <n v="0"/>
    <n v="1.5686000000000001E-4"/>
    <n v="0.99983999999999995"/>
    <s v="5.498828655112421"/>
    <n v="4.6451144254779404"/>
    <s v="33.966421466535046"/>
    <s v="10.775157746062602"/>
    <n v="720639783"/>
    <x v="0"/>
    <n v="1.0180222E-3"/>
    <x v="0"/>
  </r>
  <r>
    <n v="41"/>
    <n v="0"/>
    <n v="2"/>
    <n v="5"/>
    <n v="1"/>
    <n v="1"/>
    <n v="0"/>
    <n v="36"/>
    <n v="5"/>
    <n v="3"/>
    <n v="3"/>
    <n v="2690"/>
    <n v="1912"/>
    <n v="778"/>
    <n v="0.69199999999999995"/>
    <n v="3636"/>
    <n v="68"/>
    <n v="0.7"/>
    <n v="0.71099999999999997"/>
    <n v="3.1104E-4"/>
    <n v="0.99968999999999997"/>
    <s v="7.909489161596575"/>
    <n v="57.293298618920701"/>
    <s v="52.38610693814758"/>
    <s v="11.879148577136474"/>
    <n v="713350908"/>
    <x v="0"/>
    <n v="3.2101269999999999E-4"/>
    <x v="0"/>
  </r>
  <r>
    <n v="56"/>
    <n v="0"/>
    <n v="2"/>
    <n v="0"/>
    <n v="2"/>
    <n v="4"/>
    <n v="0"/>
    <n v="52"/>
    <n v="3"/>
    <n v="5"/>
    <n v="1"/>
    <n v="3639"/>
    <n v="2178"/>
    <n v="1461"/>
    <n v="0.45100000000000001"/>
    <n v="1865"/>
    <n v="42"/>
    <n v="0.5"/>
    <n v="0.59899999999999998"/>
    <n v="0.99158000000000002"/>
    <n v="8.4200000000000004E-3"/>
    <s v="32.928771761729834"/>
    <s v="1.7718923760275498"/>
    <n v="81.204370424627896"/>
    <s v="10.00476493131572"/>
    <n v="827476983"/>
    <x v="1"/>
    <n v="0.99494959999999999"/>
    <x v="1"/>
  </r>
  <r>
    <n v="38"/>
    <n v="0"/>
    <n v="1"/>
    <n v="0"/>
    <n v="2"/>
    <n v="4"/>
    <n v="0"/>
    <n v="28"/>
    <n v="2"/>
    <n v="2"/>
    <n v="2"/>
    <n v="4623"/>
    <n v="1366"/>
    <n v="3257"/>
    <n v="0.77600000000000002"/>
    <n v="14730"/>
    <n v="118"/>
    <n v="0.73499999999999999"/>
    <n v="0.29499999999999998"/>
    <n v="1.0387000000000001E-4"/>
    <n v="0.99990000000000001"/>
    <s v="5.630959017277653"/>
    <s v="17.581651713374907"/>
    <s v="104.52523852778684"/>
    <s v="11.432968340412613"/>
    <n v="772640808"/>
    <x v="0"/>
    <n v="3.4656386999999997E-4"/>
    <x v="0"/>
  </r>
  <r>
    <n v="46"/>
    <n v="0"/>
    <n v="5"/>
    <n v="3"/>
    <n v="1"/>
    <n v="5"/>
    <n v="0"/>
    <n v="36"/>
    <n v="5"/>
    <n v="3"/>
    <n v="0"/>
    <n v="3562"/>
    <n v="0"/>
    <n v="3562"/>
    <n v="0.753"/>
    <n v="4198"/>
    <n v="77"/>
    <n v="0.75"/>
    <n v="0"/>
    <s v="6.6595e-05"/>
    <n v="0.99992999999999999"/>
    <s v="29.256583387561765"/>
    <s v="2.5164711726199567"/>
    <s v="118.54988646306764"/>
    <s v="5.452527228759078"/>
    <n v="713431008"/>
    <x v="0"/>
    <n v="6.9517245999999998E-4"/>
    <x v="0"/>
  </r>
  <r>
    <n v="43"/>
    <n v="1"/>
    <n v="3"/>
    <n v="3"/>
    <n v="1"/>
    <n v="2"/>
    <n v="0"/>
    <n v="36"/>
    <n v="1"/>
    <n v="3"/>
    <n v="3"/>
    <n v="8663"/>
    <n v="288"/>
    <n v="8375"/>
    <n v="0.63900000000000001"/>
    <n v="916"/>
    <n v="33"/>
    <n v="0.32"/>
    <n v="3.3000000000000002E-2"/>
    <n v="0.99673"/>
    <n v="3.2652800000000002E-3"/>
    <s v="33.50966237185593"/>
    <s v="57.68412107498318"/>
    <s v="121.60092921251008"/>
    <s v="20.535874764625746"/>
    <n v="714208533"/>
    <x v="1"/>
    <n v="0.99867486999999999"/>
    <x v="1"/>
  </r>
  <r>
    <n v="30"/>
    <n v="1"/>
    <n v="0"/>
    <n v="2"/>
    <n v="2"/>
    <n v="4"/>
    <n v="3"/>
    <n v="36"/>
    <n v="4"/>
    <n v="3"/>
    <n v="3"/>
    <n v="12833"/>
    <n v="0"/>
    <n v="12833"/>
    <n v="0.85299999999999998"/>
    <n v="9619"/>
    <n v="75"/>
    <n v="0.78600000000000003"/>
    <n v="0"/>
    <n v="0.99575999999999998"/>
    <n v="4.2440400000000001E-3"/>
    <s v="53.18971007303432"/>
    <s v="67.58816224256701"/>
    <s v="17.910455177915964"/>
    <s v="20.390281503268493"/>
    <n v="710066133"/>
    <x v="1"/>
    <n v="0.99482214000000002"/>
    <x v="1"/>
  </r>
  <r>
    <n v="39"/>
    <n v="1"/>
    <n v="4"/>
    <n v="2"/>
    <n v="2"/>
    <n v="2"/>
    <n v="0"/>
    <n v="26"/>
    <n v="6"/>
    <n v="2"/>
    <n v="0"/>
    <n v="4534"/>
    <n v="917"/>
    <n v="3617"/>
    <n v="0.84"/>
    <n v="4211"/>
    <n v="66"/>
    <n v="0.61"/>
    <n v="0.20200000000000001"/>
    <s v="4.4033e-05"/>
    <n v="0.99995999999999996"/>
    <s v="23.08617371387284"/>
    <s v="54.713635446937865"/>
    <s v="14.420697337228196"/>
    <s v="1.7356591482879988"/>
    <n v="720043533"/>
    <x v="0"/>
    <n v="4.2026640000000001E-4"/>
    <x v="0"/>
  </r>
  <r>
    <n v="48"/>
    <n v="0"/>
    <n v="5"/>
    <n v="3"/>
    <n v="2"/>
    <n v="1"/>
    <n v="0"/>
    <n v="42"/>
    <n v="5"/>
    <n v="1"/>
    <n v="2"/>
    <n v="2465"/>
    <n v="1128"/>
    <n v="1337"/>
    <n v="0.61299999999999999"/>
    <n v="4030"/>
    <n v="86"/>
    <n v="0.48299999999999998"/>
    <n v="0.45800000000000002"/>
    <s v="5.5277e-05"/>
    <n v="0.99994000000000005"/>
    <s v="29.38882645715648"/>
    <n v="22.618761728313"/>
    <s v="206.3269406498074"/>
    <s v="1.3448670999313606"/>
    <n v="796236258"/>
    <x v="0"/>
    <n v="3.5747702000000001E-4"/>
    <x v="0"/>
  </r>
  <r>
    <n v="55"/>
    <n v="0"/>
    <n v="1"/>
    <n v="2"/>
    <n v="1"/>
    <n v="4"/>
    <n v="0"/>
    <n v="38"/>
    <n v="5"/>
    <n v="5"/>
    <n v="2"/>
    <n v="2033"/>
    <n v="1037"/>
    <n v="996"/>
    <n v="1.0640000000000001"/>
    <n v="4100"/>
    <n v="82"/>
    <n v="0.70799999999999996"/>
    <n v="0.51"/>
    <n v="1.8856999999999999E-4"/>
    <n v="0.99980999999999998"/>
    <s v="18.59251286783775"/>
    <s v="53.56284348908834"/>
    <s v="141.84510150166906"/>
    <s v="17.26410694997556"/>
    <n v="779643858"/>
    <x v="0"/>
    <n v="3.221314E-4"/>
    <x v="0"/>
  </r>
  <r>
    <n v="42"/>
    <n v="0"/>
    <n v="4"/>
    <n v="5"/>
    <n v="1"/>
    <n v="4"/>
    <n v="0"/>
    <n v="35"/>
    <n v="4"/>
    <n v="3"/>
    <n v="1"/>
    <n v="1539"/>
    <n v="0"/>
    <n v="1539"/>
    <n v="0.94399999999999995"/>
    <n v="4793"/>
    <n v="71"/>
    <n v="0.61399999999999999"/>
    <n v="0"/>
    <n v="1.1697E-4"/>
    <n v="0.99987999999999999"/>
    <n v="65.782772023001897"/>
    <s v="76.72805193796472"/>
    <n v="57.431256926906499"/>
    <s v="5.789529662408766"/>
    <n v="756477333"/>
    <x v="0"/>
    <n v="7.8830344000000005E-4"/>
    <x v="0"/>
  </r>
  <r>
    <n v="51"/>
    <n v="1"/>
    <n v="3"/>
    <n v="4"/>
    <n v="1"/>
    <n v="3"/>
    <n v="3"/>
    <n v="37"/>
    <n v="6"/>
    <n v="2"/>
    <n v="2"/>
    <n v="34516"/>
    <n v="989"/>
    <n v="33527"/>
    <n v="1.0209999999999999"/>
    <n v="4810"/>
    <n v="55"/>
    <n v="0.34100000000000003"/>
    <n v="2.9000000000000001E-2"/>
    <n v="0.99209999999999998"/>
    <n v="7.9000000000000008E-3"/>
    <s v="4.170070163219325"/>
    <s v="22.08116784788585"/>
    <s v="22.76224455623211"/>
    <s v="5.709066280971472"/>
    <n v="788943333"/>
    <x v="1"/>
    <n v="0.98937713999999999"/>
    <x v="1"/>
  </r>
  <r>
    <n v="58"/>
    <n v="0"/>
    <n v="0"/>
    <n v="3"/>
    <n v="1"/>
    <n v="4"/>
    <n v="0"/>
    <n v="36"/>
    <n v="3"/>
    <n v="3"/>
    <n v="1"/>
    <n v="2241"/>
    <n v="1670"/>
    <n v="571"/>
    <n v="0.70399999999999996"/>
    <n v="4653"/>
    <n v="75"/>
    <n v="0.63"/>
    <n v="0.745"/>
    <s v="9.0493e-05"/>
    <n v="0.99990999999999997"/>
    <s v="7.533028809118678"/>
    <s v="77.70247721141604"/>
    <s v="12.649798204409946"/>
    <n v="9.3149300399966108"/>
    <n v="714074808"/>
    <x v="0"/>
    <n v="3.2914013999999999E-4"/>
    <x v="0"/>
  </r>
  <r>
    <n v="49"/>
    <n v="0"/>
    <n v="1"/>
    <n v="5"/>
    <n v="0"/>
    <n v="1"/>
    <n v="0"/>
    <n v="37"/>
    <n v="6"/>
    <n v="2"/>
    <n v="2"/>
    <n v="2173"/>
    <n v="0"/>
    <n v="2173"/>
    <n v="0.65200000000000002"/>
    <n v="2379"/>
    <n v="57"/>
    <n v="0.78100000000000003"/>
    <n v="0"/>
    <n v="0.99097999999999997"/>
    <n v="9.0200000000000002E-3"/>
    <s v="8.452796034565525"/>
    <s v="21.059234529348934"/>
    <n v="69.845739632361997"/>
    <s v="12.656519215630649"/>
    <n v="771783333"/>
    <x v="1"/>
    <n v="0.99582075999999997"/>
    <x v="1"/>
  </r>
  <r>
    <n v="53"/>
    <n v="0"/>
    <n v="2"/>
    <n v="3"/>
    <n v="1"/>
    <n v="5"/>
    <n v="0"/>
    <n v="47"/>
    <n v="3"/>
    <n v="1"/>
    <n v="1"/>
    <n v="7469"/>
    <n v="1294"/>
    <n v="6175"/>
    <n v="0.86899999999999999"/>
    <n v="15212"/>
    <n v="124"/>
    <n v="0.746"/>
    <n v="0.17299999999999999"/>
    <s v="3.2288e-05"/>
    <n v="0.99997000000000003"/>
    <s v="9.346997946700911"/>
    <s v="5.142645547546847"/>
    <s v="108.80542835910512"/>
    <s v="6.804568618544181"/>
    <n v="719595708"/>
    <x v="0"/>
    <n v="3.4656386999999997E-4"/>
    <x v="0"/>
  </r>
  <r>
    <n v="38"/>
    <n v="0"/>
    <n v="4"/>
    <n v="2"/>
    <n v="2"/>
    <n v="5"/>
    <n v="0"/>
    <n v="28"/>
    <n v="2"/>
    <n v="3"/>
    <n v="3"/>
    <n v="9830"/>
    <n v="2055"/>
    <n v="7775"/>
    <n v="0.97699999999999998"/>
    <n v="1042"/>
    <n v="23"/>
    <n v="0.91700000000000004"/>
    <n v="0.20899999999999999"/>
    <n v="3.1725999999999998E-4"/>
    <n v="0.99968000000000001"/>
    <s v="4.581486385944378"/>
    <s v="17.20939503583522"/>
    <s v="143.69751927300194"/>
    <s v="15.92080181581171"/>
    <n v="720572508"/>
    <x v="0"/>
    <n v="1.3272067000000001E-3"/>
    <x v="0"/>
  </r>
  <r>
    <n v="39"/>
    <n v="0"/>
    <n v="3"/>
    <n v="3"/>
    <n v="2"/>
    <n v="4"/>
    <n v="0"/>
    <n v="36"/>
    <n v="6"/>
    <n v="1"/>
    <n v="3"/>
    <n v="3651"/>
    <n v="0"/>
    <n v="3651"/>
    <n v="0.97699999999999998"/>
    <n v="862"/>
    <n v="19"/>
    <n v="1.111"/>
    <n v="0"/>
    <n v="0.98941000000000001"/>
    <n v="1.059E-2"/>
    <s v="11.254883399511668"/>
    <s v="66.82166310042297"/>
    <s v="83.78088599991824"/>
    <n v="5.7974239357251998"/>
    <n v="714983283"/>
    <x v="1"/>
    <n v="0.99811744999999996"/>
    <x v="1"/>
  </r>
  <r>
    <n v="37"/>
    <n v="1"/>
    <n v="3"/>
    <n v="3"/>
    <n v="2"/>
    <n v="0"/>
    <n v="0"/>
    <n v="36"/>
    <n v="3"/>
    <n v="2"/>
    <n v="2"/>
    <n v="7361"/>
    <n v="0"/>
    <n v="7361"/>
    <n v="0.59"/>
    <n v="2109"/>
    <n v="44"/>
    <n v="0.57099999999999995"/>
    <n v="0"/>
    <n v="0.99136999999999997"/>
    <n v="8.6300000000000005E-3"/>
    <s v="6.177150027299792"/>
    <s v="16.499317884221693"/>
    <n v="71.115378515342499"/>
    <s v="8.362274755379243"/>
    <n v="712998033"/>
    <x v="1"/>
    <n v="0.99876772999999996"/>
    <x v="1"/>
  </r>
  <r>
    <n v="39"/>
    <n v="1"/>
    <n v="3"/>
    <n v="2"/>
    <n v="2"/>
    <n v="3"/>
    <n v="0"/>
    <n v="34"/>
    <n v="4"/>
    <n v="3"/>
    <n v="5"/>
    <n v="19074"/>
    <n v="0"/>
    <n v="19074"/>
    <n v="0.80400000000000005"/>
    <n v="3762"/>
    <n v="74"/>
    <n v="1"/>
    <n v="0"/>
    <n v="9.2621000000000001E-4"/>
    <n v="0.99907000000000001"/>
    <s v="4.4427215305160495"/>
    <s v="21.14694696846446"/>
    <s v="12.178671953780402"/>
    <s v="2.125137115499298"/>
    <n v="803963808"/>
    <x v="0"/>
    <n v="5.2604265999999997E-2"/>
    <x v="0"/>
  </r>
  <r>
    <n v="41"/>
    <n v="1"/>
    <n v="2"/>
    <n v="6"/>
    <n v="2"/>
    <n v="3"/>
    <n v="0"/>
    <n v="28"/>
    <n v="1"/>
    <n v="2"/>
    <n v="3"/>
    <n v="13679"/>
    <n v="2267"/>
    <n v="11412"/>
    <n v="1.232"/>
    <n v="15180"/>
    <n v="103"/>
    <n v="0.68899999999999995"/>
    <n v="0.16600000000000001"/>
    <n v="2.1042000000000001E-4"/>
    <n v="0.99978999999999996"/>
    <s v="19.868572960764084"/>
    <s v="43.307399493978686"/>
    <s v="41.71587798903829"/>
    <s v="7.165383207511197"/>
    <n v="770970558"/>
    <x v="0"/>
    <n v="3.6437239999999999E-4"/>
    <x v="0"/>
  </r>
  <r>
    <n v="55"/>
    <n v="1"/>
    <n v="2"/>
    <n v="3"/>
    <n v="1"/>
    <n v="2"/>
    <n v="0"/>
    <n v="36"/>
    <n v="4"/>
    <n v="3"/>
    <n v="3"/>
    <n v="7231"/>
    <n v="2381"/>
    <n v="4850"/>
    <n v="0.996"/>
    <n v="1421"/>
    <n v="23"/>
    <n v="1.3"/>
    <n v="0.32900000000000001"/>
    <n v="2.9408E-4"/>
    <n v="0.99970999999999999"/>
    <s v="69.31165424493331"/>
    <s v="10.25688236667858"/>
    <s v="72.20381624112578"/>
    <s v="1.6152356324568284"/>
    <n v="714982383"/>
    <x v="0"/>
    <n v="9.8706899999999992E-4"/>
    <x v="0"/>
  </r>
  <r>
    <n v="43"/>
    <n v="1"/>
    <n v="2"/>
    <n v="2"/>
    <n v="3"/>
    <n v="2"/>
    <n v="0"/>
    <n v="25"/>
    <n v="5"/>
    <n v="3"/>
    <n v="1"/>
    <n v="7534"/>
    <n v="0"/>
    <n v="7534"/>
    <n v="0.58699999999999997"/>
    <n v="4685"/>
    <n v="79"/>
    <n v="0.97499999999999998"/>
    <n v="0"/>
    <n v="1.0848E-4"/>
    <n v="0.99988999999999995"/>
    <n v="80.772551049783104"/>
    <s v="32.45969905147951"/>
    <n v="72.565347587189095"/>
    <s v="3.9837908645235545"/>
    <n v="714196008"/>
    <x v="0"/>
    <n v="6.9517245999999998E-4"/>
    <x v="0"/>
  </r>
  <r>
    <n v="41"/>
    <n v="0"/>
    <n v="4"/>
    <n v="3"/>
    <n v="2"/>
    <n v="4"/>
    <n v="0"/>
    <n v="36"/>
    <n v="6"/>
    <n v="3"/>
    <n v="3"/>
    <n v="4720"/>
    <n v="0"/>
    <n v="4720"/>
    <n v="0.97799999999999998"/>
    <n v="8798"/>
    <n v="67"/>
    <n v="0.67500000000000004"/>
    <n v="0"/>
    <n v="0.99677000000000004"/>
    <n v="3.2308599999999999E-3"/>
    <s v="45.55460913346982"/>
    <s v="62.78440633921094"/>
    <s v="28.394072849041432"/>
    <s v="1.6133019089305798"/>
    <n v="718080558"/>
    <x v="1"/>
    <n v="0.9954307"/>
    <x v="1"/>
  </r>
  <r>
    <n v="38"/>
    <n v="0"/>
    <n v="3"/>
    <n v="3"/>
    <n v="2"/>
    <n v="1"/>
    <n v="1"/>
    <n v="26"/>
    <n v="2"/>
    <n v="2"/>
    <n v="1"/>
    <n v="23981"/>
    <n v="0"/>
    <n v="23981"/>
    <n v="0.74099999999999999"/>
    <n v="7872"/>
    <n v="103"/>
    <n v="0.63500000000000001"/>
    <n v="0"/>
    <s v="7.9774e-05"/>
    <n v="0.99992000000000003"/>
    <s v="43.14145331331615"/>
    <s v="96.19634643309196"/>
    <s v="69.14189066476102"/>
    <s v="14.598354259849646"/>
    <n v="779779083"/>
    <x v="0"/>
    <n v="8.1829850000000003E-4"/>
    <x v="0"/>
  </r>
  <r>
    <n v="48"/>
    <n v="0"/>
    <n v="4"/>
    <n v="0"/>
    <n v="1"/>
    <n v="4"/>
    <n v="0"/>
    <n v="37"/>
    <n v="3"/>
    <n v="2"/>
    <n v="3"/>
    <n v="1745"/>
    <n v="0"/>
    <n v="1745"/>
    <n v="0.65700000000000003"/>
    <n v="2297"/>
    <n v="44"/>
    <n v="0.63"/>
    <n v="0"/>
    <n v="0.99490000000000001"/>
    <n v="5.1000000000000004E-3"/>
    <s v="1.3203447529785546"/>
    <s v="107.01900877412524"/>
    <s v="30.95149965644299"/>
    <s v="7.246606094219976"/>
    <n v="708972783"/>
    <x v="1"/>
    <n v="0.99854653999999998"/>
    <x v="1"/>
  </r>
  <r>
    <n v="62"/>
    <n v="0"/>
    <n v="1"/>
    <n v="0"/>
    <n v="1"/>
    <n v="4"/>
    <n v="0"/>
    <n v="44"/>
    <n v="3"/>
    <n v="2"/>
    <n v="3"/>
    <n v="2378"/>
    <n v="1610"/>
    <n v="768"/>
    <n v="0.44800000000000001"/>
    <n v="1807"/>
    <n v="45"/>
    <n v="0.60699999999999998"/>
    <n v="0.67700000000000005"/>
    <n v="1.7469999999999999E-4"/>
    <n v="0.99983"/>
    <s v="3.9579675693815286"/>
    <s v="26.633925878404987"/>
    <s v="49.84239460540826"/>
    <s v="10.086836899481824"/>
    <n v="779330208"/>
    <x v="0"/>
    <n v="1.0903810999999999E-3"/>
    <x v="0"/>
  </r>
  <r>
    <n v="49"/>
    <n v="0"/>
    <n v="4"/>
    <n v="5"/>
    <n v="1"/>
    <n v="4"/>
    <n v="0"/>
    <n v="38"/>
    <n v="1"/>
    <n v="3"/>
    <n v="3"/>
    <n v="2305"/>
    <n v="1173"/>
    <n v="1132"/>
    <n v="0.81799999999999995"/>
    <n v="5106"/>
    <n v="74"/>
    <n v="0.76200000000000001"/>
    <n v="0.50900000000000001"/>
    <n v="3.2620000000000001E-4"/>
    <n v="0.99966999999999995"/>
    <s v="34.30499540667555"/>
    <s v="25.829832356844697"/>
    <s v="115.58534112721838"/>
    <s v="26.948517235006523"/>
    <n v="719022558"/>
    <x v="0"/>
    <n v="3.2101269999999999E-4"/>
    <x v="0"/>
  </r>
  <r>
    <n v="43"/>
    <n v="0"/>
    <n v="2"/>
    <n v="6"/>
    <n v="2"/>
    <n v="5"/>
    <n v="0"/>
    <n v="27"/>
    <n v="1"/>
    <n v="3"/>
    <n v="3"/>
    <n v="3287"/>
    <n v="1697"/>
    <n v="1590"/>
    <n v="0.71099999999999997"/>
    <n v="5236"/>
    <n v="77"/>
    <n v="1.026"/>
    <n v="0.51600000000000001"/>
    <n v="3.3251E-4"/>
    <n v="0.99966999999999995"/>
    <s v="18.47078381840788"/>
    <s v="1.073863733379379"/>
    <s v="29.55157051126552"/>
    <n v="8.8592474951217302"/>
    <n v="794556333"/>
    <x v="0"/>
    <n v="3.2101269999999999E-4"/>
    <x v="0"/>
  </r>
  <r>
    <n v="45"/>
    <n v="1"/>
    <n v="4"/>
    <n v="6"/>
    <n v="1"/>
    <n v="0"/>
    <n v="0"/>
    <n v="33"/>
    <n v="6"/>
    <n v="1"/>
    <n v="3"/>
    <n v="34516"/>
    <n v="2086"/>
    <n v="32430"/>
    <n v="0.98599999999999999"/>
    <n v="1859"/>
    <n v="47"/>
    <n v="0.95799999999999996"/>
    <n v="0.06"/>
    <n v="1.0679E-4"/>
    <n v="0.99988999999999995"/>
    <s v="6.722984403856696"/>
    <s v="43.79929151768165"/>
    <n v="81.371273793055906"/>
    <s v="23.29103416484328"/>
    <n v="712372158"/>
    <x v="0"/>
    <n v="1.0985557E-3"/>
    <x v="0"/>
  </r>
  <r>
    <n v="40"/>
    <n v="0"/>
    <n v="3"/>
    <n v="0"/>
    <n v="3"/>
    <n v="5"/>
    <n v="0"/>
    <n v="28"/>
    <n v="2"/>
    <n v="3"/>
    <n v="1"/>
    <n v="2321"/>
    <n v="1190"/>
    <n v="1131"/>
    <n v="0.73599999999999999"/>
    <n v="5149"/>
    <n v="98"/>
    <n v="0.66100000000000003"/>
    <n v="0.51300000000000001"/>
    <n v="1.0944E-4"/>
    <n v="0.99988999999999995"/>
    <s v="33.637266513774314"/>
    <s v="6.963867797729503"/>
    <s v="69.59911293338547"/>
    <s v="6.780339684539193"/>
    <n v="710675508"/>
    <x v="0"/>
    <n v="3.2101269999999999E-4"/>
    <x v="0"/>
  </r>
  <r>
    <n v="44"/>
    <n v="1"/>
    <n v="3"/>
    <n v="3"/>
    <n v="2"/>
    <n v="2"/>
    <n v="3"/>
    <n v="36"/>
    <n v="5"/>
    <n v="2"/>
    <n v="3"/>
    <n v="25276"/>
    <n v="0"/>
    <n v="25276"/>
    <n v="0.84899999999999998"/>
    <n v="2282"/>
    <n v="38"/>
    <n v="0.58299999999999996"/>
    <n v="0"/>
    <n v="0.99429999999999996"/>
    <n v="5.7000000000000002E-3"/>
    <n v="24.331862201759201"/>
    <s v="51.544184201505175"/>
    <s v="19.45267746225383"/>
    <s v="7.566103908989158"/>
    <n v="718279008"/>
    <x v="1"/>
    <n v="0.99873226999999998"/>
    <x v="1"/>
  </r>
  <r>
    <n v="52"/>
    <n v="1"/>
    <n v="4"/>
    <n v="3"/>
    <n v="1"/>
    <n v="3"/>
    <n v="0"/>
    <n v="42"/>
    <n v="6"/>
    <n v="1"/>
    <n v="0"/>
    <n v="5738"/>
    <n v="1112"/>
    <n v="4626"/>
    <n v="1.5189999999999999"/>
    <n v="1922"/>
    <n v="48"/>
    <n v="0.65500000000000003"/>
    <n v="0.19400000000000001"/>
    <s v="2.0713e-05"/>
    <n v="0.99997999999999998"/>
    <s v="32.54806174659419"/>
    <s v="24.825357880294387"/>
    <s v="40.73792434314206"/>
    <s v="3.320862014161113"/>
    <n v="716920908"/>
    <x v="0"/>
    <n v="1.0343705999999999E-3"/>
    <x v="0"/>
  </r>
  <r>
    <n v="56"/>
    <n v="1"/>
    <n v="4"/>
    <n v="2"/>
    <n v="2"/>
    <n v="4"/>
    <n v="0"/>
    <n v="36"/>
    <n v="3"/>
    <n v="2"/>
    <n v="3"/>
    <n v="3057"/>
    <n v="1077"/>
    <n v="1980"/>
    <n v="0.93400000000000005"/>
    <n v="4449"/>
    <n v="77"/>
    <n v="0.878"/>
    <n v="0.35199999999999998"/>
    <n v="2.0076999999999999E-4"/>
    <n v="0.99980000000000002"/>
    <s v="1.9566681298805264"/>
    <s v="65.12265711327919"/>
    <s v="22.538842760348835"/>
    <s v="4.926089614937859"/>
    <n v="711419133"/>
    <x v="0"/>
    <n v="3.221314E-4"/>
    <x v="0"/>
  </r>
  <r>
    <n v="38"/>
    <n v="1"/>
    <n v="2"/>
    <n v="0"/>
    <n v="1"/>
    <n v="1"/>
    <n v="0"/>
    <n v="25"/>
    <n v="4"/>
    <n v="1"/>
    <n v="4"/>
    <n v="3735"/>
    <n v="1199"/>
    <n v="2536"/>
    <n v="0.88600000000000001"/>
    <n v="1573"/>
    <n v="35"/>
    <n v="0.75"/>
    <n v="0.32100000000000001"/>
    <n v="1.5364999999999999E-4"/>
    <n v="0.99985000000000002"/>
    <s v="46.74619354900066"/>
    <s v="46.53367750764995"/>
    <s v="45.92955685012795"/>
    <s v="10.619261088699364"/>
    <n v="717504258"/>
    <x v="0"/>
    <n v="1.0337284E-3"/>
    <x v="0"/>
  </r>
  <r>
    <n v="46"/>
    <n v="1"/>
    <n v="1"/>
    <n v="5"/>
    <n v="1"/>
    <n v="2"/>
    <n v="0"/>
    <n v="34"/>
    <n v="3"/>
    <n v="3"/>
    <n v="4"/>
    <n v="15060"/>
    <n v="0"/>
    <n v="15060"/>
    <n v="0.54500000000000004"/>
    <n v="1611"/>
    <n v="42"/>
    <n v="0.4"/>
    <n v="0"/>
    <n v="0.998"/>
    <n v="2.003E-3"/>
    <s v="49.39200616660347"/>
    <s v="49.79031025180252"/>
    <n v="3.8750668353659301"/>
    <s v="28.238100920414126"/>
    <n v="710674533"/>
    <x v="1"/>
    <n v="0.99820969999999998"/>
    <x v="1"/>
  </r>
  <r>
    <n v="39"/>
    <n v="0"/>
    <n v="4"/>
    <n v="0"/>
    <n v="1"/>
    <n v="1"/>
    <n v="0"/>
    <n v="28"/>
    <n v="4"/>
    <n v="2"/>
    <n v="4"/>
    <n v="7596"/>
    <n v="2199"/>
    <n v="5397"/>
    <n v="0.63300000000000001"/>
    <n v="2164"/>
    <n v="45"/>
    <n v="0.5"/>
    <n v="0.28899999999999998"/>
    <n v="0.99700999999999995"/>
    <n v="2.99329E-3"/>
    <s v="5.446292743286124"/>
    <s v="33.42760075788579"/>
    <s v="31.763373438359498"/>
    <s v="7.769861637829171"/>
    <n v="710411358"/>
    <x v="1"/>
    <n v="0.99467503999999995"/>
    <x v="1"/>
  </r>
  <r>
    <n v="56"/>
    <n v="0"/>
    <n v="5"/>
    <n v="0"/>
    <n v="2"/>
    <n v="4"/>
    <n v="0"/>
    <n v="43"/>
    <n v="4"/>
    <n v="1"/>
    <n v="0"/>
    <n v="2763"/>
    <n v="2517"/>
    <n v="246"/>
    <n v="0.93799999999999994"/>
    <n v="1246"/>
    <n v="31"/>
    <n v="0.82399999999999995"/>
    <n v="0.91100000000000003"/>
    <s v="2.0392e-05"/>
    <n v="0.99997999999999998"/>
    <s v="46.96761374032165"/>
    <s v="42.05846810037176"/>
    <s v="115.96545678771976"/>
    <s v="3.0373920210712746"/>
    <n v="710104908"/>
    <x v="0"/>
    <n v="1.0254878999999999E-3"/>
    <x v="0"/>
  </r>
  <r>
    <n v="50"/>
    <n v="0"/>
    <n v="0"/>
    <n v="3"/>
    <n v="2"/>
    <n v="4"/>
    <n v="0"/>
    <n v="43"/>
    <n v="6"/>
    <n v="4"/>
    <n v="2"/>
    <n v="2670"/>
    <n v="1944"/>
    <n v="726"/>
    <n v="0.628"/>
    <n v="4491"/>
    <n v="65"/>
    <n v="0.66700000000000004"/>
    <n v="0.72799999999999998"/>
    <n v="1.8134E-4"/>
    <n v="0.99982000000000004"/>
    <s v="9.209722895579528"/>
    <s v="4.544494933846615"/>
    <s v="5.443496498699168"/>
    <s v="4.484869328878927"/>
    <n v="720046458"/>
    <x v="0"/>
    <n v="3.2890364000000001E-4"/>
    <x v="0"/>
  </r>
  <r>
    <n v="45"/>
    <n v="1"/>
    <n v="3"/>
    <n v="2"/>
    <n v="1"/>
    <n v="3"/>
    <n v="0"/>
    <n v="36"/>
    <n v="6"/>
    <n v="3"/>
    <n v="2"/>
    <n v="21630"/>
    <n v="0"/>
    <n v="21630"/>
    <n v="0.80400000000000005"/>
    <n v="4584"/>
    <n v="84"/>
    <n v="0.75"/>
    <n v="0"/>
    <n v="1.8665000000000001E-4"/>
    <n v="0.99980999999999998"/>
    <s v="48.68616878963144"/>
    <s v="9.667610002205464"/>
    <s v="12.586804155555477"/>
    <s v="1.3753743147964197"/>
    <n v="711619608"/>
    <x v="0"/>
    <n v="6.9517245999999998E-4"/>
    <x v="0"/>
  </r>
  <r>
    <n v="50"/>
    <n v="1"/>
    <n v="4"/>
    <n v="6"/>
    <n v="1"/>
    <n v="3"/>
    <n v="0"/>
    <n v="45"/>
    <n v="2"/>
    <n v="1"/>
    <n v="3"/>
    <n v="34516"/>
    <n v="1466"/>
    <n v="33050"/>
    <n v="0.69299999999999995"/>
    <n v="7223"/>
    <n v="87"/>
    <n v="0.61099999999999999"/>
    <n v="4.2000000000000003E-2"/>
    <n v="1.0679E-4"/>
    <n v="0.99988999999999995"/>
    <s v="23.156591822752237"/>
    <n v="23.143651989118499"/>
    <s v="64.06515305145336"/>
    <s v="11.287353921087506"/>
    <n v="820036533"/>
    <x v="0"/>
    <n v="4.2060707000000003E-4"/>
    <x v="0"/>
  </r>
  <r>
    <n v="55"/>
    <n v="1"/>
    <n v="0"/>
    <n v="3"/>
    <n v="1"/>
    <n v="3"/>
    <n v="0"/>
    <n v="35"/>
    <n v="5"/>
    <n v="1"/>
    <n v="4"/>
    <n v="3864"/>
    <n v="1901"/>
    <n v="1963"/>
    <n v="0.28899999999999998"/>
    <n v="1018"/>
    <n v="32"/>
    <n v="0.39100000000000001"/>
    <n v="0.49199999999999999"/>
    <n v="1.3184000000000001E-4"/>
    <n v="0.99987000000000004"/>
    <s v="30.39789540818801"/>
    <s v="5.172812080093356"/>
    <n v="68.763130002245205"/>
    <s v="19.292457520206995"/>
    <n v="710387583"/>
    <x v="0"/>
    <n v="1.2949685E-3"/>
    <x v="0"/>
  </r>
  <r>
    <n v="43"/>
    <n v="1"/>
    <n v="2"/>
    <n v="2"/>
    <n v="1"/>
    <n v="3"/>
    <n v="0"/>
    <n v="28"/>
    <n v="5"/>
    <n v="6"/>
    <n v="3"/>
    <n v="30357"/>
    <n v="1255"/>
    <n v="29102"/>
    <n v="0.78800000000000003"/>
    <n v="4435"/>
    <n v="68"/>
    <n v="0.88900000000000001"/>
    <n v="4.1000000000000002E-2"/>
    <n v="2.3881E-4"/>
    <n v="0.99975999999999998"/>
    <s v="7.322426377907924"/>
    <s v="27.48210344301665"/>
    <s v="17.638184964211202"/>
    <s v="7.663791705771133"/>
    <n v="719954733"/>
    <x v="0"/>
    <n v="3.5729867999999997E-4"/>
    <x v="0"/>
  </r>
  <r>
    <n v="43"/>
    <n v="1"/>
    <n v="4"/>
    <n v="5"/>
    <n v="1"/>
    <n v="2"/>
    <n v="0"/>
    <n v="37"/>
    <n v="4"/>
    <n v="1"/>
    <n v="3"/>
    <n v="3482"/>
    <n v="1942"/>
    <n v="1540"/>
    <n v="0.92600000000000005"/>
    <n v="3512"/>
    <n v="63"/>
    <n v="0.85299999999999998"/>
    <n v="0.55800000000000005"/>
    <s v="9.9893e-05"/>
    <n v="0.99990000000000001"/>
    <n v="72.491008469009898"/>
    <n v="50.748966918799702"/>
    <s v="52.08301037492765"/>
    <s v="7.478815881690646"/>
    <n v="783381933"/>
    <x v="0"/>
    <n v="3.4075615E-4"/>
    <x v="0"/>
  </r>
  <r>
    <n v="42"/>
    <n v="0"/>
    <n v="0"/>
    <n v="5"/>
    <n v="0"/>
    <n v="5"/>
    <n v="0"/>
    <n v="31"/>
    <n v="3"/>
    <n v="3"/>
    <n v="4"/>
    <n v="2712"/>
    <n v="0"/>
    <n v="2712"/>
    <n v="0.72399999999999998"/>
    <n v="2307"/>
    <n v="28"/>
    <n v="0.47399999999999998"/>
    <n v="0"/>
    <n v="0.99780999999999997"/>
    <n v="2.1905200000000001E-3"/>
    <s v="13.647203644524827"/>
    <s v="38.18359178867525"/>
    <s v="8.159514636998134"/>
    <s v="17.08744346133709"/>
    <n v="712677633"/>
    <x v="1"/>
    <n v="0.99841880000000005"/>
    <x v="1"/>
  </r>
  <r>
    <n v="56"/>
    <n v="1"/>
    <n v="3"/>
    <n v="4"/>
    <n v="1"/>
    <n v="2"/>
    <n v="0"/>
    <n v="39"/>
    <n v="3"/>
    <n v="1"/>
    <n v="2"/>
    <n v="3955"/>
    <n v="2517"/>
    <n v="1438"/>
    <n v="0.48399999999999999"/>
    <n v="1238"/>
    <n v="25"/>
    <n v="1.083"/>
    <n v="0.63600000000000001"/>
    <s v="6.7249e-05"/>
    <n v="0.99992999999999999"/>
    <s v="9.702119418403282"/>
    <n v="25.199851446084299"/>
    <s v="6.911448370723129"/>
    <s v="3.8602612636659575"/>
    <n v="712049208"/>
    <x v="0"/>
    <n v="1.0648312999999999E-3"/>
    <x v="0"/>
  </r>
  <r>
    <n v="49"/>
    <n v="1"/>
    <n v="3"/>
    <n v="3"/>
    <n v="1"/>
    <n v="2"/>
    <n v="0"/>
    <n v="34"/>
    <n v="6"/>
    <n v="3"/>
    <n v="3"/>
    <n v="1511"/>
    <n v="0"/>
    <n v="1511"/>
    <n v="0.432"/>
    <n v="1329"/>
    <n v="35"/>
    <n v="0.59099999999999997"/>
    <n v="0"/>
    <n v="0.99673"/>
    <n v="3.2652800000000002E-3"/>
    <s v="13.43980997753587"/>
    <s v="17.606856879934313"/>
    <s v="43.59217291753366"/>
    <s v="4.281250854685915"/>
    <n v="713639058"/>
    <x v="1"/>
    <n v="0.99856453999999994"/>
    <x v="1"/>
  </r>
  <r>
    <n v="54"/>
    <n v="0"/>
    <n v="4"/>
    <n v="6"/>
    <n v="1"/>
    <n v="4"/>
    <n v="0"/>
    <n v="41"/>
    <n v="3"/>
    <n v="2"/>
    <n v="0"/>
    <n v="1491"/>
    <n v="1349"/>
    <n v="142"/>
    <n v="0.75600000000000001"/>
    <n v="4365"/>
    <n v="71"/>
    <n v="0.73199999999999998"/>
    <n v="0.90500000000000003"/>
    <s v="4.8401e-05"/>
    <n v="0.99995000000000001"/>
    <s v="17.138436459014617"/>
    <n v="0.79136738729758704"/>
    <s v="6.289128061728234"/>
    <s v="16.710232543319997"/>
    <n v="711970533"/>
    <x v="0"/>
    <n v="3.2101269999999999E-4"/>
    <x v="0"/>
  </r>
  <r>
    <n v="60"/>
    <n v="1"/>
    <n v="1"/>
    <n v="1"/>
    <n v="1"/>
    <n v="0"/>
    <n v="0"/>
    <n v="50"/>
    <n v="6"/>
    <n v="1"/>
    <n v="2"/>
    <n v="21697"/>
    <n v="2144"/>
    <n v="19553"/>
    <n v="0.65400000000000003"/>
    <n v="2117"/>
    <n v="48"/>
    <n v="0.65500000000000003"/>
    <n v="9.9000000000000005E-2"/>
    <s v="7.4811e-05"/>
    <n v="0.99992999999999999"/>
    <s v="24.70368049960117"/>
    <s v="12.551562291403284"/>
    <s v="7.523358837122424"/>
    <s v="11.337715786586472"/>
    <n v="717090183"/>
    <x v="0"/>
    <n v="1.294005E-3"/>
    <x v="0"/>
  </r>
  <r>
    <n v="36"/>
    <n v="0"/>
    <n v="3"/>
    <n v="2"/>
    <n v="2"/>
    <n v="1"/>
    <n v="0"/>
    <n v="22"/>
    <n v="1"/>
    <n v="3"/>
    <n v="1"/>
    <n v="2013"/>
    <n v="0"/>
    <n v="2013"/>
    <n v="0.60199999999999998"/>
    <n v="2425"/>
    <n v="50"/>
    <n v="0.92300000000000004"/>
    <n v="0"/>
    <n v="0.99119999999999997"/>
    <n v="8.8000000000000005E-3"/>
    <s v="28.682299062896167"/>
    <s v="71.93938680181473"/>
    <s v="1.0473295783898091"/>
    <s v="0.9411240234016368"/>
    <n v="788941983"/>
    <x v="1"/>
    <n v="0.99805650000000001"/>
    <x v="1"/>
  </r>
  <r>
    <n v="47"/>
    <n v="1"/>
    <n v="3"/>
    <n v="3"/>
    <n v="1"/>
    <n v="2"/>
    <n v="0"/>
    <n v="41"/>
    <n v="2"/>
    <n v="3"/>
    <n v="3"/>
    <n v="4207"/>
    <n v="1556"/>
    <n v="2651"/>
    <n v="0.65800000000000003"/>
    <n v="15312"/>
    <n v="122"/>
    <n v="0.71799999999999997"/>
    <n v="0.37"/>
    <n v="3.0516000000000001E-4"/>
    <n v="0.99968999999999997"/>
    <s v="16.879115941949063"/>
    <s v="40.29267314243468"/>
    <s v="114.9819635492917"/>
    <s v="18.55669926850294"/>
    <n v="795218883"/>
    <x v="0"/>
    <n v="3.4656386999999997E-4"/>
    <x v="0"/>
  </r>
  <r>
    <n v="47"/>
    <n v="0"/>
    <n v="3"/>
    <n v="2"/>
    <n v="2"/>
    <n v="5"/>
    <n v="0"/>
    <n v="36"/>
    <n v="5"/>
    <n v="1"/>
    <n v="2"/>
    <n v="8332"/>
    <n v="0"/>
    <n v="8332"/>
    <n v="0.92"/>
    <n v="5108"/>
    <n v="78"/>
    <n v="1"/>
    <n v="0"/>
    <s v="5.7151e-05"/>
    <n v="0.99994000000000005"/>
    <s v="14.486093270780447"/>
    <s v="55.98415344409165"/>
    <s v="69.24389525873134"/>
    <s v="12.318618032445515"/>
    <n v="710869008"/>
    <x v="0"/>
    <n v="7.4699510000000001E-4"/>
    <x v="0"/>
  </r>
  <r>
    <n v="44"/>
    <n v="1"/>
    <n v="1"/>
    <n v="3"/>
    <n v="3"/>
    <n v="3"/>
    <n v="1"/>
    <n v="36"/>
    <n v="2"/>
    <n v="2"/>
    <n v="3"/>
    <n v="34516"/>
    <n v="0"/>
    <n v="34516"/>
    <n v="0.59599999999999997"/>
    <n v="1891"/>
    <n v="34"/>
    <n v="0.214"/>
    <n v="0"/>
    <n v="0.99505999999999994"/>
    <n v="4.9434099999999996E-3"/>
    <s v="21.904796866407075"/>
    <s v="17.52645837850917"/>
    <s v="15.955882706195096"/>
    <s v="11.135166212137444"/>
    <n v="719874633"/>
    <x v="1"/>
    <n v="0.99877304"/>
    <x v="1"/>
  </r>
  <r>
    <n v="45"/>
    <n v="1"/>
    <n v="3"/>
    <n v="5"/>
    <n v="2"/>
    <n v="2"/>
    <n v="0"/>
    <n v="36"/>
    <n v="2"/>
    <n v="2"/>
    <n v="1"/>
    <n v="11121"/>
    <n v="1296"/>
    <n v="9825"/>
    <n v="0.78900000000000003"/>
    <n v="13814"/>
    <n v="81"/>
    <n v="1.0249999999999999"/>
    <n v="0.11700000000000001"/>
    <s v="7.3235e-05"/>
    <n v="0.99992999999999999"/>
    <s v="13.655735856483831"/>
    <s v="49.27152066870292"/>
    <s v="110.91672042032503"/>
    <s v="32.70545402987128"/>
    <n v="716480358"/>
    <x v="0"/>
    <n v="4.7480425999999999E-4"/>
    <x v="0"/>
  </r>
  <r>
    <n v="48"/>
    <n v="0"/>
    <n v="1"/>
    <n v="3"/>
    <n v="1"/>
    <n v="5"/>
    <n v="0"/>
    <n v="36"/>
    <n v="6"/>
    <n v="4"/>
    <n v="4"/>
    <n v="14228"/>
    <n v="1953"/>
    <n v="12275"/>
    <n v="0.65100000000000002"/>
    <n v="1970"/>
    <n v="51"/>
    <n v="0.64500000000000002"/>
    <n v="0.13700000000000001"/>
    <n v="5.6901E-4"/>
    <n v="0.99943000000000004"/>
    <s v="5.457506072477289"/>
    <s v="41.573290032780925"/>
    <s v="70.72299235953608"/>
    <s v="2.443045062063881"/>
    <n v="787488108"/>
    <x v="0"/>
    <n v="9.6893779999999996E-4"/>
    <x v="0"/>
  </r>
  <r>
    <n v="43"/>
    <n v="1"/>
    <n v="5"/>
    <n v="2"/>
    <n v="2"/>
    <n v="3"/>
    <n v="0"/>
    <n v="36"/>
    <n v="1"/>
    <n v="1"/>
    <n v="3"/>
    <n v="7196"/>
    <n v="696"/>
    <n v="6500"/>
    <n v="0.83899999999999997"/>
    <n v="8689"/>
    <n v="93"/>
    <n v="0.89800000000000002"/>
    <n v="9.7000000000000003E-2"/>
    <s v="9.5638e-05"/>
    <n v="0.99990000000000001"/>
    <s v="8.278000530097977"/>
    <n v="71.801816713359898"/>
    <s v="105.56492122076176"/>
    <s v="8.216169430614169"/>
    <n v="720425508"/>
    <x v="0"/>
    <n v="6.2558514999999995E-4"/>
    <x v="0"/>
  </r>
  <r>
    <n v="48"/>
    <n v="0"/>
    <n v="3"/>
    <n v="4"/>
    <n v="1"/>
    <n v="4"/>
    <n v="3"/>
    <n v="35"/>
    <n v="5"/>
    <n v="1"/>
    <n v="3"/>
    <n v="10357"/>
    <n v="0"/>
    <n v="10357"/>
    <n v="0.50600000000000001"/>
    <n v="911"/>
    <n v="25"/>
    <n v="0.19"/>
    <n v="0"/>
    <n v="0.99031000000000002"/>
    <n v="9.6900000000000007E-3"/>
    <s v="12.818172808255802"/>
    <s v="42.31115540064021"/>
    <s v="29.987920948598823"/>
    <s v="2.6979584435656387"/>
    <n v="771028533"/>
    <x v="1"/>
    <n v="0.99867176999999996"/>
    <x v="1"/>
  </r>
  <r>
    <n v="57"/>
    <n v="0"/>
    <n v="1"/>
    <n v="2"/>
    <n v="2"/>
    <n v="4"/>
    <n v="0"/>
    <n v="36"/>
    <n v="4"/>
    <n v="2"/>
    <n v="3"/>
    <n v="1771"/>
    <n v="1289"/>
    <n v="482"/>
    <n v="0.91100000000000003"/>
    <n v="4813"/>
    <n v="84"/>
    <n v="0.86699999999999999"/>
    <n v="0.72799999999999998"/>
    <n v="1.7969000000000001E-4"/>
    <n v="0.99982000000000004"/>
    <s v="28.23146189109144"/>
    <s v="24.36694584669175"/>
    <s v="108.9830076939373"/>
    <s v="11.592675921722948"/>
    <n v="714064908"/>
    <x v="0"/>
    <n v="3.221314E-4"/>
    <x v="0"/>
  </r>
  <r>
    <n v="53"/>
    <n v="0"/>
    <n v="2"/>
    <n v="1"/>
    <n v="1"/>
    <n v="5"/>
    <n v="0"/>
    <n v="39"/>
    <n v="1"/>
    <n v="2"/>
    <n v="3"/>
    <n v="1438.3"/>
    <n v="0"/>
    <n v="1438.3"/>
    <n v="0.64400000000000002"/>
    <n v="807"/>
    <n v="22"/>
    <n v="0.69199999999999995"/>
    <n v="0"/>
    <n v="0.99639999999999995"/>
    <n v="3.5960300000000001E-3"/>
    <s v="4.998964907580791"/>
    <s v="53.84814648516991"/>
    <s v="62.96085225262021"/>
    <s v="16.17113712898115"/>
    <n v="709345008"/>
    <x v="1"/>
    <n v="0.9985233"/>
    <x v="1"/>
  </r>
  <r>
    <n v="43"/>
    <n v="0"/>
    <n v="4"/>
    <n v="2"/>
    <n v="2"/>
    <n v="4"/>
    <n v="0"/>
    <n v="32"/>
    <n v="6"/>
    <n v="3"/>
    <n v="4"/>
    <n v="4341"/>
    <n v="0"/>
    <n v="4341"/>
    <n v="0.61299999999999999"/>
    <n v="3825"/>
    <n v="63"/>
    <n v="0.53700000000000003"/>
    <n v="0"/>
    <n v="5.4115000000000001E-4"/>
    <n v="0.99946000000000002"/>
    <s v="0.4793024781585393"/>
    <s v="57.79722841087094"/>
    <s v="63.045761374433326"/>
    <s v="12.012802301486902"/>
    <n v="709959858"/>
    <x v="0"/>
    <n v="8.6334743999999996E-4"/>
    <x v="0"/>
  </r>
  <r>
    <n v="26"/>
    <n v="0"/>
    <n v="0"/>
    <n v="2"/>
    <n v="2"/>
    <n v="1"/>
    <n v="0"/>
    <n v="13"/>
    <n v="5"/>
    <n v="1"/>
    <n v="2"/>
    <n v="5655"/>
    <n v="0"/>
    <n v="5655"/>
    <n v="0.84199999999999997"/>
    <n v="2312"/>
    <n v="61"/>
    <n v="0.64900000000000002"/>
    <n v="0"/>
    <s v="4.7263e-05"/>
    <n v="0.99995000000000001"/>
    <s v="32.97241680879755"/>
    <s v="96.50889720429512"/>
    <s v="15.959266365324796"/>
    <s v="12.034191117563228"/>
    <n v="779126658"/>
    <x v="0"/>
    <n v="1.0667808000000001E-3"/>
    <x v="0"/>
  </r>
  <r>
    <n v="26"/>
    <n v="0"/>
    <n v="0"/>
    <n v="2"/>
    <n v="2"/>
    <n v="1"/>
    <n v="0"/>
    <n v="17"/>
    <n v="5"/>
    <n v="3"/>
    <n v="3"/>
    <n v="3119"/>
    <n v="1328"/>
    <n v="1791"/>
    <n v="0.72199999999999998"/>
    <n v="2740"/>
    <n v="62"/>
    <n v="0.51200000000000001"/>
    <n v="0.42599999999999999"/>
    <n v="2.5960000000000002E-4"/>
    <n v="0.99973999999999996"/>
    <s v="1.058044581812574"/>
    <s v="11.527816101813002"/>
    <s v="115.97935586477968"/>
    <s v="3.8757498855057566"/>
    <n v="810201783"/>
    <x v="0"/>
    <n v="4.2442148E-4"/>
    <x v="0"/>
  </r>
  <r>
    <n v="50"/>
    <n v="0"/>
    <n v="1"/>
    <n v="0"/>
    <n v="2"/>
    <n v="1"/>
    <n v="3"/>
    <n v="43"/>
    <n v="3"/>
    <n v="2"/>
    <n v="3"/>
    <n v="17304"/>
    <n v="2517"/>
    <n v="14787"/>
    <n v="1.4490000000000001"/>
    <n v="1756"/>
    <n v="33"/>
    <n v="1.2"/>
    <n v="0.14499999999999999"/>
    <n v="1.5784999999999999E-4"/>
    <n v="0.99983999999999995"/>
    <s v="6.244560787563191"/>
    <s v="1.221843342478173"/>
    <s v="37.36260671079406"/>
    <n v="0.277052163401454"/>
    <n v="773146383"/>
    <x v="0"/>
    <n v="1.0648312999999999E-3"/>
    <x v="0"/>
  </r>
  <r>
    <n v="56"/>
    <n v="0"/>
    <n v="1"/>
    <n v="2"/>
    <n v="1"/>
    <n v="4"/>
    <n v="0"/>
    <n v="36"/>
    <n v="2"/>
    <n v="1"/>
    <n v="2"/>
    <n v="5158"/>
    <n v="1148"/>
    <n v="4010"/>
    <n v="0.63700000000000001"/>
    <n v="13113"/>
    <n v="128"/>
    <n v="0.88200000000000001"/>
    <n v="0.223"/>
    <s v="5.1697e-05"/>
    <n v="0.99995000000000001"/>
    <s v="7.232133462197157"/>
    <s v="14.24733753048936"/>
    <s v="41.45721674795417"/>
    <s v="7.191014792293838"/>
    <n v="708721533"/>
    <x v="0"/>
    <n v="3.4656386999999997E-4"/>
    <x v="0"/>
  </r>
  <r>
    <n v="38"/>
    <n v="1"/>
    <n v="4"/>
    <n v="2"/>
    <n v="1"/>
    <n v="1"/>
    <n v="0"/>
    <n v="27"/>
    <n v="6"/>
    <n v="2"/>
    <n v="4"/>
    <n v="5535"/>
    <n v="1276"/>
    <n v="4259"/>
    <n v="0.63600000000000001"/>
    <n v="1764"/>
    <n v="38"/>
    <n v="0.9"/>
    <n v="0.23100000000000001"/>
    <n v="3.4247999999999999E-4"/>
    <n v="0.99965999999999999"/>
    <s v="6.451496824945384"/>
    <s v="36.91543702534526"/>
    <s v="13.59923111865293"/>
    <s v="12.11772402845578"/>
    <n v="708174708"/>
    <x v="0"/>
    <n v="9.8706899999999992E-4"/>
    <x v="0"/>
  </r>
  <r>
    <n v="37"/>
    <n v="0"/>
    <n v="2"/>
    <n v="5"/>
    <n v="2"/>
    <n v="4"/>
    <n v="0"/>
    <n v="30"/>
    <n v="6"/>
    <n v="3"/>
    <n v="3"/>
    <n v="2258"/>
    <n v="1338"/>
    <n v="920"/>
    <n v="0.86"/>
    <n v="2511"/>
    <n v="55"/>
    <n v="0.77400000000000002"/>
    <n v="0.59299999999999997"/>
    <n v="3.1104E-4"/>
    <n v="0.99968999999999997"/>
    <s v="17.28304427194442"/>
    <s v="51.13176129283559"/>
    <s v="21.210542456041555"/>
    <s v="7.382560690500881"/>
    <n v="711614658"/>
    <x v="0"/>
    <n v="5.9430883000000003E-4"/>
    <x v="0"/>
  </r>
  <r>
    <n v="52"/>
    <n v="0"/>
    <n v="2"/>
    <n v="6"/>
    <n v="1"/>
    <n v="4"/>
    <n v="0"/>
    <n v="36"/>
    <n v="6"/>
    <n v="3"/>
    <n v="1"/>
    <n v="2451"/>
    <n v="1733"/>
    <n v="718"/>
    <n v="0.72399999999999998"/>
    <n v="5283"/>
    <n v="90"/>
    <n v="0.69799999999999995"/>
    <n v="0.70699999999999996"/>
    <n v="1.1924E-4"/>
    <n v="0.99987999999999999"/>
    <s v="14.930300054894008"/>
    <s v="67.80197720165216"/>
    <s v="171.00246748995477"/>
    <s v="0.4840702655620402"/>
    <n v="714909858"/>
    <x v="0"/>
    <n v="3.4800241999999998E-4"/>
    <x v="0"/>
  </r>
  <r>
    <n v="51"/>
    <n v="0"/>
    <n v="2"/>
    <n v="6"/>
    <n v="2"/>
    <n v="4"/>
    <n v="0"/>
    <n v="36"/>
    <n v="3"/>
    <n v="2"/>
    <n v="2"/>
    <n v="1858"/>
    <n v="1071"/>
    <n v="787"/>
    <n v="0.61099999999999999"/>
    <n v="4388"/>
    <n v="66"/>
    <n v="0.53500000000000003"/>
    <n v="0.57599999999999996"/>
    <n v="1.2511E-4"/>
    <n v="0.99987000000000004"/>
    <n v="64.2307823719363"/>
    <s v="3.026494003783505"/>
    <s v="2.923822775444588"/>
    <n v="25.979529648296701"/>
    <n v="718976283"/>
    <x v="0"/>
    <n v="3.2914013999999999E-4"/>
    <x v="0"/>
  </r>
  <r>
    <n v="50"/>
    <n v="0"/>
    <n v="2"/>
    <n v="3"/>
    <n v="0"/>
    <n v="5"/>
    <n v="0"/>
    <n v="39"/>
    <n v="5"/>
    <n v="2"/>
    <n v="4"/>
    <n v="9716"/>
    <n v="874"/>
    <n v="8842"/>
    <n v="0.77500000000000002"/>
    <n v="5007"/>
    <n v="91"/>
    <n v="0.65500000000000003"/>
    <n v="0.09"/>
    <n v="3.1745999999999999E-4"/>
    <n v="0.99968000000000001"/>
    <n v="15.6572906837622"/>
    <n v="67.3795050318585"/>
    <s v="60.029092913533965"/>
    <s v="4.125983695632554"/>
    <n v="713681433"/>
    <x v="0"/>
    <n v="4.3372431999999999E-4"/>
    <x v="0"/>
  </r>
  <r>
    <n v="50"/>
    <n v="1"/>
    <n v="3"/>
    <n v="5"/>
    <n v="2"/>
    <n v="3"/>
    <n v="0"/>
    <n v="40"/>
    <n v="3"/>
    <n v="1"/>
    <n v="4"/>
    <n v="13306"/>
    <n v="2458"/>
    <n v="10848"/>
    <n v="0.51600000000000001"/>
    <n v="3556"/>
    <n v="68"/>
    <n v="0.58099999999999996"/>
    <n v="0.185"/>
    <n v="1.6861E-4"/>
    <n v="0.99983"/>
    <s v="36.23075350709585"/>
    <s v="10.75519522095822"/>
    <s v="6.546463541466311"/>
    <s v="18.29204261575715"/>
    <n v="716934333"/>
    <x v="0"/>
    <n v="3.2914013999999999E-4"/>
    <x v="0"/>
  </r>
  <r>
    <n v="50"/>
    <n v="1"/>
    <n v="2"/>
    <n v="2"/>
    <n v="2"/>
    <n v="3"/>
    <n v="0"/>
    <n v="46"/>
    <n v="2"/>
    <n v="3"/>
    <n v="2"/>
    <n v="5965"/>
    <n v="622"/>
    <n v="5343"/>
    <n v="0.72799999999999998"/>
    <n v="4637"/>
    <n v="91"/>
    <n v="0.65500000000000003"/>
    <n v="0.104"/>
    <n v="1.7987E-4"/>
    <n v="0.99982000000000004"/>
    <s v="9.691899539981028"/>
    <s v="21.748080951205814"/>
    <s v="26.620428370816107"/>
    <s v="13.061973292005716"/>
    <n v="826548708"/>
    <x v="0"/>
    <n v="5.4489190000000002E-4"/>
    <x v="0"/>
  </r>
  <r>
    <n v="49"/>
    <n v="1"/>
    <n v="3"/>
    <n v="2"/>
    <n v="2"/>
    <n v="1"/>
    <n v="1"/>
    <n v="36"/>
    <n v="2"/>
    <n v="2"/>
    <n v="2"/>
    <n v="23981"/>
    <n v="1408"/>
    <n v="22573"/>
    <n v="0.84399999999999997"/>
    <n v="14455"/>
    <n v="96"/>
    <n v="0.84599999999999997"/>
    <n v="5.8999999999999997E-2"/>
    <n v="1.3606999999999999E-4"/>
    <n v="0.99985999999999997"/>
    <s v="1.346912139819057"/>
    <s v="62.64467273695258"/>
    <s v="32.92628236959948"/>
    <s v="4.448865130586733"/>
    <n v="718801158"/>
    <x v="0"/>
    <n v="3.8573547000000003E-4"/>
    <x v="0"/>
  </r>
  <r>
    <n v="32"/>
    <n v="1"/>
    <n v="0"/>
    <n v="0"/>
    <n v="2"/>
    <n v="2"/>
    <n v="0"/>
    <n v="16"/>
    <n v="2"/>
    <n v="3"/>
    <n v="2"/>
    <n v="21551"/>
    <n v="0"/>
    <n v="21551"/>
    <n v="0.53600000000000003"/>
    <n v="14950"/>
    <n v="94"/>
    <n v="0.84299999999999997"/>
    <n v="0"/>
    <n v="1.5007E-4"/>
    <n v="0.99985000000000002"/>
    <s v="10.994886259306844"/>
    <s v="15.43262501645508"/>
    <n v="19.4953765249718"/>
    <s v="12.25370912852226"/>
    <n v="779900808"/>
    <x v="0"/>
    <n v="7.5047980000000002E-4"/>
    <x v="0"/>
  </r>
  <r>
    <n v="47"/>
    <n v="0"/>
    <n v="4"/>
    <n v="6"/>
    <n v="2"/>
    <n v="4"/>
    <n v="0"/>
    <n v="36"/>
    <n v="3"/>
    <n v="3"/>
    <n v="2"/>
    <n v="2492"/>
    <n v="1560"/>
    <n v="932"/>
    <n v="0.57299999999999995"/>
    <n v="1126"/>
    <n v="23"/>
    <n v="0.35299999999999998"/>
    <n v="0.626"/>
    <n v="2.0735E-4"/>
    <n v="0.99978999999999996"/>
    <s v="49.28482808851429"/>
    <s v="9.285992900907118"/>
    <s v="46.72990625017353"/>
    <s v="0.6129579089171331"/>
    <n v="811604133"/>
    <x v="0"/>
    <n v="1.232702E-3"/>
    <x v="0"/>
  </r>
  <r>
    <n v="55"/>
    <n v="0"/>
    <n v="1"/>
    <n v="2"/>
    <n v="1"/>
    <n v="1"/>
    <n v="0"/>
    <n v="46"/>
    <n v="5"/>
    <n v="4"/>
    <n v="4"/>
    <n v="4589"/>
    <n v="1622"/>
    <n v="2967"/>
    <n v="0.42499999999999999"/>
    <n v="1569"/>
    <n v="33"/>
    <n v="0.26900000000000002"/>
    <n v="0.35299999999999998"/>
    <n v="5.8531000000000002E-4"/>
    <n v="0.99941000000000002"/>
    <s v="35.423314103644806"/>
    <s v="17.064382354177262"/>
    <s v="30.767821015636155"/>
    <s v="13.794940316368177"/>
    <n v="714151533"/>
    <x v="0"/>
    <n v="1.1982243E-3"/>
    <x v="0"/>
  </r>
  <r>
    <n v="49"/>
    <n v="0"/>
    <n v="5"/>
    <n v="6"/>
    <n v="0"/>
    <n v="4"/>
    <n v="0"/>
    <n v="36"/>
    <n v="4"/>
    <n v="1"/>
    <n v="4"/>
    <n v="9165"/>
    <n v="0"/>
    <n v="9165"/>
    <n v="0.59699999999999998"/>
    <n v="1846"/>
    <n v="56"/>
    <n v="0.64700000000000002"/>
    <n v="0"/>
    <n v="1.7934E-4"/>
    <n v="0.99982000000000004"/>
    <n v="23.834539985109998"/>
    <s v="56.30494273032454"/>
    <s v="56.18334506554204"/>
    <n v="16.523854012112299"/>
    <n v="717167283"/>
    <x v="0"/>
    <n v="1.5581976999999999E-3"/>
    <x v="0"/>
  </r>
  <r>
    <n v="44"/>
    <n v="1"/>
    <n v="2"/>
    <n v="6"/>
    <n v="2"/>
    <n v="2"/>
    <n v="0"/>
    <n v="30"/>
    <n v="6"/>
    <n v="2"/>
    <n v="2"/>
    <n v="9827"/>
    <n v="600"/>
    <n v="9227"/>
    <n v="0.47699999999999998"/>
    <n v="2840"/>
    <n v="63"/>
    <n v="0.53700000000000003"/>
    <n v="6.0999999999999999E-2"/>
    <n v="1.2511E-4"/>
    <n v="0.99987000000000004"/>
    <s v="33.53544392789242"/>
    <s v="12.357305004232334"/>
    <s v="4.007410758946806"/>
    <s v="15.66950266034794"/>
    <n v="720454158"/>
    <x v="0"/>
    <n v="8.5958050000000004E-4"/>
    <x v="0"/>
  </r>
  <r>
    <n v="45"/>
    <n v="1"/>
    <n v="2"/>
    <n v="6"/>
    <n v="2"/>
    <n v="2"/>
    <n v="3"/>
    <n v="26"/>
    <n v="6"/>
    <n v="3"/>
    <n v="2"/>
    <n v="32349"/>
    <n v="1630"/>
    <n v="30719"/>
    <n v="0.64600000000000002"/>
    <n v="1343"/>
    <n v="41"/>
    <n v="0.51900000000000002"/>
    <n v="0.05"/>
    <n v="1.7865000000000001E-4"/>
    <n v="0.99982000000000004"/>
    <n v="4.7587599976430903E-2"/>
    <s v="31.941221427922585"/>
    <s v="40.33104007176253"/>
    <s v="1.7335811627597508"/>
    <n v="713571258"/>
    <x v="0"/>
    <n v="1.2847681E-3"/>
    <x v="0"/>
  </r>
  <r>
    <n v="52"/>
    <n v="0"/>
    <n v="0"/>
    <n v="2"/>
    <n v="3"/>
    <n v="1"/>
    <n v="0"/>
    <n v="42"/>
    <n v="4"/>
    <n v="3"/>
    <n v="2"/>
    <n v="2723"/>
    <n v="1544"/>
    <n v="1179"/>
    <n v="0.79400000000000004"/>
    <n v="4108"/>
    <n v="70"/>
    <n v="1.258"/>
    <n v="0.56699999999999995"/>
    <n v="1.5435000000000001E-4"/>
    <n v="0.99985000000000002"/>
    <s v="53.74115004975079"/>
    <s v="12.80682811376729"/>
    <s v="54.72728063744883"/>
    <s v="13.912091340812726"/>
    <n v="720219633"/>
    <x v="0"/>
    <n v="3.2101269999999999E-4"/>
    <x v="0"/>
  </r>
  <r>
    <n v="40"/>
    <n v="0"/>
    <n v="4"/>
    <n v="4"/>
    <n v="1"/>
    <n v="4"/>
    <n v="0"/>
    <n v="36"/>
    <n v="4"/>
    <n v="1"/>
    <n v="3"/>
    <n v="2316"/>
    <n v="1510"/>
    <n v="806"/>
    <n v="0.55400000000000005"/>
    <n v="3471"/>
    <n v="63"/>
    <n v="0.75"/>
    <n v="0.65200000000000002"/>
    <n v="1.1432E-4"/>
    <n v="0.99988999999999995"/>
    <s v="14.41014718864752"/>
    <s v="0.3692707171783932"/>
    <s v="0.4643287780481728"/>
    <s v="6.137881263833982"/>
    <n v="720432858"/>
    <x v="0"/>
    <n v="3.479205E-4"/>
    <x v="0"/>
  </r>
  <r>
    <n v="52"/>
    <n v="1"/>
    <n v="2"/>
    <n v="3"/>
    <n v="1"/>
    <n v="2"/>
    <n v="0"/>
    <n v="46"/>
    <n v="5"/>
    <n v="3"/>
    <n v="0"/>
    <n v="14316"/>
    <n v="1081"/>
    <n v="13235"/>
    <n v="0.67"/>
    <n v="1313"/>
    <n v="36"/>
    <n v="0.63600000000000001"/>
    <n v="7.5999999999999998E-2"/>
    <s v="6.4505e-05"/>
    <n v="0.99994000000000005"/>
    <s v="13.271950058472465"/>
    <s v="15.758401866927215"/>
    <s v="9.221446691506266"/>
    <s v="2.895829930154166"/>
    <n v="797488158"/>
    <x v="0"/>
    <n v="1.1472310999999999E-3"/>
    <x v="0"/>
  </r>
  <r>
    <n v="38"/>
    <n v="1"/>
    <n v="2"/>
    <n v="3"/>
    <n v="0"/>
    <n v="2"/>
    <n v="3"/>
    <n v="25"/>
    <n v="1"/>
    <n v="2"/>
    <n v="3"/>
    <n v="26794"/>
    <n v="821"/>
    <n v="25973"/>
    <n v="0.84799999999999998"/>
    <n v="8788"/>
    <n v="58"/>
    <n v="0.93300000000000005"/>
    <n v="3.1E-2"/>
    <n v="0.99409000000000003"/>
    <n v="5.9100000000000003E-3"/>
    <s v="50.46868102671289"/>
    <s v="33.95314828667381"/>
    <s v="83.58094211958822"/>
    <s v="3.969393116939736"/>
    <n v="709865883"/>
    <x v="1"/>
    <n v="0.99393830000000005"/>
    <x v="1"/>
  </r>
  <r>
    <n v="54"/>
    <n v="0"/>
    <n v="2"/>
    <n v="2"/>
    <n v="2"/>
    <n v="4"/>
    <n v="0"/>
    <n v="43"/>
    <n v="3"/>
    <n v="2"/>
    <n v="1"/>
    <n v="2019"/>
    <n v="1387"/>
    <n v="632"/>
    <n v="0.56000000000000005"/>
    <n v="1689"/>
    <n v="36"/>
    <n v="0.71399999999999997"/>
    <n v="0.68700000000000006"/>
    <s v="6.864e-05"/>
    <n v="0.99992999999999999"/>
    <s v="43.706185588794426"/>
    <s v="43.935823332551344"/>
    <s v="61.535795793783954"/>
    <n v="4.6024744087614096"/>
    <n v="718637208"/>
    <x v="0"/>
    <n v="1.0634780000000001E-3"/>
    <x v="0"/>
  </r>
  <r>
    <n v="33"/>
    <n v="0"/>
    <n v="3"/>
    <n v="2"/>
    <n v="1"/>
    <n v="4"/>
    <n v="0"/>
    <n v="25"/>
    <n v="3"/>
    <n v="2"/>
    <n v="2"/>
    <n v="2307"/>
    <n v="1385"/>
    <n v="922"/>
    <n v="1.5149999999999999"/>
    <n v="2440"/>
    <n v="48"/>
    <n v="0.84599999999999997"/>
    <n v="0.6"/>
    <n v="1.1811000000000001E-4"/>
    <n v="0.99987999999999999"/>
    <s v="51.23919742691722"/>
    <s v="89.71326260983531"/>
    <n v="11.389624271319899"/>
    <s v="5.843448863926613"/>
    <n v="788038383"/>
    <x v="0"/>
    <n v="1.088328E-3"/>
    <x v="0"/>
  </r>
  <r>
    <n v="45"/>
    <n v="1"/>
    <n v="2"/>
    <n v="6"/>
    <n v="1"/>
    <n v="1"/>
    <n v="0"/>
    <n v="27"/>
    <n v="2"/>
    <n v="2"/>
    <n v="3"/>
    <n v="5800"/>
    <n v="1434"/>
    <n v="4366"/>
    <n v="0.71499999999999997"/>
    <n v="8202"/>
    <n v="89"/>
    <n v="0.67900000000000005"/>
    <n v="0.247"/>
    <n v="2.1042000000000001E-4"/>
    <n v="0.99978999999999996"/>
    <s v="29.62639177016254"/>
    <s v="37.38166947573509"/>
    <s v="20.08227735819354"/>
    <s v="0.6615286148501516"/>
    <n v="717471933"/>
    <x v="0"/>
    <n v="3.6856539999999998E-4"/>
    <x v="0"/>
  </r>
  <r>
    <n v="54"/>
    <n v="1"/>
    <n v="3"/>
    <n v="0"/>
    <n v="1"/>
    <n v="3"/>
    <n v="0"/>
    <n v="45"/>
    <n v="4"/>
    <n v="3"/>
    <n v="0"/>
    <n v="3380"/>
    <n v="1655"/>
    <n v="1725"/>
    <n v="0.63600000000000001"/>
    <n v="1636"/>
    <n v="58"/>
    <n v="0.70599999999999996"/>
    <n v="0.49"/>
    <s v="6.6941e-05"/>
    <n v="0.99992999999999999"/>
    <s v="24.60984255066919"/>
    <s v="31.21955724582893"/>
    <n v="39.701126248985403"/>
    <n v="33.563946135236101"/>
    <n v="715785933"/>
    <x v="0"/>
    <n v="4.4416414999999998E-4"/>
    <x v="0"/>
  </r>
  <r>
    <n v="29"/>
    <n v="0"/>
    <n v="1"/>
    <n v="5"/>
    <n v="2"/>
    <n v="4"/>
    <n v="0"/>
    <n v="36"/>
    <n v="1"/>
    <n v="2"/>
    <n v="1"/>
    <n v="3640"/>
    <n v="1419"/>
    <n v="2221"/>
    <n v="0.749"/>
    <n v="13306"/>
    <n v="99"/>
    <n v="0.67800000000000005"/>
    <n v="0.39"/>
    <s v="6.6245e-05"/>
    <n v="0.99992999999999999"/>
    <s v="43.34664565398311"/>
    <s v="85.10292487372574"/>
    <s v="27.24027497202598"/>
    <s v="10.891010336595029"/>
    <n v="721519908"/>
    <x v="0"/>
    <n v="3.4656386999999997E-4"/>
    <x v="0"/>
  </r>
  <r>
    <n v="59"/>
    <n v="1"/>
    <n v="0"/>
    <n v="3"/>
    <n v="1"/>
    <n v="4"/>
    <n v="0"/>
    <n v="47"/>
    <n v="6"/>
    <n v="3"/>
    <n v="4"/>
    <n v="1479"/>
    <n v="787"/>
    <n v="692"/>
    <n v="0.86499999999999999"/>
    <n v="2139"/>
    <n v="70"/>
    <n v="0.55600000000000005"/>
    <n v="0.53200000000000003"/>
    <n v="4.3049000000000001E-4"/>
    <n v="0.99956999999999996"/>
    <s v="11.430501015996022"/>
    <s v="25.63020124669161"/>
    <s v="25.90206297971316"/>
    <s v="25.204203072431287"/>
    <n v="710149008"/>
    <x v="0"/>
    <n v="6.6233944000000005E-4"/>
    <x v="0"/>
  </r>
  <r>
    <n v="45"/>
    <n v="1"/>
    <n v="3"/>
    <n v="2"/>
    <n v="1"/>
    <n v="2"/>
    <n v="0"/>
    <n v="36"/>
    <n v="3"/>
    <n v="1"/>
    <n v="3"/>
    <n v="14593"/>
    <n v="1504"/>
    <n v="13089"/>
    <n v="0.66800000000000004"/>
    <n v="3447"/>
    <n v="72"/>
    <n v="0.89500000000000002"/>
    <n v="0.10299999999999999"/>
    <s v="9.6126e-05"/>
    <n v="0.99990000000000001"/>
    <s v="20.473900416933887"/>
    <s v="55.55050498331309"/>
    <s v="8.908476219840491"/>
    <s v="21.13957638840848"/>
    <n v="711129483"/>
    <x v="0"/>
    <n v="3.2101269999999999E-4"/>
    <x v="0"/>
  </r>
  <r>
    <n v="37"/>
    <n v="1"/>
    <n v="2"/>
    <n v="2"/>
    <n v="3"/>
    <n v="3"/>
    <n v="0"/>
    <n v="28"/>
    <n v="3"/>
    <n v="2"/>
    <n v="3"/>
    <n v="12222"/>
    <n v="0"/>
    <n v="12222"/>
    <n v="0.86099999999999999"/>
    <n v="4215"/>
    <n v="63"/>
    <n v="0.53700000000000003"/>
    <n v="0"/>
    <n v="1.9143E-4"/>
    <n v="0.99980999999999998"/>
    <s v="36.74165783003573"/>
    <s v="25.148434748809965"/>
    <s v="6.896436493882992"/>
    <s v="7.794786692989557"/>
    <n v="712220283"/>
    <x v="0"/>
    <n v="8.6334743999999996E-4"/>
    <x v="0"/>
  </r>
  <r>
    <n v="57"/>
    <n v="1"/>
    <n v="3"/>
    <n v="0"/>
    <n v="3"/>
    <n v="2"/>
    <n v="0"/>
    <n v="50"/>
    <n v="6"/>
    <n v="3"/>
    <n v="4"/>
    <n v="16791"/>
    <n v="1181"/>
    <n v="15610"/>
    <n v="0.55000000000000004"/>
    <n v="2983"/>
    <n v="74"/>
    <n v="0.68200000000000005"/>
    <n v="7.0000000000000007E-2"/>
    <n v="5.2057000000000004E-4"/>
    <n v="0.99948000000000004"/>
    <n v="8.7665494449428394"/>
    <s v="31.68432978541722"/>
    <s v="143.81381043382652"/>
    <s v="16.323920841492576"/>
    <n v="718423533"/>
    <x v="0"/>
    <n v="4.0831335E-4"/>
    <x v="0"/>
  </r>
  <r>
    <n v="45"/>
    <n v="0"/>
    <n v="1"/>
    <n v="6"/>
    <n v="1"/>
    <n v="4"/>
    <n v="0"/>
    <n v="33"/>
    <n v="6"/>
    <n v="3"/>
    <n v="2"/>
    <n v="1438.3"/>
    <n v="1201"/>
    <n v="237.3"/>
    <n v="0.749"/>
    <n v="4851"/>
    <n v="86"/>
    <n v="0.72"/>
    <n v="0.83499999999999996"/>
    <n v="1.8558E-4"/>
    <n v="0.99980999999999998"/>
    <s v="8.633880960138839"/>
    <s v="26.484769249420346"/>
    <s v="25.88564271494812"/>
    <s v="32.38625490346846"/>
    <n v="711338058"/>
    <x v="0"/>
    <n v="3.2101269999999999E-4"/>
    <x v="0"/>
  </r>
  <r>
    <n v="44"/>
    <n v="0"/>
    <n v="2"/>
    <n v="0"/>
    <n v="2"/>
    <n v="4"/>
    <n v="0"/>
    <n v="34"/>
    <n v="4"/>
    <n v="3"/>
    <n v="3"/>
    <n v="1751"/>
    <n v="0"/>
    <n v="1751"/>
    <n v="0.50600000000000001"/>
    <n v="2078"/>
    <n v="37"/>
    <n v="0.42299999999999999"/>
    <n v="0"/>
    <n v="0.99661"/>
    <n v="3.3875699999999999E-3"/>
    <s v="21.49924562475224"/>
    <s v="14.88498486757609"/>
    <s v="45.86542639988777"/>
    <s v="0.8810542718575453"/>
    <n v="712900308"/>
    <x v="1"/>
    <n v="0.99873226999999998"/>
    <x v="1"/>
  </r>
  <r>
    <n v="35"/>
    <n v="1"/>
    <n v="3"/>
    <n v="2"/>
    <n v="3"/>
    <n v="2"/>
    <n v="0"/>
    <n v="30"/>
    <n v="5"/>
    <n v="1"/>
    <n v="3"/>
    <n v="8547"/>
    <n v="1666"/>
    <n v="6881"/>
    <n v="1.163"/>
    <n v="1311"/>
    <n v="33"/>
    <n v="2"/>
    <n v="0.19500000000000001"/>
    <s v="9.6126e-05"/>
    <n v="0.99990000000000001"/>
    <s v="28.077761629917457"/>
    <s v="53.69158842178782"/>
    <s v="97.64906648776751"/>
    <s v="19.839167640033573"/>
    <n v="816082233"/>
    <x v="0"/>
    <n v="9.8706899999999992E-4"/>
    <x v="0"/>
  </r>
  <r>
    <n v="52"/>
    <n v="1"/>
    <n v="4"/>
    <n v="2"/>
    <n v="1"/>
    <n v="3"/>
    <n v="0"/>
    <n v="32"/>
    <n v="4"/>
    <n v="3"/>
    <n v="3"/>
    <n v="1438.3"/>
    <n v="702"/>
    <n v="736.3"/>
    <n v="0.80500000000000005"/>
    <n v="1805"/>
    <n v="53"/>
    <n v="0.60599999999999998"/>
    <n v="0.48799999999999999"/>
    <n v="3.1725999999999998E-4"/>
    <n v="0.99968000000000001"/>
    <s v="29.18749195491703"/>
    <s v="44.93266457797904"/>
    <s v="60.86884178282001"/>
    <s v="13.112835814516048"/>
    <n v="778426608"/>
    <x v="0"/>
    <n v="1.2350732E-3"/>
    <x v="0"/>
  </r>
  <r>
    <n v="48"/>
    <n v="0"/>
    <n v="3"/>
    <n v="5"/>
    <n v="1"/>
    <n v="4"/>
    <n v="0"/>
    <n v="41"/>
    <n v="5"/>
    <n v="3"/>
    <n v="2"/>
    <n v="4960"/>
    <n v="0"/>
    <n v="4960"/>
    <n v="0.88200000000000001"/>
    <n v="2430"/>
    <n v="48"/>
    <n v="0.54800000000000004"/>
    <n v="0"/>
    <n v="0.99482000000000004"/>
    <n v="5.1799999999999997E-3"/>
    <s v="12.028234230480264"/>
    <s v="65.17064513953933"/>
    <s v="78.39663569025738"/>
    <s v="9.140298248573565"/>
    <n v="790119408"/>
    <x v="1"/>
    <n v="0.99873226999999998"/>
    <x v="1"/>
  </r>
  <r>
    <n v="46"/>
    <n v="0"/>
    <n v="2"/>
    <n v="1"/>
    <n v="1"/>
    <n v="4"/>
    <n v="0"/>
    <n v="33"/>
    <n v="2"/>
    <n v="3"/>
    <n v="1"/>
    <n v="2644"/>
    <n v="1517"/>
    <n v="1127"/>
    <n v="0.72099999999999997"/>
    <n v="4815"/>
    <n v="83"/>
    <n v="0.80400000000000005"/>
    <n v="0.57399999999999995"/>
    <n v="1.5697000000000001E-4"/>
    <n v="0.99983999999999995"/>
    <s v="53.77213340430025"/>
    <s v="10.891731247349329"/>
    <s v="6.041163819045496"/>
    <n v="0.25994651172425698"/>
    <n v="711093408"/>
    <x v="0"/>
    <n v="3.2101269999999999E-4"/>
    <x v="0"/>
  </r>
  <r>
    <n v="39"/>
    <n v="1"/>
    <n v="2"/>
    <n v="2"/>
    <n v="2"/>
    <n v="1"/>
    <n v="0"/>
    <n v="26"/>
    <n v="6"/>
    <n v="3"/>
    <n v="2"/>
    <n v="6423"/>
    <n v="0"/>
    <n v="6423"/>
    <n v="1.0509999999999999"/>
    <n v="4295"/>
    <n v="70"/>
    <n v="0.79500000000000004"/>
    <n v="0"/>
    <n v="1.7987E-4"/>
    <n v="0.99982000000000004"/>
    <s v="1.9560964968236008"/>
    <s v="35.85784899972459"/>
    <s v="7.387549965285504"/>
    <n v="2.9075918898751199"/>
    <n v="708219858"/>
    <x v="0"/>
    <n v="8.0553500000000002E-4"/>
    <x v="0"/>
  </r>
  <r>
    <n v="45"/>
    <n v="1"/>
    <n v="3"/>
    <n v="6"/>
    <n v="1"/>
    <n v="3"/>
    <n v="0"/>
    <n v="38"/>
    <n v="3"/>
    <n v="1"/>
    <n v="2"/>
    <n v="23973"/>
    <n v="0"/>
    <n v="23973"/>
    <n v="0.77900000000000003"/>
    <n v="3560"/>
    <n v="71"/>
    <n v="0.51100000000000001"/>
    <n v="0"/>
    <s v="6.282e-05"/>
    <n v="0.99994000000000005"/>
    <s v="16.04257926736709"/>
    <s v="6.819270520812137"/>
    <s v="22.860505852507583"/>
    <s v="18.337816429650896"/>
    <n v="778155558"/>
    <x v="0"/>
    <n v="8.3350899999999996E-4"/>
    <x v="0"/>
  </r>
  <r>
    <n v="57"/>
    <n v="1"/>
    <n v="3"/>
    <n v="3"/>
    <n v="1"/>
    <n v="0"/>
    <n v="0"/>
    <n v="50"/>
    <n v="3"/>
    <n v="3"/>
    <n v="2"/>
    <n v="3205"/>
    <n v="1530"/>
    <n v="1675"/>
    <n v="0.67300000000000004"/>
    <n v="2126"/>
    <n v="58"/>
    <n v="0.65700000000000003"/>
    <n v="0.47699999999999998"/>
    <n v="1.8144999999999999E-4"/>
    <n v="0.99982000000000004"/>
    <s v="49.46274489325465"/>
    <s v="51.28051921101898"/>
    <s v="53.408979133819344"/>
    <s v="13.779773284271606"/>
    <n v="739117233"/>
    <x v="0"/>
    <n v="4.8158727999999997E-4"/>
    <x v="0"/>
  </r>
  <r>
    <n v="49"/>
    <n v="0"/>
    <n v="2"/>
    <n v="6"/>
    <n v="2"/>
    <n v="1"/>
    <n v="0"/>
    <n v="44"/>
    <n v="6"/>
    <n v="1"/>
    <n v="3"/>
    <n v="2147"/>
    <n v="1402"/>
    <n v="745"/>
    <n v="0.61199999999999999"/>
    <n v="4240"/>
    <n v="69"/>
    <n v="0.68300000000000005"/>
    <n v="0.65300000000000002"/>
    <n v="1.0183000000000001E-4"/>
    <n v="0.99990000000000001"/>
    <s v="11.376788246885257"/>
    <s v="74.35975608665552"/>
    <n v="66.610827161501405"/>
    <s v="6.917933380533031"/>
    <n v="815515158"/>
    <x v="0"/>
    <n v="3.2101269999999999E-4"/>
    <x v="0"/>
  </r>
  <r>
    <n v="50"/>
    <n v="0"/>
    <n v="1"/>
    <n v="2"/>
    <n v="1"/>
    <n v="1"/>
    <n v="0"/>
    <n v="36"/>
    <n v="5"/>
    <n v="1"/>
    <n v="3"/>
    <n v="2560"/>
    <n v="1807"/>
    <n v="753"/>
    <n v="0.995"/>
    <n v="4456"/>
    <n v="70"/>
    <n v="0.52200000000000002"/>
    <n v="0.70599999999999996"/>
    <s v="8.6952e-05"/>
    <n v="0.99990999999999997"/>
    <s v="40.01713346114989"/>
    <s v="17.40751402763219"/>
    <s v="13.06677580873528"/>
    <s v="6.309609027026781"/>
    <n v="710359458"/>
    <x v="0"/>
    <n v="3.3028650000000001E-4"/>
    <x v="0"/>
  </r>
  <r>
    <n v="34"/>
    <n v="0"/>
    <n v="2"/>
    <n v="4"/>
    <n v="2"/>
    <n v="4"/>
    <n v="0"/>
    <n v="29"/>
    <n v="2"/>
    <n v="3"/>
    <n v="3"/>
    <n v="2509"/>
    <n v="1897"/>
    <n v="612"/>
    <n v="0.93799999999999994"/>
    <n v="4837"/>
    <n v="74"/>
    <n v="0.54200000000000004"/>
    <n v="0.75600000000000001"/>
    <n v="3.5594000000000001E-4"/>
    <n v="0.99963999999999997"/>
    <n v="6.7442171698492199"/>
    <s v="43.030106896872205"/>
    <s v="65.64675780628596"/>
    <s v="16.131565759280402"/>
    <n v="816129258"/>
    <x v="0"/>
    <n v="3.3028650000000001E-4"/>
    <x v="0"/>
  </r>
  <r>
    <n v="33"/>
    <n v="0"/>
    <n v="3"/>
    <n v="6"/>
    <n v="2"/>
    <n v="1"/>
    <n v="3"/>
    <n v="36"/>
    <n v="2"/>
    <n v="3"/>
    <n v="3"/>
    <n v="19594"/>
    <n v="971"/>
    <n v="18623"/>
    <n v="0.76100000000000001"/>
    <n v="12429"/>
    <n v="111"/>
    <n v="0.54200000000000004"/>
    <n v="0.05"/>
    <n v="3.1177000000000001E-4"/>
    <n v="0.99968999999999997"/>
    <s v="27.42434207063612"/>
    <s v="19.22619065850043"/>
    <s v="45.33730451092537"/>
    <s v="5.901629068722263"/>
    <n v="713708358"/>
    <x v="0"/>
    <n v="5.014552E-4"/>
    <x v="0"/>
  </r>
  <r>
    <n v="51"/>
    <n v="1"/>
    <n v="4"/>
    <n v="2"/>
    <n v="2"/>
    <n v="0"/>
    <n v="0"/>
    <n v="36"/>
    <n v="2"/>
    <n v="1"/>
    <n v="1"/>
    <n v="3168"/>
    <n v="2147"/>
    <n v="1021"/>
    <n v="0.66300000000000003"/>
    <n v="4674"/>
    <n v="71"/>
    <n v="0.82099999999999995"/>
    <n v="0.67800000000000005"/>
    <s v="3.4833e-05"/>
    <n v="0.99997000000000003"/>
    <s v="28.78217792325587"/>
    <s v="26.706892903043684"/>
    <s v="23.067722479406147"/>
    <s v="26.41099340737267"/>
    <n v="719192808"/>
    <x v="0"/>
    <n v="3.2101269999999999E-4"/>
    <x v="0"/>
  </r>
  <r>
    <n v="29"/>
    <n v="0"/>
    <n v="1"/>
    <n v="2"/>
    <n v="1"/>
    <n v="5"/>
    <n v="0"/>
    <n v="19"/>
    <n v="3"/>
    <n v="3"/>
    <n v="4"/>
    <n v="1709"/>
    <n v="1465"/>
    <n v="244"/>
    <n v="0.55800000000000005"/>
    <n v="1757"/>
    <n v="48"/>
    <n v="0.54800000000000004"/>
    <n v="0.85699999999999998"/>
    <n v="4.8434999999999998E-4"/>
    <n v="0.99951999999999996"/>
    <n v="44.371928189581602"/>
    <s v="14.850193071714578"/>
    <s v="29.339415126436947"/>
    <s v="2.461906562301561"/>
    <n v="715457658"/>
    <x v="0"/>
    <n v="1.0903810999999999E-3"/>
    <x v="0"/>
  </r>
  <r>
    <n v="46"/>
    <n v="1"/>
    <n v="2"/>
    <n v="1"/>
    <n v="2"/>
    <n v="3"/>
    <n v="0"/>
    <n v="34"/>
    <n v="4"/>
    <n v="3"/>
    <n v="2"/>
    <n v="14310"/>
    <n v="694"/>
    <n v="13616"/>
    <n v="0.55800000000000005"/>
    <n v="1254"/>
    <n v="34"/>
    <n v="0.47799999999999998"/>
    <n v="4.8000000000000001E-2"/>
    <n v="2.6027999999999999E-4"/>
    <n v="0.99973999999999996"/>
    <s v="4.146289624589224"/>
    <s v="64.28720773665106"/>
    <s v="143.04086808012272"/>
    <s v="3.0486256449215667"/>
    <n v="771706308"/>
    <x v="0"/>
    <n v="2.3360692000000001E-3"/>
    <x v="0"/>
  </r>
  <r>
    <n v="43"/>
    <n v="0"/>
    <n v="4"/>
    <n v="5"/>
    <n v="1"/>
    <n v="1"/>
    <n v="0"/>
    <n v="31"/>
    <n v="4"/>
    <n v="1"/>
    <n v="3"/>
    <n v="1773"/>
    <n v="882"/>
    <n v="891"/>
    <n v="0.68"/>
    <n v="5400"/>
    <n v="84"/>
    <n v="0.61499999999999999"/>
    <n v="0.497"/>
    <s v="9.9893e-05"/>
    <n v="0.99990000000000001"/>
    <s v="10.517967527066409"/>
    <s v="57.06695966871347"/>
    <s v="21.256937901826177"/>
    <s v="6.683412158758007"/>
    <n v="709482633"/>
    <x v="0"/>
    <n v="4.9272710000000002E-4"/>
    <x v="0"/>
  </r>
  <r>
    <n v="43"/>
    <n v="0"/>
    <n v="3"/>
    <n v="3"/>
    <n v="0"/>
    <n v="4"/>
    <n v="0"/>
    <n v="24"/>
    <n v="4"/>
    <n v="2"/>
    <n v="2"/>
    <n v="1662"/>
    <n v="613"/>
    <n v="1049"/>
    <n v="0.86799999999999999"/>
    <n v="2326"/>
    <n v="31"/>
    <n v="0.55000000000000004"/>
    <n v="0.36899999999999999"/>
    <n v="0.99136999999999997"/>
    <n v="8.6300000000000005E-3"/>
    <s v="20.27706973817981"/>
    <s v="5.734588602935271"/>
    <n v="69.403046901380804"/>
    <s v="11.986966306242005"/>
    <n v="779084208"/>
    <x v="1"/>
    <n v="0.99828064000000005"/>
    <x v="1"/>
  </r>
  <r>
    <n v="46"/>
    <n v="1"/>
    <n v="2"/>
    <n v="5"/>
    <n v="0"/>
    <n v="3"/>
    <n v="0"/>
    <n v="36"/>
    <n v="6"/>
    <n v="3"/>
    <n v="3"/>
    <n v="34516"/>
    <n v="1597"/>
    <n v="32919"/>
    <n v="0.85799999999999998"/>
    <n v="1628"/>
    <n v="51"/>
    <n v="1.2170000000000001"/>
    <n v="4.5999999999999999E-2"/>
    <n v="3.1104E-4"/>
    <n v="0.99968999999999997"/>
    <s v="22.59606096124707"/>
    <s v="6.022639622066583"/>
    <s v="7.6009905146723105"/>
    <s v="3.4513046561924883"/>
    <n v="711870333"/>
    <x v="0"/>
    <n v="9.0655360000000003E-4"/>
    <x v="0"/>
  </r>
  <r>
    <n v="49"/>
    <n v="0"/>
    <n v="4"/>
    <n v="6"/>
    <n v="2"/>
    <n v="4"/>
    <n v="0"/>
    <n v="29"/>
    <n v="1"/>
    <n v="3"/>
    <n v="2"/>
    <n v="3919"/>
    <n v="2278"/>
    <n v="1641"/>
    <n v="0.67200000000000004"/>
    <n v="7685"/>
    <n v="85"/>
    <n v="0.51800000000000002"/>
    <n v="0.58099999999999996"/>
    <n v="2.0735E-4"/>
    <n v="0.99978999999999996"/>
    <s v="37.96827627750476"/>
    <s v="31.15149925838165"/>
    <s v="18.50541068827369"/>
    <n v="4.5347929809831999"/>
    <n v="780769308"/>
    <x v="0"/>
    <n v="3.7789578000000003E-4"/>
    <x v="0"/>
  </r>
  <r>
    <n v="55"/>
    <n v="0"/>
    <n v="2"/>
    <n v="2"/>
    <n v="3"/>
    <n v="4"/>
    <n v="0"/>
    <n v="36"/>
    <n v="5"/>
    <n v="1"/>
    <n v="2"/>
    <n v="2712"/>
    <n v="1617"/>
    <n v="1095"/>
    <n v="0.71499999999999997"/>
    <n v="4858"/>
    <n v="73"/>
    <n v="0.73799999999999999"/>
    <n v="0.59599999999999997"/>
    <s v="5.5077e-05"/>
    <n v="0.99994000000000005"/>
    <s v="7.580204386907649"/>
    <s v="20.615337637096783"/>
    <s v="13.657403016341744"/>
    <s v="10.28252639197185"/>
    <n v="716303583"/>
    <x v="0"/>
    <n v="3.2101269999999999E-4"/>
    <x v="0"/>
  </r>
  <r>
    <n v="27"/>
    <n v="1"/>
    <n v="0"/>
    <n v="2"/>
    <n v="2"/>
    <n v="1"/>
    <n v="0"/>
    <n v="16"/>
    <n v="4"/>
    <n v="1"/>
    <n v="2"/>
    <n v="3178"/>
    <n v="1118"/>
    <n v="2060"/>
    <n v="0.64300000000000002"/>
    <n v="2010"/>
    <n v="31"/>
    <n v="0.55000000000000004"/>
    <n v="0.35199999999999998"/>
    <s v="4.7263e-05"/>
    <n v="0.99995000000000001"/>
    <s v="19.094177186274557"/>
    <s v="29.281371168995243"/>
    <s v="40.42475596545773"/>
    <s v="0.4941033365469492"/>
    <n v="708185208"/>
    <x v="0"/>
    <n v="1.174137E-3"/>
    <x v="0"/>
  </r>
  <r>
    <n v="45"/>
    <n v="1"/>
    <n v="2"/>
    <n v="2"/>
    <n v="1"/>
    <n v="2"/>
    <n v="0"/>
    <n v="35"/>
    <n v="1"/>
    <n v="2"/>
    <n v="3"/>
    <n v="7653"/>
    <n v="1693"/>
    <n v="5960"/>
    <n v="0.68300000000000005"/>
    <n v="7508"/>
    <n v="93"/>
    <n v="0.57599999999999996"/>
    <n v="0.221"/>
    <n v="1.9143E-4"/>
    <n v="0.99980999999999998"/>
    <s v="29.348538130680364"/>
    <s v="76.50402523585308"/>
    <s v="60.27171291413298"/>
    <s v="1.037590279307767"/>
    <n v="709418508"/>
    <x v="0"/>
    <n v="3.7789578000000003E-4"/>
    <x v="0"/>
  </r>
  <r>
    <n v="56"/>
    <n v="1"/>
    <n v="2"/>
    <n v="2"/>
    <n v="0"/>
    <n v="0"/>
    <n v="0"/>
    <n v="45"/>
    <n v="3"/>
    <n v="3"/>
    <n v="1"/>
    <n v="3296"/>
    <n v="1435"/>
    <n v="1861"/>
    <n v="0.96799999999999997"/>
    <n v="4327"/>
    <n v="66"/>
    <n v="0.73699999999999999"/>
    <n v="0.435"/>
    <n v="1.0848E-4"/>
    <n v="0.99988999999999995"/>
    <s v="10.25273511505596"/>
    <s v="2.815646884856158"/>
    <s v="9.790433031737823"/>
    <s v="15.161098532754028"/>
    <n v="779947908"/>
    <x v="0"/>
    <n v="3.221314E-4"/>
    <x v="0"/>
  </r>
  <r>
    <n v="38"/>
    <n v="1"/>
    <n v="2"/>
    <n v="2"/>
    <n v="2"/>
    <n v="0"/>
    <n v="0"/>
    <n v="36"/>
    <n v="5"/>
    <n v="2"/>
    <n v="1"/>
    <n v="34516"/>
    <n v="1229"/>
    <n v="33287"/>
    <n v="0.42699999999999999"/>
    <n v="1797"/>
    <n v="35"/>
    <n v="0.29599999999999999"/>
    <n v="3.5999999999999997E-2"/>
    <n v="0.98563999999999996"/>
    <n v="1.436E-2"/>
    <s v="41.693725533206994"/>
    <s v="27.52646539450918"/>
    <s v="33.92975765618374"/>
    <s v="2.4073876858299013"/>
    <n v="716425833"/>
    <x v="1"/>
    <n v="0.99520063000000003"/>
    <x v="1"/>
  </r>
  <r>
    <n v="46"/>
    <n v="1"/>
    <n v="1"/>
    <n v="5"/>
    <n v="3"/>
    <n v="1"/>
    <n v="0"/>
    <n v="27"/>
    <n v="6"/>
    <n v="3"/>
    <n v="3"/>
    <n v="12781"/>
    <n v="1253"/>
    <n v="11528"/>
    <n v="0.63800000000000001"/>
    <n v="1073"/>
    <n v="21"/>
    <n v="0.4"/>
    <n v="9.8000000000000004E-2"/>
    <n v="2.9196000000000002E-4"/>
    <n v="0.99970999999999999"/>
    <s v="2.865632204121089"/>
    <s v="76.28109582869138"/>
    <s v="0.1144127867252787"/>
    <s v="0.9672080596967844"/>
    <n v="788780958"/>
    <x v="0"/>
    <n v="1.2949685E-3"/>
    <x v="0"/>
  </r>
  <r>
    <n v="53"/>
    <n v="0"/>
    <n v="4"/>
    <n v="3"/>
    <n v="1"/>
    <n v="4"/>
    <n v="0"/>
    <n v="36"/>
    <n v="6"/>
    <n v="1"/>
    <n v="3"/>
    <n v="2974"/>
    <n v="1170"/>
    <n v="1804"/>
    <n v="1.2969999999999999"/>
    <n v="1785"/>
    <n v="45"/>
    <n v="1.143"/>
    <n v="0.39300000000000002"/>
    <s v="9.4447e-05"/>
    <n v="0.99990999999999997"/>
    <n v="36.565024129660401"/>
    <s v="22.516117811990355"/>
    <s v="47.601474782311456"/>
    <s v="5.751853915524994"/>
    <n v="716222808"/>
    <x v="0"/>
    <n v="9.8706899999999992E-4"/>
    <x v="0"/>
  </r>
  <r>
    <n v="52"/>
    <n v="0"/>
    <n v="2"/>
    <n v="3"/>
    <n v="2"/>
    <n v="5"/>
    <n v="0"/>
    <n v="32"/>
    <n v="6"/>
    <n v="1"/>
    <n v="3"/>
    <n v="1461"/>
    <n v="0"/>
    <n v="1461"/>
    <n v="0.67600000000000005"/>
    <n v="4633"/>
    <n v="80"/>
    <n v="0.77800000000000002"/>
    <n v="0"/>
    <s v="9.0056e-05"/>
    <n v="0.99990999999999997"/>
    <s v="4.089470622236371"/>
    <s v="31.00885394559603"/>
    <s v="48.85519597816568"/>
    <s v="1.9722044287763865"/>
    <n v="778405458"/>
    <x v="0"/>
    <n v="6.9517245999999998E-4"/>
    <x v="0"/>
  </r>
  <r>
    <n v="40"/>
    <n v="0"/>
    <n v="2"/>
    <n v="5"/>
    <n v="1"/>
    <n v="4"/>
    <n v="0"/>
    <n v="28"/>
    <n v="3"/>
    <n v="2"/>
    <n v="2"/>
    <n v="1794"/>
    <n v="1019"/>
    <n v="775"/>
    <n v="0.69199999999999995"/>
    <n v="4455"/>
    <n v="63"/>
    <n v="0.65800000000000003"/>
    <n v="0.56799999999999995"/>
    <n v="1.1703E-4"/>
    <n v="0.99987999999999999"/>
    <s v="35.05629494917977"/>
    <s v="41.32330858229316"/>
    <s v="61.97151116242205"/>
    <s v="29.081517168041657"/>
    <n v="771474108"/>
    <x v="0"/>
    <n v="3.479205E-4"/>
    <x v="0"/>
  </r>
  <r>
    <n v="38"/>
    <n v="1"/>
    <n v="2"/>
    <n v="5"/>
    <n v="1"/>
    <n v="1"/>
    <n v="0"/>
    <n v="31"/>
    <n v="4"/>
    <n v="3"/>
    <n v="3"/>
    <n v="6116"/>
    <n v="1698"/>
    <n v="4418"/>
    <n v="0.93700000000000006"/>
    <n v="1592"/>
    <n v="32"/>
    <n v="1"/>
    <n v="0.27800000000000002"/>
    <n v="3.1104E-4"/>
    <n v="0.99968999999999997"/>
    <s v="31.032378193627263"/>
    <s v="3.707835363846355"/>
    <s v="83.12892477195015"/>
    <s v="10.717089600826435"/>
    <n v="719521983"/>
    <x v="0"/>
    <n v="9.8706899999999992E-4"/>
    <x v="0"/>
  </r>
  <r>
    <n v="53"/>
    <n v="1"/>
    <n v="1"/>
    <n v="3"/>
    <n v="1"/>
    <n v="0"/>
    <n v="0"/>
    <n v="36"/>
    <n v="6"/>
    <n v="3"/>
    <n v="2"/>
    <n v="3312"/>
    <n v="1844"/>
    <n v="1468"/>
    <n v="0.98599999999999999"/>
    <n v="1740"/>
    <n v="32"/>
    <n v="0.88200000000000001"/>
    <n v="0.55700000000000005"/>
    <n v="1.6412999999999999E-4"/>
    <n v="0.99983999999999995"/>
    <n v="28.079542573922598"/>
    <s v="29.823911992887773"/>
    <n v="96.164868571924103"/>
    <s v="6.253133534362772"/>
    <n v="715024233"/>
    <x v="0"/>
    <n v="9.8706899999999992E-4"/>
    <x v="0"/>
  </r>
  <r>
    <n v="48"/>
    <n v="0"/>
    <n v="3"/>
    <n v="2"/>
    <n v="2"/>
    <n v="1"/>
    <n v="0"/>
    <n v="42"/>
    <n v="1"/>
    <n v="2"/>
    <n v="3"/>
    <n v="9215"/>
    <n v="639"/>
    <n v="8576"/>
    <n v="0.64600000000000002"/>
    <n v="13345"/>
    <n v="114"/>
    <n v="0.754"/>
    <n v="6.9000000000000006E-2"/>
    <n v="1.9864000000000001E-4"/>
    <n v="0.99980000000000002"/>
    <s v="10.377997483661924"/>
    <n v="6.5448475763559805E-2"/>
    <s v="18.918415042257248"/>
    <s v="12.78047513417557"/>
    <n v="792139308"/>
    <x v="0"/>
    <n v="6.5472092999999999E-4"/>
    <x v="0"/>
  </r>
  <r>
    <n v="46"/>
    <n v="0"/>
    <n v="4"/>
    <n v="6"/>
    <n v="3"/>
    <n v="1"/>
    <n v="0"/>
    <n v="38"/>
    <n v="4"/>
    <n v="2"/>
    <n v="3"/>
    <n v="2505"/>
    <n v="0"/>
    <n v="2505"/>
    <n v="0.8"/>
    <n v="4384"/>
    <n v="80"/>
    <n v="0.86"/>
    <n v="0"/>
    <n v="2.2068000000000001E-4"/>
    <n v="0.99978"/>
    <s v="6.448521009201128"/>
    <s v="53.24734224578567"/>
    <s v="30.20087818223268"/>
    <s v="22.20708097402454"/>
    <n v="719531133"/>
    <x v="0"/>
    <n v="6.9517245999999998E-4"/>
    <x v="0"/>
  </r>
  <r>
    <n v="45"/>
    <n v="0"/>
    <n v="3"/>
    <n v="3"/>
    <n v="1"/>
    <n v="4"/>
    <n v="0"/>
    <n v="35"/>
    <n v="2"/>
    <n v="2"/>
    <n v="1"/>
    <n v="2548"/>
    <n v="2250"/>
    <n v="298"/>
    <n v="0.58099999999999996"/>
    <n v="4747"/>
    <n v="77"/>
    <n v="0.79100000000000004"/>
    <n v="0.88300000000000001"/>
    <s v="6.9242e-05"/>
    <n v="0.99992999999999999"/>
    <s v="0.1165044771863847"/>
    <s v="2.930123561157351"/>
    <s v="27.29038850000964"/>
    <s v="15.513113226599955"/>
    <n v="708399858"/>
    <x v="0"/>
    <n v="3.2101269999999999E-4"/>
    <x v="0"/>
  </r>
  <r>
    <n v="48"/>
    <n v="0"/>
    <n v="2"/>
    <n v="2"/>
    <n v="2"/>
    <n v="5"/>
    <n v="0"/>
    <n v="43"/>
    <n v="5"/>
    <n v="3"/>
    <n v="4"/>
    <n v="8171"/>
    <n v="852"/>
    <n v="7319"/>
    <n v="0.63900000000000001"/>
    <n v="1909"/>
    <n v="52"/>
    <n v="0.73299999999999998"/>
    <n v="0.104"/>
    <n v="5.1599999999999997E-4"/>
    <n v="0.99948000000000004"/>
    <s v="20.62849121095285"/>
    <s v="32.178699763477496"/>
    <s v="47.01466057751024"/>
    <s v="16.88778066012213"/>
    <n v="809962908"/>
    <x v="0"/>
    <n v="1.3105958E-3"/>
    <x v="0"/>
  </r>
  <r>
    <n v="44"/>
    <n v="1"/>
    <n v="4"/>
    <n v="3"/>
    <n v="2"/>
    <n v="2"/>
    <n v="0"/>
    <n v="40"/>
    <n v="4"/>
    <n v="3"/>
    <n v="2"/>
    <n v="14370"/>
    <n v="945"/>
    <n v="13425"/>
    <n v="0.55700000000000005"/>
    <n v="4510"/>
    <n v="79"/>
    <n v="0.64600000000000002"/>
    <n v="6.6000000000000003E-2"/>
    <n v="1.8338999999999999E-4"/>
    <n v="0.99982000000000004"/>
    <s v="5.392390604313149"/>
    <s v="10.025274680868796"/>
    <s v="38.79203650651464"/>
    <s v="16.22091107263771"/>
    <n v="823507833"/>
    <x v="0"/>
    <n v="4.5103451999999999E-4"/>
    <x v="0"/>
  </r>
  <r>
    <n v="53"/>
    <n v="0"/>
    <n v="2"/>
    <n v="5"/>
    <n v="1"/>
    <n v="5"/>
    <n v="0"/>
    <n v="36"/>
    <n v="4"/>
    <n v="3"/>
    <n v="3"/>
    <n v="2162"/>
    <n v="1592"/>
    <n v="570"/>
    <n v="0.54700000000000004"/>
    <n v="1736"/>
    <n v="42"/>
    <n v="0.61499999999999999"/>
    <n v="0.73599999999999999"/>
    <n v="3.1104E-4"/>
    <n v="0.99968999999999997"/>
    <s v="38.524334565488296"/>
    <s v="40.39539070782216"/>
    <s v="18.691698332975868"/>
    <n v="8.0713825770465295"/>
    <n v="719555733"/>
    <x v="0"/>
    <n v="1.0598798E-3"/>
    <x v="0"/>
  </r>
  <r>
    <n v="42"/>
    <n v="0"/>
    <n v="4"/>
    <n v="6"/>
    <n v="1"/>
    <n v="4"/>
    <n v="0"/>
    <n v="37"/>
    <n v="2"/>
    <n v="1"/>
    <n v="3"/>
    <n v="6551"/>
    <n v="1718"/>
    <n v="4833"/>
    <n v="1.2070000000000001"/>
    <n v="13363"/>
    <n v="99"/>
    <n v="0.623"/>
    <n v="0.26200000000000001"/>
    <n v="1.0679E-4"/>
    <n v="0.99988999999999995"/>
    <s v="68.72123191550841"/>
    <s v="41.279166936119815"/>
    <n v="13.4401754360737"/>
    <s v="16.527649065171495"/>
    <n v="815078433"/>
    <x v="0"/>
    <n v="3.7359665000000002E-4"/>
    <x v="0"/>
  </r>
  <r>
    <n v="48"/>
    <n v="1"/>
    <n v="4"/>
    <n v="5"/>
    <n v="1"/>
    <n v="2"/>
    <n v="3"/>
    <n v="35"/>
    <n v="5"/>
    <n v="3"/>
    <n v="4"/>
    <n v="33791"/>
    <n v="0"/>
    <n v="33791"/>
    <n v="0.71199999999999997"/>
    <n v="1546"/>
    <n v="41"/>
    <n v="0.57699999999999996"/>
    <n v="0"/>
    <n v="5.0277000000000004E-4"/>
    <n v="0.99950000000000006"/>
    <s v="34.77657859682471"/>
    <s v="9.192110873640116"/>
    <s v="15.470531698291826"/>
    <s v="1.835798034036858"/>
    <n v="710813733"/>
    <x v="0"/>
    <n v="4.459518E-3"/>
    <x v="0"/>
  </r>
  <r>
    <n v="48"/>
    <n v="1"/>
    <n v="4"/>
    <n v="3"/>
    <n v="1"/>
    <n v="3"/>
    <n v="0"/>
    <n v="36"/>
    <n v="1"/>
    <n v="1"/>
    <n v="2"/>
    <n v="21526"/>
    <n v="1320"/>
    <n v="20206"/>
    <n v="0.76200000000000001"/>
    <n v="14441"/>
    <n v="105"/>
    <n v="0.875"/>
    <n v="6.0999999999999999E-2"/>
    <s v="5.6153e-05"/>
    <n v="0.99994000000000005"/>
    <s v="22.67865782869322"/>
    <s v="103.02390918396416"/>
    <s v="3.465457488775634"/>
    <s v="7.165117685044666"/>
    <n v="716340783"/>
    <x v="0"/>
    <n v="3.8573547000000003E-4"/>
    <x v="0"/>
  </r>
  <r>
    <n v="54"/>
    <n v="0"/>
    <n v="0"/>
    <n v="0"/>
    <n v="1"/>
    <n v="4"/>
    <n v="0"/>
    <n v="40"/>
    <n v="3"/>
    <n v="1"/>
    <n v="2"/>
    <n v="1638"/>
    <n v="0"/>
    <n v="1638"/>
    <n v="0.75"/>
    <n v="1885"/>
    <n v="51"/>
    <n v="0.54500000000000004"/>
    <n v="0"/>
    <s v="4.595e-05"/>
    <n v="0.99995000000000001"/>
    <s v="52.91377960532247"/>
    <s v="25.78067014844883"/>
    <s v="164.41480758431993"/>
    <s v="25.49896602343828"/>
    <n v="778465533"/>
    <x v="0"/>
    <n v="4.0736319999999998E-3"/>
    <x v="0"/>
  </r>
  <r>
    <n v="49"/>
    <n v="0"/>
    <n v="1"/>
    <n v="2"/>
    <n v="2"/>
    <n v="4"/>
    <n v="0"/>
    <n v="44"/>
    <n v="5"/>
    <n v="2"/>
    <n v="1"/>
    <n v="3537"/>
    <n v="0"/>
    <n v="3537"/>
    <n v="0.76300000000000001"/>
    <n v="4726"/>
    <n v="78"/>
    <n v="0.81399999999999995"/>
    <n v="0"/>
    <s v="6.4428e-05"/>
    <n v="0.99994000000000005"/>
    <s v="11.982194147000133"/>
    <s v="15.958903616932483"/>
    <s v="44.58731845587641"/>
    <s v="7.879736469289705"/>
    <n v="813435108"/>
    <x v="0"/>
    <n v="6.9517245999999998E-4"/>
    <x v="0"/>
  </r>
  <r>
    <n v="40"/>
    <n v="1"/>
    <n v="2"/>
    <n v="0"/>
    <n v="0"/>
    <n v="2"/>
    <n v="0"/>
    <n v="36"/>
    <n v="3"/>
    <n v="2"/>
    <n v="1"/>
    <n v="20304"/>
    <n v="0"/>
    <n v="20304"/>
    <n v="0.80900000000000005"/>
    <n v="7494"/>
    <n v="85"/>
    <n v="0.66700000000000004"/>
    <n v="0"/>
    <s v="6.6734e-05"/>
    <n v="0.99992999999999999"/>
    <s v="16.232670784622137"/>
    <s v="13.907327602356904"/>
    <s v="109.22099232851797"/>
    <n v="4.5279475551728998"/>
    <n v="718078008"/>
    <x v="0"/>
    <n v="7.9810305E-4"/>
    <x v="0"/>
  </r>
  <r>
    <n v="42"/>
    <n v="1"/>
    <n v="5"/>
    <n v="5"/>
    <n v="1"/>
    <n v="1"/>
    <n v="0"/>
    <n v="34"/>
    <n v="5"/>
    <n v="3"/>
    <n v="2"/>
    <n v="14281"/>
    <n v="1519"/>
    <n v="12762"/>
    <n v="0.25600000000000001"/>
    <n v="1164"/>
    <n v="35"/>
    <n v="0.52200000000000002"/>
    <n v="0.106"/>
    <n v="1.9094000000000001E-4"/>
    <n v="0.99980999999999998"/>
    <s v="7.340144319708574"/>
    <s v="81.40152402307207"/>
    <s v="26.898261141957505"/>
    <s v="9.072787153450406"/>
    <n v="710036508"/>
    <x v="0"/>
    <n v="1.1544054E-3"/>
    <x v="0"/>
  </r>
  <r>
    <n v="50"/>
    <n v="0"/>
    <n v="2"/>
    <n v="2"/>
    <n v="3"/>
    <n v="4"/>
    <n v="0"/>
    <n v="43"/>
    <n v="5"/>
    <n v="3"/>
    <n v="4"/>
    <n v="3424"/>
    <n v="0"/>
    <n v="3424"/>
    <n v="0.76500000000000001"/>
    <n v="4929"/>
    <n v="74"/>
    <n v="0.57399999999999995"/>
    <n v="0"/>
    <n v="5.1599999999999997E-4"/>
    <n v="0.99948000000000004"/>
    <s v="17.899759805224214"/>
    <s v="10.713616414394204"/>
    <s v="56.52620852461916"/>
    <s v="22.573057226740936"/>
    <n v="767333808"/>
    <x v="0"/>
    <n v="7.387203E-4"/>
    <x v="0"/>
  </r>
  <r>
    <n v="40"/>
    <n v="0"/>
    <n v="3"/>
    <n v="6"/>
    <n v="0"/>
    <n v="4"/>
    <n v="0"/>
    <n v="36"/>
    <n v="6"/>
    <n v="1"/>
    <n v="0"/>
    <n v="2348"/>
    <n v="1061"/>
    <n v="1287"/>
    <n v="1.0620000000000001"/>
    <n v="1901"/>
    <n v="27"/>
    <n v="1.25"/>
    <n v="0.45200000000000001"/>
    <s v="2.3172e-05"/>
    <n v="0.99997999999999998"/>
    <s v="26.271014722321336"/>
    <s v="27.86367509532465"/>
    <s v="91.63543077940228"/>
    <s v="16.407495972448427"/>
    <n v="718088133"/>
    <x v="0"/>
    <n v="9.5900599999999999E-4"/>
    <x v="0"/>
  </r>
  <r>
    <n v="39"/>
    <n v="0"/>
    <n v="3"/>
    <n v="2"/>
    <n v="0"/>
    <n v="4"/>
    <n v="0"/>
    <n v="25"/>
    <n v="3"/>
    <n v="1"/>
    <n v="1"/>
    <n v="5494"/>
    <n v="1356"/>
    <n v="4138"/>
    <n v="0.46300000000000002"/>
    <n v="3566"/>
    <n v="81"/>
    <n v="0.88400000000000001"/>
    <n v="0.247"/>
    <s v="3.4465e-05"/>
    <n v="0.99997000000000003"/>
    <s v="32.50363974505032"/>
    <s v="11.585024009553598"/>
    <s v="46.344970204415134"/>
    <s v="4.687897348750174"/>
    <n v="788937933"/>
    <x v="0"/>
    <n v="3.2101269999999999E-4"/>
    <x v="0"/>
  </r>
  <r>
    <n v="38"/>
    <n v="1"/>
    <n v="3"/>
    <n v="6"/>
    <n v="1"/>
    <n v="2"/>
    <n v="0"/>
    <n v="31"/>
    <n v="6"/>
    <n v="1"/>
    <n v="2"/>
    <n v="2014"/>
    <n v="896"/>
    <n v="1118"/>
    <n v="1.0549999999999999"/>
    <n v="2460"/>
    <n v="52"/>
    <n v="0.85699999999999998"/>
    <n v="0.44500000000000001"/>
    <s v="6.282e-05"/>
    <n v="0.99994000000000005"/>
    <s v="10.430655865898014"/>
    <s v="22.29435752291748"/>
    <s v="12.620361401945408"/>
    <s v="2.109300478625011"/>
    <n v="711119358"/>
    <x v="0"/>
    <n v="1.1436021000000001E-3"/>
    <x v="0"/>
  </r>
  <r>
    <n v="51"/>
    <n v="1"/>
    <n v="3"/>
    <n v="6"/>
    <n v="1"/>
    <n v="3"/>
    <n v="0"/>
    <n v="36"/>
    <n v="3"/>
    <n v="3"/>
    <n v="3"/>
    <n v="5130"/>
    <n v="0"/>
    <n v="5130"/>
    <n v="0.40699999999999997"/>
    <n v="1434"/>
    <n v="31"/>
    <n v="0.29199999999999998"/>
    <n v="0"/>
    <n v="0.99711000000000005"/>
    <n v="2.8889200000000001E-3"/>
    <s v="34.75538208225327"/>
    <s v="23.46282338954374"/>
    <s v="67.60917226343109"/>
    <s v="11.51483597609468"/>
    <n v="719902908"/>
    <x v="1"/>
    <n v="0.99860470000000001"/>
    <x v="1"/>
  </r>
  <r>
    <n v="58"/>
    <n v="1"/>
    <n v="2"/>
    <n v="5"/>
    <n v="3"/>
    <n v="0"/>
    <n v="0"/>
    <n v="49"/>
    <n v="6"/>
    <n v="2"/>
    <n v="3"/>
    <n v="9788"/>
    <n v="1794"/>
    <n v="7994"/>
    <n v="0.77800000000000002"/>
    <n v="1805"/>
    <n v="37"/>
    <n v="0.76200000000000001"/>
    <n v="0.183"/>
    <n v="1.9683E-4"/>
    <n v="0.99980000000000002"/>
    <s v="6.349676927292826"/>
    <s v="47.011224098264655"/>
    <s v="92.64470475183136"/>
    <s v="24.077902926943704"/>
    <n v="712595433"/>
    <x v="0"/>
    <n v="1.0337284E-3"/>
    <x v="0"/>
  </r>
  <r>
    <n v="46"/>
    <n v="0"/>
    <n v="3"/>
    <n v="5"/>
    <n v="1"/>
    <n v="4"/>
    <n v="0"/>
    <n v="29"/>
    <n v="5"/>
    <n v="1"/>
    <n v="1"/>
    <n v="2228"/>
    <n v="1449"/>
    <n v="779"/>
    <n v="0.61"/>
    <n v="4382"/>
    <n v="83"/>
    <n v="0.69399999999999995"/>
    <n v="0.65"/>
    <s v="3.5437e-05"/>
    <n v="0.99995999999999996"/>
    <s v="29.25184806168995"/>
    <s v="33.417266568720216"/>
    <s v="59.69620098115769"/>
    <s v="2.2485847631446148"/>
    <n v="778937583"/>
    <x v="0"/>
    <n v="3.2101269999999999E-4"/>
    <x v="0"/>
  </r>
  <r>
    <n v="40"/>
    <n v="1"/>
    <n v="3"/>
    <n v="4"/>
    <n v="2"/>
    <n v="0"/>
    <n v="0"/>
    <n v="26"/>
    <n v="1"/>
    <n v="2"/>
    <n v="1"/>
    <n v="34516"/>
    <n v="2088"/>
    <n v="32428"/>
    <n v="0.627"/>
    <n v="6453"/>
    <n v="89"/>
    <n v="0.58899999999999997"/>
    <n v="0.06"/>
    <s v="8.381e-05"/>
    <n v="0.99992000000000003"/>
    <s v="0.5980934998989231"/>
    <s v="92.26491916335634"/>
    <s v="73.00380514672855"/>
    <s v="1.9080086860326104"/>
    <n v="717370533"/>
    <x v="0"/>
    <n v="4.2060707000000003E-4"/>
    <x v="0"/>
  </r>
  <r>
    <n v="56"/>
    <n v="0"/>
    <n v="1"/>
    <n v="2"/>
    <n v="1"/>
    <n v="4"/>
    <n v="0"/>
    <n v="48"/>
    <n v="3"/>
    <n v="1"/>
    <n v="3"/>
    <n v="2464"/>
    <n v="1794"/>
    <n v="670"/>
    <n v="0.68200000000000005"/>
    <n v="4610"/>
    <n v="76"/>
    <n v="0.9"/>
    <n v="0.72799999999999998"/>
    <s v="8.6952e-05"/>
    <n v="0.99990999999999997"/>
    <s v="2.7492183865348383"/>
    <s v="37.62984667100103"/>
    <s v="56.94145715871262"/>
    <s v="22.46622451570681"/>
    <n v="719617758"/>
    <x v="0"/>
    <n v="3.2101269999999999E-4"/>
    <x v="0"/>
  </r>
  <r>
    <n v="45"/>
    <n v="0"/>
    <n v="3"/>
    <n v="6"/>
    <n v="1"/>
    <n v="4"/>
    <n v="0"/>
    <n v="39"/>
    <n v="4"/>
    <n v="3"/>
    <n v="3"/>
    <n v="2606"/>
    <n v="1978"/>
    <n v="628"/>
    <n v="0.443"/>
    <n v="2191"/>
    <n v="42"/>
    <n v="0.5"/>
    <n v="0.75900000000000001"/>
    <n v="3.4503000000000002E-4"/>
    <n v="0.99965000000000004"/>
    <s v="40.70725503047322"/>
    <s v="15.746194975571004"/>
    <s v="18.700298180729188"/>
    <s v="1.476730782892201"/>
    <n v="710096658"/>
    <x v="0"/>
    <n v="1.4998564000000001E-3"/>
    <x v="0"/>
  </r>
  <r>
    <n v="50"/>
    <n v="1"/>
    <n v="2"/>
    <n v="6"/>
    <n v="1"/>
    <n v="3"/>
    <n v="0"/>
    <n v="38"/>
    <n v="3"/>
    <n v="3"/>
    <n v="1"/>
    <n v="6030"/>
    <n v="1315"/>
    <n v="4715"/>
    <n v="0.623"/>
    <n v="3420"/>
    <n v="81"/>
    <n v="0.84099999999999997"/>
    <n v="0.218"/>
    <n v="1.1924E-4"/>
    <n v="0.99987999999999999"/>
    <s v="5.441315400262015"/>
    <s v="4.568160408651163"/>
    <n v="30.421770195412702"/>
    <s v="16.48236072183367"/>
    <n v="718815108"/>
    <x v="0"/>
    <n v="3.2101269999999999E-4"/>
    <x v="0"/>
  </r>
  <r>
    <n v="58"/>
    <n v="0"/>
    <n v="0"/>
    <n v="2"/>
    <n v="1"/>
    <n v="4"/>
    <n v="0"/>
    <n v="47"/>
    <n v="5"/>
    <n v="3"/>
    <n v="2"/>
    <n v="2232"/>
    <n v="786"/>
    <n v="1446"/>
    <n v="0.435"/>
    <n v="1395"/>
    <n v="39"/>
    <n v="0.34499999999999997"/>
    <n v="0.35199999999999998"/>
    <n v="1.5435000000000001E-4"/>
    <n v="0.99985000000000002"/>
    <s v="15.18622918328985"/>
    <s v="105.09091582711376"/>
    <s v="55.065463414990994"/>
    <s v="31.262753367864576"/>
    <n v="720371733"/>
    <x v="0"/>
    <n v="2.025308E-3"/>
    <x v="0"/>
  </r>
  <r>
    <n v="32"/>
    <n v="0"/>
    <n v="0"/>
    <n v="6"/>
    <n v="2"/>
    <n v="4"/>
    <n v="0"/>
    <n v="22"/>
    <n v="1"/>
    <n v="3"/>
    <n v="2"/>
    <n v="1438.3"/>
    <n v="713"/>
    <n v="725.3"/>
    <n v="0.80600000000000005"/>
    <n v="5099"/>
    <n v="80"/>
    <n v="0.95099999999999996"/>
    <n v="0.496"/>
    <n v="1.6966E-4"/>
    <n v="0.99983"/>
    <s v="29.50082022611673"/>
    <s v="28.23002230283943"/>
    <s v="81.22443093629342"/>
    <s v="9.751305579846736"/>
    <n v="709925733"/>
    <x v="0"/>
    <n v="5.4489190000000002E-4"/>
    <x v="0"/>
  </r>
  <r>
    <n v="37"/>
    <n v="1"/>
    <n v="1"/>
    <n v="1"/>
    <n v="2"/>
    <n v="3"/>
    <n v="0"/>
    <n v="30"/>
    <n v="6"/>
    <n v="3"/>
    <n v="2"/>
    <n v="19300"/>
    <n v="1181"/>
    <n v="18119"/>
    <n v="0.76400000000000001"/>
    <n v="2660"/>
    <n v="70"/>
    <n v="0.79500000000000004"/>
    <n v="6.0999999999999999E-2"/>
    <n v="2.4431000000000002E-4"/>
    <n v="0.99975999999999998"/>
    <s v="1.881762485094979"/>
    <s v="37.38955706514358"/>
    <s v="36.63590677176515"/>
    <s v="21.21974141031226"/>
    <n v="790174608"/>
    <x v="0"/>
    <n v="4.2509991999999997E-4"/>
    <x v="0"/>
  </r>
  <r>
    <n v="34"/>
    <n v="1"/>
    <n v="2"/>
    <n v="3"/>
    <n v="2"/>
    <n v="5"/>
    <n v="0"/>
    <n v="36"/>
    <n v="3"/>
    <n v="4"/>
    <n v="2"/>
    <n v="22886"/>
    <n v="836"/>
    <n v="22050"/>
    <n v="0.88900000000000001"/>
    <n v="2652"/>
    <n v="61"/>
    <n v="0.74299999999999999"/>
    <n v="3.6999999999999998E-2"/>
    <n v="2.1132E-4"/>
    <n v="0.99978999999999996"/>
    <s v="7.0925468896668695"/>
    <s v="3.154222919707787"/>
    <s v="42.02677989033628"/>
    <n v="5.7130039558302004"/>
    <n v="709363383"/>
    <x v="0"/>
    <n v="7.4485790000000001E-4"/>
    <x v="0"/>
  </r>
  <r>
    <n v="36"/>
    <n v="1"/>
    <n v="3"/>
    <n v="5"/>
    <n v="1"/>
    <n v="2"/>
    <n v="0"/>
    <n v="22"/>
    <n v="6"/>
    <n v="3"/>
    <n v="4"/>
    <n v="2224"/>
    <n v="1772"/>
    <n v="452"/>
    <n v="0.81"/>
    <n v="2004"/>
    <n v="44"/>
    <n v="0.41899999999999998"/>
    <n v="0.79700000000000004"/>
    <n v="5.5051999999999998E-4"/>
    <n v="0.99944999999999995"/>
    <s v="54.735844075463234"/>
    <s v="4.722208555633928"/>
    <s v="7.793565200524631"/>
    <s v="1.3797729186810352"/>
    <n v="715055433"/>
    <x v="0"/>
    <n v="1.3273743E-3"/>
    <x v="0"/>
  </r>
  <r>
    <n v="52"/>
    <n v="0"/>
    <n v="1"/>
    <n v="6"/>
    <n v="2"/>
    <n v="1"/>
    <n v="0"/>
    <n v="43"/>
    <n v="4"/>
    <n v="2"/>
    <n v="2"/>
    <n v="1981"/>
    <n v="1082"/>
    <n v="899"/>
    <n v="0.58399999999999996"/>
    <n v="3913"/>
    <n v="90"/>
    <n v="0.73099999999999998"/>
    <n v="0.54600000000000004"/>
    <n v="1.1743000000000001E-4"/>
    <n v="0.99987999999999999"/>
    <s v="15.368144105759468"/>
    <s v="11.437566712490725"/>
    <s v="35.79692952209382"/>
    <s v="25.790311459473088"/>
    <n v="713374533"/>
    <x v="0"/>
    <n v="3.2101269999999999E-4"/>
    <x v="0"/>
  </r>
  <r>
    <n v="53"/>
    <n v="1"/>
    <n v="2"/>
    <n v="2"/>
    <n v="1"/>
    <n v="0"/>
    <n v="0"/>
    <n v="36"/>
    <n v="5"/>
    <n v="1"/>
    <n v="3"/>
    <n v="11023"/>
    <n v="0"/>
    <n v="11023"/>
    <n v="0.53900000000000003"/>
    <n v="1656"/>
    <n v="41"/>
    <n v="0.36699999999999999"/>
    <n v="0"/>
    <s v="9.2637e-05"/>
    <n v="0.99990999999999997"/>
    <s v="32.22805576331087"/>
    <s v="25.932973611965423"/>
    <s v="110.23188007742836"/>
    <s v="5.581012235236482"/>
    <n v="715898058"/>
    <x v="0"/>
    <n v="4.459518E-3"/>
    <x v="0"/>
  </r>
  <r>
    <n v="51"/>
    <n v="1"/>
    <n v="1"/>
    <n v="5"/>
    <n v="2"/>
    <n v="3"/>
    <n v="0"/>
    <n v="37"/>
    <n v="1"/>
    <n v="3"/>
    <n v="2"/>
    <n v="27318"/>
    <n v="2416"/>
    <n v="24902"/>
    <n v="0.91700000000000004"/>
    <n v="7481"/>
    <n v="96"/>
    <n v="0.54800000000000004"/>
    <n v="8.7999999999999995E-2"/>
    <n v="1.7359999999999999E-4"/>
    <n v="0.99983"/>
    <s v="23.177148003663707"/>
    <s v="2.1410248819988835"/>
    <s v="90.99579236484593"/>
    <s v="17.531423009964215"/>
    <n v="710596983"/>
    <x v="0"/>
    <n v="4.0871176000000002E-4"/>
    <x v="0"/>
  </r>
  <r>
    <n v="41"/>
    <n v="1"/>
    <n v="2"/>
    <n v="3"/>
    <n v="1"/>
    <n v="1"/>
    <n v="0"/>
    <n v="32"/>
    <n v="3"/>
    <n v="1"/>
    <n v="3"/>
    <n v="12804"/>
    <n v="2517"/>
    <n v="10287"/>
    <n v="0.89200000000000002"/>
    <n v="1101"/>
    <n v="37"/>
    <n v="0.27600000000000002"/>
    <n v="0.19700000000000001"/>
    <s v="9.0056e-05"/>
    <n v="0.99990999999999997"/>
    <s v="44.95544620107071"/>
    <s v="36.79908434277602"/>
    <s v="84.67962716311253"/>
    <s v="2.3766291325312805"/>
    <n v="769574883"/>
    <x v="0"/>
    <n v="1.2669897000000001E-3"/>
    <x v="0"/>
  </r>
  <r>
    <n v="46"/>
    <n v="0"/>
    <n v="4"/>
    <n v="3"/>
    <n v="1"/>
    <n v="4"/>
    <n v="0"/>
    <n v="36"/>
    <n v="3"/>
    <n v="3"/>
    <n v="4"/>
    <n v="1438.3"/>
    <n v="981"/>
    <n v="457.3"/>
    <n v="0.66300000000000003"/>
    <n v="1114"/>
    <n v="33"/>
    <n v="0.65"/>
    <n v="0.68200000000000005"/>
    <n v="5.2607999999999995E-4"/>
    <n v="0.99946999999999997"/>
    <s v="14.62137644895316"/>
    <s v="8.460476834587245"/>
    <s v="62.40033677960442"/>
    <s v="3.453883231989066"/>
    <n v="709855608"/>
    <x v="0"/>
    <n v="1.2677405E-3"/>
    <x v="0"/>
  </r>
  <r>
    <n v="57"/>
    <n v="0"/>
    <n v="2"/>
    <n v="6"/>
    <n v="2"/>
    <n v="1"/>
    <n v="0"/>
    <n v="45"/>
    <n v="3"/>
    <n v="4"/>
    <n v="3"/>
    <n v="2428"/>
    <n v="932"/>
    <n v="1496"/>
    <n v="0.76800000000000002"/>
    <n v="4823"/>
    <n v="62"/>
    <n v="0.82399999999999995"/>
    <n v="0.38400000000000001"/>
    <n v="4.0182999999999999E-4"/>
    <n v="0.99960000000000004"/>
    <s v="2.493499875627465"/>
    <s v="36.54458749559969"/>
    <s v="99.88477344049082"/>
    <s v="13.031755644998508"/>
    <n v="718734408"/>
    <x v="0"/>
    <n v="4.2835376000000002E-4"/>
    <x v="0"/>
  </r>
  <r>
    <n v="42"/>
    <n v="1"/>
    <n v="3"/>
    <n v="2"/>
    <n v="2"/>
    <n v="1"/>
    <n v="0"/>
    <n v="30"/>
    <n v="6"/>
    <n v="2"/>
    <n v="2"/>
    <n v="8960"/>
    <n v="1054"/>
    <n v="7906"/>
    <n v="0.41399999999999998"/>
    <n v="1488"/>
    <n v="26"/>
    <n v="0.36799999999999999"/>
    <n v="0.11799999999999999"/>
    <n v="1.1811000000000001E-4"/>
    <n v="0.99987999999999999"/>
    <s v="1.0261989068478483"/>
    <s v="49.34159628097476"/>
    <s v="141.28741116811474"/>
    <s v="3.850371581341324"/>
    <n v="714473658"/>
    <x v="0"/>
    <n v="1.1982243E-3"/>
    <x v="0"/>
  </r>
  <r>
    <n v="46"/>
    <n v="0"/>
    <n v="3"/>
    <n v="5"/>
    <n v="2"/>
    <n v="5"/>
    <n v="0"/>
    <n v="33"/>
    <n v="5"/>
    <n v="3"/>
    <n v="4"/>
    <n v="19995"/>
    <n v="0"/>
    <n v="19995"/>
    <n v="0.65"/>
    <n v="1879"/>
    <n v="34"/>
    <n v="0.7"/>
    <n v="0"/>
    <n v="5.5051999999999998E-4"/>
    <n v="0.99944999999999995"/>
    <s v="10.004857332194486"/>
    <s v="15.475556667135285"/>
    <n v="90.344666220824905"/>
    <n v="7.3975989706611003"/>
    <n v="710616183"/>
    <x v="0"/>
    <n v="3.9680046E-3"/>
    <x v="0"/>
  </r>
  <r>
    <n v="56"/>
    <n v="0"/>
    <n v="2"/>
    <n v="1"/>
    <n v="1"/>
    <n v="4"/>
    <n v="0"/>
    <n v="51"/>
    <n v="4"/>
    <n v="6"/>
    <n v="5"/>
    <n v="1438.3"/>
    <n v="0"/>
    <n v="1438.3"/>
    <n v="0.69899999999999995"/>
    <n v="2229"/>
    <n v="40"/>
    <n v="0.6"/>
    <n v="0"/>
    <n v="0.99902000000000002"/>
    <n v="9.7886999999999996E-4"/>
    <n v="0.43964177398670801"/>
    <s v="68.40558391325156"/>
    <s v="14.46088034178984"/>
    <s v="13.462561515572704"/>
    <n v="807587433"/>
    <x v="1"/>
    <n v="0.99763009999999996"/>
    <x v="1"/>
  </r>
  <r>
    <n v="52"/>
    <n v="0"/>
    <n v="3"/>
    <n v="2"/>
    <n v="0"/>
    <n v="4"/>
    <n v="0"/>
    <n v="41"/>
    <n v="3"/>
    <n v="3"/>
    <n v="4"/>
    <n v="6060"/>
    <n v="1687"/>
    <n v="4373"/>
    <n v="0.56299999999999994"/>
    <n v="3953"/>
    <n v="65"/>
    <n v="0.71099999999999997"/>
    <n v="0.27800000000000002"/>
    <n v="5.3543000000000004E-4"/>
    <n v="0.99946000000000002"/>
    <s v="35.894588354142826"/>
    <s v="82.22708064613003"/>
    <s v="155.04998631706263"/>
    <s v="29.549480907311143"/>
    <n v="717281658"/>
    <x v="0"/>
    <n v="3.2890364000000001E-4"/>
    <x v="0"/>
  </r>
  <r>
    <n v="42"/>
    <n v="0"/>
    <n v="3"/>
    <n v="5"/>
    <n v="1"/>
    <n v="4"/>
    <n v="0"/>
    <n v="36"/>
    <n v="6"/>
    <n v="2"/>
    <n v="2"/>
    <n v="5821"/>
    <n v="0"/>
    <n v="5821"/>
    <n v="0.85899999999999999"/>
    <n v="4591"/>
    <n v="70"/>
    <n v="1.1879999999999999"/>
    <n v="0"/>
    <n v="1.2144E-4"/>
    <n v="0.99987999999999999"/>
    <s v="8.198325606985545"/>
    <s v="0.2649314817394526"/>
    <s v="142.79864103976453"/>
    <s v="24.830932495102285"/>
    <n v="711634008"/>
    <x v="0"/>
    <n v="7.6618145000000005E-4"/>
    <x v="0"/>
  </r>
  <r>
    <n v="42"/>
    <n v="1"/>
    <n v="3"/>
    <n v="5"/>
    <n v="1"/>
    <n v="0"/>
    <n v="2"/>
    <n v="23"/>
    <n v="3"/>
    <n v="4"/>
    <n v="3"/>
    <n v="34516"/>
    <n v="2070"/>
    <n v="32446"/>
    <n v="0.88"/>
    <n v="13781"/>
    <n v="102"/>
    <n v="0.54500000000000004"/>
    <n v="0.06"/>
    <n v="6.7743000000000002E-4"/>
    <n v="0.99931999999999999"/>
    <s v="38.61563207057497"/>
    <n v="50.592474599985302"/>
    <s v="45.21146942163221"/>
    <s v="11.186770718154804"/>
    <n v="794494308"/>
    <x v="0"/>
    <n v="5.0162785999999997E-4"/>
    <x v="0"/>
  </r>
  <r>
    <n v="57"/>
    <n v="0"/>
    <n v="3"/>
    <n v="3"/>
    <n v="1"/>
    <n v="4"/>
    <n v="0"/>
    <n v="36"/>
    <n v="3"/>
    <n v="3"/>
    <n v="1"/>
    <n v="3999"/>
    <n v="721"/>
    <n v="3278"/>
    <n v="0.84699999999999998"/>
    <n v="15443"/>
    <n v="102"/>
    <n v="0.67200000000000004"/>
    <n v="0.18"/>
    <n v="1.0943E-4"/>
    <n v="0.99988999999999995"/>
    <s v="3.047877299828552"/>
    <s v="64.58747493380568"/>
    <s v="29.790571798725036"/>
    <s v="6.739248743903154"/>
    <n v="716663808"/>
    <x v="0"/>
    <n v="5.8825010000000005E-4"/>
    <x v="0"/>
  </r>
  <r>
    <n v="31"/>
    <n v="1"/>
    <n v="2"/>
    <n v="2"/>
    <n v="2"/>
    <n v="4"/>
    <n v="0"/>
    <n v="19"/>
    <n v="1"/>
    <n v="2"/>
    <n v="3"/>
    <n v="5871"/>
    <n v="1829"/>
    <n v="4042"/>
    <n v="0.81"/>
    <n v="15645"/>
    <n v="117"/>
    <n v="0.746"/>
    <n v="0.312"/>
    <n v="1.9143E-4"/>
    <n v="0.99980999999999998"/>
    <s v="5.755930621689093"/>
    <s v="36.41040746203139"/>
    <s v="31.09550962637284"/>
    <s v="13.394062082148285"/>
    <n v="713542908"/>
    <x v="0"/>
    <n v="3.4656386999999997E-4"/>
    <x v="0"/>
  </r>
  <r>
    <n v="54"/>
    <n v="0"/>
    <n v="3"/>
    <n v="6"/>
    <n v="2"/>
    <n v="1"/>
    <n v="0"/>
    <n v="43"/>
    <n v="6"/>
    <n v="3"/>
    <n v="4"/>
    <n v="5632"/>
    <n v="1596"/>
    <n v="4036"/>
    <n v="0.95099999999999996"/>
    <n v="3557"/>
    <n v="64"/>
    <n v="1.0649999999999999"/>
    <n v="0.28299999999999997"/>
    <n v="5.8850999999999999E-4"/>
    <n v="0.99941000000000002"/>
    <s v="48.36759203843386"/>
    <s v="1.9209567518637407"/>
    <s v="72.18610036626956"/>
    <s v="11.780631669945771"/>
    <n v="713014533"/>
    <x v="0"/>
    <n v="3.463343E-4"/>
    <x v="0"/>
  </r>
  <r>
    <n v="45"/>
    <n v="1"/>
    <n v="1"/>
    <n v="2"/>
    <n v="2"/>
    <n v="1"/>
    <n v="0"/>
    <n v="32"/>
    <n v="5"/>
    <n v="1"/>
    <n v="2"/>
    <n v="6629"/>
    <n v="1389"/>
    <n v="5240"/>
    <n v="0.82799999999999996"/>
    <n v="3891"/>
    <n v="69"/>
    <n v="0.64300000000000002"/>
    <n v="0.21"/>
    <s v="5.1697e-05"/>
    <n v="0.99995000000000001"/>
    <s v="6.4452310555012335"/>
    <s v="57.98272343520886"/>
    <s v="61.29541261174224"/>
    <s v="22.536092916750697"/>
    <n v="708161133"/>
    <x v="0"/>
    <n v="3.2914013999999999E-4"/>
    <x v="0"/>
  </r>
  <r>
    <n v="54"/>
    <n v="1"/>
    <n v="2"/>
    <n v="5"/>
    <n v="1"/>
    <n v="2"/>
    <n v="0"/>
    <n v="34"/>
    <n v="5"/>
    <n v="1"/>
    <n v="4"/>
    <n v="6401"/>
    <n v="1471"/>
    <n v="4930"/>
    <n v="0.65500000000000003"/>
    <n v="4465"/>
    <n v="63"/>
    <n v="0.70299999999999996"/>
    <n v="0.23"/>
    <n v="1.6249E-4"/>
    <n v="0.99983999999999995"/>
    <s v="15.523071057125485"/>
    <s v="6.6972386289300125"/>
    <s v="35.06760980266196"/>
    <s v="19.719868754137885"/>
    <n v="718271958"/>
    <x v="0"/>
    <n v="3.479205E-4"/>
    <x v="0"/>
  </r>
  <r>
    <n v="57"/>
    <n v="1"/>
    <n v="2"/>
    <n v="3"/>
    <n v="2"/>
    <n v="3"/>
    <n v="0"/>
    <n v="52"/>
    <n v="6"/>
    <n v="3"/>
    <n v="4"/>
    <n v="32409"/>
    <n v="0"/>
    <n v="32409"/>
    <n v="0.94299999999999995"/>
    <n v="4218"/>
    <n v="66"/>
    <n v="0.57099999999999995"/>
    <n v="0"/>
    <n v="5.0162999999999998E-4"/>
    <n v="0.99950000000000006"/>
    <s v="8.710298732274678"/>
    <s v="39.17404398399336"/>
    <s v="149.6604106429505"/>
    <s v="15.723982945624591"/>
    <n v="816606333"/>
    <x v="0"/>
    <n v="8.3752749999999997E-4"/>
    <x v="0"/>
  </r>
  <r>
    <n v="41"/>
    <n v="1"/>
    <n v="5"/>
    <n v="6"/>
    <n v="2"/>
    <n v="2"/>
    <n v="1"/>
    <n v="32"/>
    <n v="2"/>
    <n v="3"/>
    <n v="4"/>
    <n v="34516"/>
    <n v="2517"/>
    <n v="31999"/>
    <n v="0.46500000000000002"/>
    <n v="1727"/>
    <n v="35"/>
    <n v="0.45800000000000002"/>
    <n v="7.2999999999999995E-2"/>
    <n v="0.99851999999999996"/>
    <n v="1.4793E-3"/>
    <s v="31.165102080947715"/>
    <s v="10.665878795366025"/>
    <s v="6.407153510629996"/>
    <s v="23.26481154061257"/>
    <n v="709163358"/>
    <x v="1"/>
    <n v="0.99513936000000003"/>
    <x v="1"/>
  </r>
  <r>
    <n v="47"/>
    <n v="0"/>
    <n v="3"/>
    <n v="2"/>
    <n v="3"/>
    <n v="4"/>
    <n v="0"/>
    <n v="38"/>
    <n v="2"/>
    <n v="2"/>
    <n v="3"/>
    <n v="3165"/>
    <n v="2517"/>
    <n v="648"/>
    <n v="0.748"/>
    <n v="2751"/>
    <n v="49"/>
    <n v="1.042"/>
    <n v="0.79500000000000004"/>
    <n v="0.99499000000000004"/>
    <n v="5.0099999999999997E-3"/>
    <s v="29.25120378189734"/>
    <s v="74.23096920193359"/>
    <s v="60.99874569869733"/>
    <s v="0.8308366927579042"/>
    <n v="716963283"/>
    <x v="1"/>
    <n v="0.99469909999999995"/>
    <x v="1"/>
  </r>
  <r>
    <n v="54"/>
    <n v="0"/>
    <n v="1"/>
    <n v="2"/>
    <n v="2"/>
    <n v="4"/>
    <n v="3"/>
    <n v="47"/>
    <n v="6"/>
    <n v="3"/>
    <n v="4"/>
    <n v="12873"/>
    <n v="0"/>
    <n v="12873"/>
    <n v="1.0049999999999999"/>
    <n v="3170"/>
    <n v="70"/>
    <n v="0.84199999999999997"/>
    <n v="0"/>
    <n v="4.3765999999999998E-4"/>
    <n v="0.99956"/>
    <s v="3.1448725558429973"/>
    <s v="61.85042626485216"/>
    <s v="73.07300505887451"/>
    <s v="0.8639311749386969"/>
    <n v="756397458"/>
    <x v="0"/>
    <n v="8.0553500000000002E-4"/>
    <x v="0"/>
  </r>
  <r>
    <n v="52"/>
    <n v="1"/>
    <n v="2"/>
    <n v="5"/>
    <n v="3"/>
    <n v="0"/>
    <n v="0"/>
    <n v="42"/>
    <n v="1"/>
    <n v="1"/>
    <n v="3"/>
    <n v="33552"/>
    <n v="1252"/>
    <n v="32300"/>
    <n v="0.79300000000000004"/>
    <n v="14490"/>
    <n v="98"/>
    <n v="0.81499999999999995"/>
    <n v="3.6999999999999998E-2"/>
    <s v="9.5249e-05"/>
    <n v="0.99990000000000001"/>
    <s v="1.7079272781487702"/>
    <s v="8.204010124732253"/>
    <s v="28.369109981627474"/>
    <s v="21.874406697412663"/>
    <n v="717942033"/>
    <x v="0"/>
    <n v="3.8573547000000003E-4"/>
    <x v="0"/>
  </r>
  <r>
    <n v="46"/>
    <n v="0"/>
    <n v="3"/>
    <n v="2"/>
    <n v="1"/>
    <n v="4"/>
    <n v="0"/>
    <n v="34"/>
    <n v="3"/>
    <n v="3"/>
    <n v="1"/>
    <n v="1438.3"/>
    <n v="0"/>
    <n v="1438.3"/>
    <n v="0.71399999999999997"/>
    <n v="2658"/>
    <n v="43"/>
    <n v="0.65400000000000003"/>
    <n v="0"/>
    <n v="0.99119999999999997"/>
    <n v="8.8000000000000005E-3"/>
    <s v="15.351685452275634"/>
    <s v="9.359372876123969"/>
    <s v="34.58170257775954"/>
    <s v="4.5642292124969845"/>
    <n v="712552608"/>
    <x v="1"/>
    <n v="0.9985098"/>
    <x v="1"/>
  </r>
  <r>
    <n v="40"/>
    <n v="1"/>
    <n v="2"/>
    <n v="2"/>
    <n v="0"/>
    <n v="2"/>
    <n v="0"/>
    <n v="36"/>
    <n v="3"/>
    <n v="1"/>
    <n v="2"/>
    <n v="3099"/>
    <n v="0"/>
    <n v="3099"/>
    <n v="0.72"/>
    <n v="3622"/>
    <n v="75"/>
    <n v="0.66700000000000004"/>
    <n v="0"/>
    <s v="5.5077e-05"/>
    <n v="0.99994000000000005"/>
    <s v="11.342422168517054"/>
    <s v="44.07134027968649"/>
    <s v="73.71737106935961"/>
    <s v="11.174730667695002"/>
    <n v="709179708"/>
    <x v="0"/>
    <n v="6.9517245999999998E-4"/>
    <x v="0"/>
  </r>
  <r>
    <n v="44"/>
    <n v="0"/>
    <n v="5"/>
    <n v="0"/>
    <n v="1"/>
    <n v="4"/>
    <n v="0"/>
    <n v="34"/>
    <n v="4"/>
    <n v="1"/>
    <n v="2"/>
    <n v="2096"/>
    <n v="1711"/>
    <n v="385"/>
    <n v="0.746"/>
    <n v="3692"/>
    <n v="68"/>
    <n v="0.74399999999999999"/>
    <n v="0.81599999999999995"/>
    <s v="5.5282e-05"/>
    <n v="0.99994000000000005"/>
    <s v="83.34751134547359"/>
    <s v="70.60038723420212"/>
    <s v="14.198337245075312"/>
    <s v="0.2173426502917888"/>
    <n v="718005108"/>
    <x v="0"/>
    <n v="3.2101269999999999E-4"/>
    <x v="0"/>
  </r>
  <r>
    <n v="42"/>
    <n v="0"/>
    <n v="4"/>
    <n v="0"/>
    <n v="2"/>
    <n v="5"/>
    <n v="0"/>
    <n v="34"/>
    <n v="5"/>
    <n v="3"/>
    <n v="2"/>
    <n v="15449"/>
    <n v="0"/>
    <n v="15449"/>
    <n v="0.78300000000000003"/>
    <n v="4098"/>
    <n v="81"/>
    <n v="0.58799999999999997"/>
    <n v="0"/>
    <n v="1.8340000000000001E-4"/>
    <n v="0.99982000000000004"/>
    <s v="75.83487619487741"/>
    <s v="30.53912737455213"/>
    <s v="85.96119734557521"/>
    <s v="6.3805981293925615"/>
    <n v="714932658"/>
    <x v="0"/>
    <n v="7.387203E-4"/>
    <x v="0"/>
  </r>
  <r>
    <n v="51"/>
    <n v="0"/>
    <n v="3"/>
    <n v="6"/>
    <n v="2"/>
    <n v="4"/>
    <n v="0"/>
    <n v="46"/>
    <n v="3"/>
    <n v="2"/>
    <n v="2"/>
    <n v="4333"/>
    <n v="1848"/>
    <n v="2485"/>
    <n v="0.63400000000000001"/>
    <n v="7643"/>
    <n v="85"/>
    <n v="0.77100000000000002"/>
    <n v="0.42599999999999999"/>
    <n v="1.2982E-4"/>
    <n v="0.99987000000000004"/>
    <s v="16.506299071482445"/>
    <s v="65.64049591457746"/>
    <s v="19.967141288978063"/>
    <s v="0.9259361864629756"/>
    <n v="815498733"/>
    <x v="0"/>
    <n v="3.6856539999999998E-4"/>
    <x v="0"/>
  </r>
  <r>
    <n v="42"/>
    <n v="1"/>
    <n v="3"/>
    <n v="3"/>
    <n v="2"/>
    <n v="4"/>
    <n v="0"/>
    <n v="24"/>
    <n v="4"/>
    <n v="3"/>
    <n v="2"/>
    <n v="2171"/>
    <n v="1415"/>
    <n v="756"/>
    <n v="0.77300000000000002"/>
    <n v="4992"/>
    <n v="77"/>
    <n v="0.83299999999999996"/>
    <n v="0.65200000000000002"/>
    <n v="1.8144999999999999E-4"/>
    <n v="0.99982000000000004"/>
    <s v="2.196517056593993"/>
    <s v="4.477669112015881"/>
    <s v="21.031817498218064"/>
    <s v="16.570598198411748"/>
    <n v="714766383"/>
    <x v="0"/>
    <n v="3.2101269999999999E-4"/>
    <x v="0"/>
  </r>
  <r>
    <n v="45"/>
    <n v="0"/>
    <n v="4"/>
    <n v="0"/>
    <n v="0"/>
    <n v="4"/>
    <n v="0"/>
    <n v="39"/>
    <n v="5"/>
    <n v="1"/>
    <n v="2"/>
    <n v="4948"/>
    <n v="1655"/>
    <n v="3293"/>
    <n v="0.56200000000000006"/>
    <n v="3711"/>
    <n v="64"/>
    <n v="0.52400000000000002"/>
    <n v="0.33400000000000002"/>
    <s v="5.6158e-05"/>
    <n v="0.99994000000000005"/>
    <s v="40.44426338540334"/>
    <s v="15.740599170194349"/>
    <s v="124.93684793473368"/>
    <s v="6.511552457797776"/>
    <n v="720541758"/>
    <x v="0"/>
    <n v="3.4604817999999999E-4"/>
    <x v="0"/>
  </r>
  <r>
    <n v="40"/>
    <n v="1"/>
    <n v="3"/>
    <n v="5"/>
    <n v="0"/>
    <n v="3"/>
    <n v="0"/>
    <n v="29"/>
    <n v="3"/>
    <n v="2"/>
    <n v="1"/>
    <n v="30997"/>
    <n v="2330"/>
    <n v="28667"/>
    <n v="0.65"/>
    <n v="3821"/>
    <n v="81"/>
    <n v="0.84099999999999997"/>
    <n v="7.4999999999999997E-2"/>
    <s v="7.3235e-05"/>
    <n v="0.99992999999999999"/>
    <s v="10.553911538426178"/>
    <s v="19.613005469379168"/>
    <s v="44.25823829992809"/>
    <s v="16.350080673526737"/>
    <n v="714407058"/>
    <x v="0"/>
    <n v="3.4749169999999998E-4"/>
    <x v="0"/>
  </r>
  <r>
    <n v="61"/>
    <n v="1"/>
    <n v="2"/>
    <n v="2"/>
    <n v="1"/>
    <n v="0"/>
    <n v="0"/>
    <n v="49"/>
    <n v="3"/>
    <n v="0"/>
    <n v="4"/>
    <n v="11374"/>
    <n v="2517"/>
    <n v="8857"/>
    <n v="1.0149999999999999"/>
    <n v="1088"/>
    <n v="26"/>
    <n v="1.167"/>
    <n v="0.221"/>
    <n v="0.98319000000000001"/>
    <n v="1.6809999999999999E-2"/>
    <s v="51.18687474390812"/>
    <s v="53.53261683597698"/>
    <s v="49.05331019955384"/>
    <s v="0.4910191703312944"/>
    <n v="711509658"/>
    <x v="1"/>
    <n v="0.99287707000000003"/>
    <x v="1"/>
  </r>
  <r>
    <n v="54"/>
    <n v="0"/>
    <n v="4"/>
    <n v="2"/>
    <n v="0"/>
    <n v="4"/>
    <n v="0"/>
    <n v="43"/>
    <n v="1"/>
    <n v="2"/>
    <n v="1"/>
    <n v="2506"/>
    <n v="1784"/>
    <n v="722"/>
    <n v="0.72899999999999998"/>
    <n v="4504"/>
    <n v="80"/>
    <n v="1.0509999999999999"/>
    <n v="0.71199999999999997"/>
    <s v="7.1987e-05"/>
    <n v="0.99992999999999999"/>
    <s v="3.944022603802461"/>
    <s v="14.90842474198619"/>
    <s v="3.9547706176330633"/>
    <s v="8.513838835800636"/>
    <n v="711118083"/>
    <x v="0"/>
    <n v="3.2101269999999999E-4"/>
    <x v="0"/>
  </r>
  <r>
    <n v="51"/>
    <n v="1"/>
    <n v="2"/>
    <n v="3"/>
    <n v="1"/>
    <n v="2"/>
    <n v="0"/>
    <n v="38"/>
    <n v="5"/>
    <n v="3"/>
    <n v="2"/>
    <n v="22332"/>
    <n v="1748"/>
    <n v="20584"/>
    <n v="0.84099999999999997"/>
    <n v="1318"/>
    <n v="28"/>
    <n v="0.64700000000000002"/>
    <n v="7.8E-2"/>
    <n v="1.7485999999999999E-4"/>
    <n v="0.99983"/>
    <s v="2.653199305407548"/>
    <s v="34.82103661243681"/>
    <s v="22.79865955495353"/>
    <s v="7.430250868989981"/>
    <n v="719461008"/>
    <x v="0"/>
    <n v="1.1187573000000001E-3"/>
    <x v="0"/>
  </r>
  <r>
    <n v="51"/>
    <n v="0"/>
    <n v="2"/>
    <n v="3"/>
    <n v="2"/>
    <n v="5"/>
    <n v="0"/>
    <n v="31"/>
    <n v="6"/>
    <n v="2"/>
    <n v="1"/>
    <n v="4789"/>
    <n v="2203"/>
    <n v="2586"/>
    <n v="0.84699999999999998"/>
    <n v="4718"/>
    <n v="81"/>
    <n v="0.97599999999999998"/>
    <n v="0.46"/>
    <s v="6.6728e-05"/>
    <n v="0.99992999999999999"/>
    <s v="56.900109297287045"/>
    <s v="51.50662238949528"/>
    <s v="6.382801477489973"/>
    <s v="3.216212850646692"/>
    <n v="778659108"/>
    <x v="0"/>
    <n v="3.2101269999999999E-4"/>
    <x v="0"/>
  </r>
  <r>
    <n v="41"/>
    <n v="0"/>
    <n v="2"/>
    <n v="3"/>
    <n v="1"/>
    <n v="1"/>
    <n v="0"/>
    <n v="26"/>
    <n v="5"/>
    <n v="1"/>
    <n v="2"/>
    <n v="1438.3"/>
    <n v="0"/>
    <n v="1438.3"/>
    <n v="0.66"/>
    <n v="4300"/>
    <n v="67"/>
    <n v="0.67500000000000004"/>
    <n v="0"/>
    <s v="5.3542e-05"/>
    <n v="0.99995000000000001"/>
    <s v="15.760855088900032"/>
    <s v="16.87864360986679"/>
    <s v="139.0764715071521"/>
    <s v="4.544573836991783"/>
    <n v="789670533"/>
    <x v="0"/>
    <n v="7.4965424999999997E-4"/>
    <x v="0"/>
  </r>
  <r>
    <n v="54"/>
    <n v="0"/>
    <n v="4"/>
    <n v="2"/>
    <n v="2"/>
    <n v="4"/>
    <n v="3"/>
    <n v="36"/>
    <n v="3"/>
    <n v="2"/>
    <n v="3"/>
    <n v="13626"/>
    <n v="0"/>
    <n v="13626"/>
    <n v="0.41099999999999998"/>
    <n v="1711"/>
    <n v="30"/>
    <n v="0.25"/>
    <n v="0"/>
    <n v="0.99451999999999996"/>
    <n v="5.4799999999999996E-3"/>
    <s v="5.355297670683132"/>
    <s v="30.606666920415066"/>
    <s v="31.140796554132297"/>
    <s v="30.53897377117434"/>
    <n v="708687483"/>
    <x v="1"/>
    <n v="0.99860470000000001"/>
    <x v="1"/>
  </r>
  <r>
    <n v="44"/>
    <n v="0"/>
    <n v="5"/>
    <n v="2"/>
    <n v="1"/>
    <n v="5"/>
    <n v="0"/>
    <n v="35"/>
    <n v="4"/>
    <n v="1"/>
    <n v="2"/>
    <n v="6273"/>
    <n v="978"/>
    <n v="5295"/>
    <n v="2.2749999999999999"/>
    <n v="1359"/>
    <n v="25"/>
    <n v="1.083"/>
    <n v="0.156"/>
    <s v="5.6861e-05"/>
    <n v="0.99994000000000005"/>
    <s v="10.064470596242632"/>
    <s v="68.31668129767026"/>
    <s v="16.997490891011925"/>
    <s v="4.980639107672516"/>
    <n v="711427458"/>
    <x v="0"/>
    <n v="1.176673E-3"/>
    <x v="0"/>
  </r>
  <r>
    <n v="41"/>
    <n v="1"/>
    <n v="5"/>
    <n v="2"/>
    <n v="2"/>
    <n v="0"/>
    <n v="0"/>
    <n v="29"/>
    <n v="5"/>
    <n v="2"/>
    <n v="2"/>
    <n v="5207"/>
    <n v="1748"/>
    <n v="3459"/>
    <n v="1.073"/>
    <n v="1310"/>
    <n v="26"/>
    <n v="1"/>
    <n v="0.33600000000000002"/>
    <n v="1.1751E-4"/>
    <n v="0.99987999999999999"/>
    <s v="42.56518829078267"/>
    <s v="11.28088059625749"/>
    <n v="88.579515883830794"/>
    <s v="10.14173111784802"/>
    <n v="717906783"/>
    <x v="0"/>
    <n v="9.8706899999999992E-4"/>
    <x v="0"/>
  </r>
  <r>
    <n v="49"/>
    <n v="1"/>
    <n v="3"/>
    <n v="5"/>
    <n v="1"/>
    <n v="0"/>
    <n v="1"/>
    <n v="38"/>
    <n v="4"/>
    <n v="3"/>
    <n v="4"/>
    <n v="14938"/>
    <n v="0"/>
    <n v="14938"/>
    <n v="0.73699999999999999"/>
    <n v="15277"/>
    <n v="131"/>
    <n v="0.72399999999999998"/>
    <n v="0"/>
    <n v="6.3422000000000001E-4"/>
    <n v="0.99936999999999998"/>
    <s v="41.229767311535454"/>
    <s v="40.73137865733025"/>
    <n v="9.0389356937551693"/>
    <s v="12.93412395099128"/>
    <n v="717714633"/>
    <x v="0"/>
    <n v="7.9642669999999995E-4"/>
    <x v="0"/>
  </r>
  <r>
    <n v="58"/>
    <n v="0"/>
    <n v="3"/>
    <n v="6"/>
    <n v="0"/>
    <n v="4"/>
    <n v="0"/>
    <n v="36"/>
    <n v="2"/>
    <n v="2"/>
    <n v="3"/>
    <n v="1508"/>
    <n v="0"/>
    <n v="1508"/>
    <n v="0.45800000000000002"/>
    <n v="1990"/>
    <n v="31"/>
    <n v="0.192"/>
    <n v="0"/>
    <n v="0.99543999999999999"/>
    <n v="4.5580500000000001E-3"/>
    <s v="7.915090295663002"/>
    <s v="1.031759485876994"/>
    <s v="10.975540457350794"/>
    <s v="16.448392089623173"/>
    <n v="716299608"/>
    <x v="1"/>
    <n v="0.99877304"/>
    <x v="1"/>
  </r>
  <r>
    <n v="52"/>
    <n v="0"/>
    <n v="2"/>
    <n v="6"/>
    <n v="1"/>
    <n v="5"/>
    <n v="0"/>
    <n v="45"/>
    <n v="3"/>
    <n v="1"/>
    <n v="2"/>
    <n v="29551"/>
    <n v="2095"/>
    <n v="27456"/>
    <n v="1.1000000000000001"/>
    <n v="3226"/>
    <n v="63"/>
    <n v="0.85299999999999998"/>
    <n v="7.0999999999999994E-2"/>
    <s v="6.054e-05"/>
    <n v="0.99994000000000005"/>
    <s v="20.464333257173585"/>
    <s v="7.166283699285738"/>
    <s v="153.83097420010765"/>
    <s v="1.4634224131401004"/>
    <n v="720968583"/>
    <x v="0"/>
    <n v="3.9737675E-4"/>
    <x v="0"/>
  </r>
  <r>
    <n v="49"/>
    <n v="0"/>
    <n v="2"/>
    <n v="2"/>
    <n v="2"/>
    <n v="5"/>
    <n v="0"/>
    <n v="38"/>
    <n v="6"/>
    <n v="3"/>
    <n v="3"/>
    <n v="5076"/>
    <n v="871"/>
    <n v="4205"/>
    <n v="0.69299999999999995"/>
    <n v="4115"/>
    <n v="72"/>
    <n v="0.6"/>
    <n v="0.17199999999999999"/>
    <n v="3.0250999999999998E-4"/>
    <n v="0.99970000000000003"/>
    <s v="18.65915285183046"/>
    <s v="23.395765801238177"/>
    <n v="94.935358967423298"/>
    <s v="5.927800857426561"/>
    <n v="715040208"/>
    <x v="0"/>
    <n v="4.3230187E-4"/>
    <x v="0"/>
  </r>
  <r>
    <n v="52"/>
    <n v="1"/>
    <n v="2"/>
    <n v="4"/>
    <n v="1"/>
    <n v="2"/>
    <n v="0"/>
    <n v="45"/>
    <n v="4"/>
    <n v="1"/>
    <n v="4"/>
    <n v="11819"/>
    <n v="929"/>
    <n v="10890"/>
    <n v="0.77300000000000002"/>
    <n v="2431"/>
    <n v="46"/>
    <n v="0.48399999999999999"/>
    <n v="7.9000000000000001E-2"/>
    <n v="1.8594999999999999E-4"/>
    <n v="0.99980999999999998"/>
    <s v="9.035627487856289"/>
    <s v="99.48480951242288"/>
    <s v="60.29704275047208"/>
    <s v="16.283566324591554"/>
    <n v="757266933"/>
    <x v="0"/>
    <n v="2.0124498000000002E-3"/>
    <x v="0"/>
  </r>
  <r>
    <n v="41"/>
    <n v="1"/>
    <n v="4"/>
    <n v="5"/>
    <n v="2"/>
    <n v="3"/>
    <n v="0"/>
    <n v="30"/>
    <n v="3"/>
    <n v="3"/>
    <n v="4"/>
    <n v="14480"/>
    <n v="0"/>
    <n v="14480"/>
    <n v="0.70299999999999996"/>
    <n v="1616"/>
    <n v="43"/>
    <n v="0.65400000000000003"/>
    <n v="0"/>
    <n v="5.5639999999999997E-4"/>
    <n v="0.99944"/>
    <s v="3.600334928231045"/>
    <s v="15.82799222058472"/>
    <s v="42.68190353837124"/>
    <s v="15.339173489918885"/>
    <n v="708193008"/>
    <x v="0"/>
    <n v="3.7955896E-3"/>
    <x v="0"/>
  </r>
  <r>
    <n v="42"/>
    <n v="0"/>
    <n v="4"/>
    <n v="5"/>
    <n v="2"/>
    <n v="4"/>
    <n v="0"/>
    <n v="24"/>
    <n v="2"/>
    <n v="2"/>
    <n v="2"/>
    <n v="3428"/>
    <n v="2209"/>
    <n v="1219"/>
    <n v="0.67100000000000004"/>
    <n v="4751"/>
    <n v="87"/>
    <n v="0.64200000000000002"/>
    <n v="0.64400000000000002"/>
    <n v="1.2274000000000001E-4"/>
    <n v="0.99987999999999999"/>
    <s v="60.07183068178339"/>
    <s v="32.06284259739056"/>
    <s v="87.09997565938824"/>
    <s v="7.274754613585439"/>
    <n v="714742758"/>
    <x v="0"/>
    <n v="3.2914013999999999E-4"/>
    <x v="0"/>
  </r>
  <r>
    <n v="40"/>
    <n v="0"/>
    <n v="3"/>
    <n v="2"/>
    <n v="1"/>
    <n v="4"/>
    <n v="0"/>
    <n v="29"/>
    <n v="6"/>
    <n v="2"/>
    <n v="4"/>
    <n v="1479"/>
    <n v="458"/>
    <n v="1021"/>
    <n v="0.46600000000000003"/>
    <n v="1811"/>
    <n v="44"/>
    <n v="0.51700000000000002"/>
    <n v="0.31"/>
    <n v="0.99705999999999995"/>
    <n v="2.9414100000000002E-3"/>
    <s v="11.864919184589152"/>
    <s v="5.910479126840485"/>
    <s v="33.079678693673266"/>
    <s v="16.651124242730095"/>
    <n v="720206658"/>
    <x v="1"/>
    <n v="0.997776"/>
    <x v="1"/>
  </r>
  <r>
    <n v="44"/>
    <n v="1"/>
    <n v="4"/>
    <n v="3"/>
    <n v="2"/>
    <n v="2"/>
    <n v="0"/>
    <n v="36"/>
    <n v="1"/>
    <n v="1"/>
    <n v="3"/>
    <n v="2946"/>
    <n v="743"/>
    <n v="2203"/>
    <n v="0.82699999999999996"/>
    <n v="8553"/>
    <n v="88"/>
    <n v="0.872"/>
    <n v="0.252"/>
    <s v="9.4447e-05"/>
    <n v="0.99990999999999997"/>
    <s v="18.91851675087913"/>
    <s v="32.719077062929465"/>
    <s v="99.99771559308668"/>
    <s v="13.462634832720353"/>
    <n v="789529158"/>
    <x v="0"/>
    <n v="6.2558514999999995E-4"/>
    <x v="0"/>
  </r>
  <r>
    <n v="49"/>
    <n v="1"/>
    <n v="2"/>
    <n v="6"/>
    <n v="1"/>
    <n v="1"/>
    <n v="0"/>
    <n v="36"/>
    <n v="4"/>
    <n v="3"/>
    <n v="4"/>
    <n v="5137"/>
    <n v="0"/>
    <n v="5137"/>
    <n v="0.61199999999999999"/>
    <n v="2043"/>
    <n v="52"/>
    <n v="1"/>
    <n v="0"/>
    <n v="5.6716000000000004E-4"/>
    <n v="0.99943000000000004"/>
    <s v="3.5870168791658186"/>
    <s v="21.84872243164307"/>
    <s v="26.954670062114797"/>
    <s v="25.21424713930529"/>
    <n v="720942333"/>
    <x v="0"/>
    <n v="2.5360783999999999E-3"/>
    <x v="0"/>
  </r>
  <r>
    <n v="41"/>
    <n v="1"/>
    <n v="4"/>
    <n v="1"/>
    <n v="1"/>
    <n v="3"/>
    <n v="0"/>
    <n v="29"/>
    <n v="3"/>
    <n v="3"/>
    <n v="3"/>
    <n v="33405"/>
    <n v="0"/>
    <n v="33405"/>
    <n v="0.53500000000000003"/>
    <n v="1345"/>
    <n v="34"/>
    <n v="0.61899999999999999"/>
    <n v="0"/>
    <n v="4.5905000000000002E-4"/>
    <n v="0.99953999999999998"/>
    <s v="9.171770897710708"/>
    <s v="83.15824359024013"/>
    <s v="33.031456167399725"/>
    <n v="8.4697697499386404"/>
    <n v="711048783"/>
    <x v="0"/>
    <n v="3.8913388000000001E-3"/>
    <x v="0"/>
  </r>
  <r>
    <n v="61"/>
    <n v="1"/>
    <n v="2"/>
    <n v="3"/>
    <n v="2"/>
    <n v="2"/>
    <n v="0"/>
    <n v="47"/>
    <n v="5"/>
    <n v="2"/>
    <n v="3"/>
    <n v="2175"/>
    <n v="1404"/>
    <n v="771"/>
    <n v="0.63300000000000001"/>
    <n v="3994"/>
    <n v="64"/>
    <n v="0.77800000000000002"/>
    <n v="0.64600000000000002"/>
    <n v="1.861E-4"/>
    <n v="0.99980999999999998"/>
    <s v="16.67704301680587"/>
    <s v="2.9885954101039487"/>
    <s v="36.67008273528072"/>
    <s v="23.308456573371483"/>
    <n v="719381733"/>
    <x v="0"/>
    <n v="3.3750320000000002E-4"/>
    <x v="0"/>
  </r>
  <r>
    <n v="38"/>
    <n v="1"/>
    <n v="2"/>
    <n v="3"/>
    <n v="2"/>
    <n v="2"/>
    <n v="3"/>
    <n v="30"/>
    <n v="4"/>
    <n v="3"/>
    <n v="4"/>
    <n v="26556"/>
    <n v="1583"/>
    <n v="24973"/>
    <n v="0.69399999999999995"/>
    <n v="3168"/>
    <n v="73"/>
    <n v="0.73799999999999999"/>
    <n v="0.06"/>
    <n v="4.5326999999999998E-4"/>
    <n v="0.99955000000000005"/>
    <s v="8.784903564300661"/>
    <s v="9.565116811582294"/>
    <s v="74.58468861506334"/>
    <s v="1.8319525208223328"/>
    <n v="709616958"/>
    <x v="0"/>
    <n v="3.5729867999999997E-4"/>
    <x v="0"/>
  </r>
  <r>
    <n v="56"/>
    <n v="1"/>
    <n v="3"/>
    <n v="3"/>
    <n v="1"/>
    <n v="3"/>
    <n v="0"/>
    <n v="45"/>
    <n v="5"/>
    <n v="2"/>
    <n v="2"/>
    <n v="4531"/>
    <n v="0"/>
    <n v="4531"/>
    <n v="0.49099999999999999"/>
    <n v="1425"/>
    <n v="27"/>
    <n v="1.077"/>
    <n v="0"/>
    <n v="1.1482E-4"/>
    <n v="0.99988999999999995"/>
    <n v="20.949336120388502"/>
    <s v="14.013739403586106"/>
    <s v="0.2782188553664232"/>
    <s v="5.008257005202253"/>
    <n v="789220008"/>
    <x v="0"/>
    <n v="3.081084E-3"/>
    <x v="0"/>
  </r>
  <r>
    <n v="52"/>
    <n v="0"/>
    <n v="3"/>
    <n v="5"/>
    <n v="2"/>
    <n v="4"/>
    <n v="0"/>
    <n v="36"/>
    <n v="2"/>
    <n v="1"/>
    <n v="3"/>
    <n v="3240"/>
    <n v="0"/>
    <n v="3240"/>
    <n v="0.81200000000000006"/>
    <n v="4803"/>
    <n v="83"/>
    <n v="0.80400000000000005"/>
    <n v="0"/>
    <s v="9.8837e-05"/>
    <n v="0.99990000000000001"/>
    <s v="60.19603399932853"/>
    <s v="23.065721779000768"/>
    <s v="119.52305131637078"/>
    <s v="4.245262873929745"/>
    <n v="719845908"/>
    <x v="0"/>
    <n v="6.9517245999999998E-4"/>
    <x v="0"/>
  </r>
  <r>
    <n v="37"/>
    <n v="1"/>
    <n v="2"/>
    <n v="1"/>
    <n v="2"/>
    <n v="0"/>
    <n v="0"/>
    <n v="31"/>
    <n v="2"/>
    <n v="1"/>
    <n v="3"/>
    <n v="2360"/>
    <n v="1204"/>
    <n v="1156"/>
    <n v="0.53900000000000003"/>
    <n v="3696"/>
    <n v="82"/>
    <n v="0.82199999999999995"/>
    <n v="0.51"/>
    <n v="1.3405000000000001E-4"/>
    <n v="0.99987000000000004"/>
    <s v="14.918458133794436"/>
    <s v="66.74697641401619"/>
    <s v="49.72841471390848"/>
    <s v="2.018632181414953"/>
    <n v="792098883"/>
    <x v="0"/>
    <n v="3.2101269999999999E-4"/>
    <x v="0"/>
  </r>
  <r>
    <n v="39"/>
    <n v="0"/>
    <n v="4"/>
    <n v="6"/>
    <n v="2"/>
    <n v="4"/>
    <n v="0"/>
    <n v="29"/>
    <n v="5"/>
    <n v="3"/>
    <n v="0"/>
    <n v="2863"/>
    <n v="1940"/>
    <n v="923"/>
    <n v="0.82299999999999995"/>
    <n v="4985"/>
    <n v="90"/>
    <n v="0.63600000000000001"/>
    <n v="0.67800000000000005"/>
    <s v="7.6492e-05"/>
    <n v="0.99992000000000003"/>
    <s v="24.79841621132043"/>
    <s v="25.022124892666096"/>
    <s v="43.50014257381701"/>
    <s v="4.958346896510841"/>
    <n v="780373233"/>
    <x v="0"/>
    <n v="3.2914013999999999E-4"/>
    <x v="0"/>
  </r>
  <r>
    <n v="42"/>
    <n v="1"/>
    <n v="3"/>
    <n v="6"/>
    <n v="2"/>
    <n v="2"/>
    <n v="0"/>
    <n v="38"/>
    <n v="5"/>
    <n v="1"/>
    <n v="1"/>
    <n v="6318"/>
    <n v="1397"/>
    <n v="4921"/>
    <n v="0.51700000000000002"/>
    <n v="4166"/>
    <n v="86"/>
    <n v="0.755"/>
    <n v="0.221"/>
    <s v="3.7884e-05"/>
    <n v="0.99995999999999996"/>
    <s v="23.48838584763094"/>
    <s v="18.28514681030415"/>
    <s v="21.624617106149216"/>
    <s v="0.6475714332732366"/>
    <n v="824812983"/>
    <x v="0"/>
    <n v="3.2101269999999999E-4"/>
    <x v="0"/>
  </r>
  <r>
    <n v="44"/>
    <n v="0"/>
    <n v="1"/>
    <n v="5"/>
    <n v="1"/>
    <n v="4"/>
    <n v="0"/>
    <n v="36"/>
    <n v="3"/>
    <n v="2"/>
    <n v="4"/>
    <n v="1953"/>
    <n v="1762"/>
    <n v="191"/>
    <n v="0.74299999999999999"/>
    <n v="4590"/>
    <n v="91"/>
    <n v="0.65500000000000003"/>
    <n v="0.90200000000000002"/>
    <n v="3.1516999999999998E-4"/>
    <n v="0.99968000000000001"/>
    <s v="50.723157669347295"/>
    <s v="46.629393009182834"/>
    <s v="90.60829758727004"/>
    <s v="6.003805144082683"/>
    <n v="710912733"/>
    <x v="0"/>
    <n v="3.2101269999999999E-4"/>
    <x v="0"/>
  </r>
  <r>
    <n v="52"/>
    <n v="1"/>
    <n v="2"/>
    <n v="3"/>
    <n v="2"/>
    <n v="2"/>
    <n v="0"/>
    <n v="39"/>
    <n v="3"/>
    <n v="3"/>
    <n v="4"/>
    <n v="14973"/>
    <n v="0"/>
    <n v="14973"/>
    <n v="0.70599999999999996"/>
    <n v="4288"/>
    <n v="72"/>
    <n v="0.6"/>
    <n v="0"/>
    <n v="5.0162999999999998E-4"/>
    <n v="0.99950000000000006"/>
    <s v="19.33127139032304"/>
    <s v="10.299723123386292"/>
    <s v="25.489186718594283"/>
    <s v="6.484271790351605"/>
    <n v="719912808"/>
    <x v="0"/>
    <n v="7.1276520000000004E-4"/>
    <x v="0"/>
  </r>
  <r>
    <n v="53"/>
    <n v="0"/>
    <n v="1"/>
    <n v="3"/>
    <n v="1"/>
    <n v="4"/>
    <n v="0"/>
    <n v="41"/>
    <n v="1"/>
    <n v="2"/>
    <n v="3"/>
    <n v="3472"/>
    <n v="2517"/>
    <n v="955"/>
    <n v="0.75"/>
    <n v="4520"/>
    <n v="84"/>
    <n v="0.68"/>
    <n v="0.72499999999999998"/>
    <n v="1.7468E-4"/>
    <n v="0.99983"/>
    <n v="2.6968243117752801"/>
    <s v="49.23527250309081"/>
    <s v="27.767160760652104"/>
    <s v="7.314227184893336"/>
    <n v="717284133"/>
    <x v="0"/>
    <n v="3.4692350000000002E-4"/>
    <x v="0"/>
  </r>
  <r>
    <n v="53"/>
    <n v="0"/>
    <n v="3"/>
    <n v="2"/>
    <n v="1"/>
    <n v="4"/>
    <n v="0"/>
    <n v="42"/>
    <n v="3"/>
    <n v="1"/>
    <n v="1"/>
    <n v="2404"/>
    <n v="1109"/>
    <n v="1295"/>
    <n v="0.63900000000000001"/>
    <n v="4519"/>
    <n v="72"/>
    <n v="0.63600000000000001"/>
    <n v="0.46100000000000002"/>
    <s v="3.4465e-05"/>
    <n v="0.99997000000000003"/>
    <s v="6.617735674115803"/>
    <n v="8.9528736450823292"/>
    <s v="76.39812343168201"/>
    <s v="4.894495840668327"/>
    <n v="718641483"/>
    <x v="0"/>
    <n v="3.2914013999999999E-4"/>
    <x v="0"/>
  </r>
  <r>
    <n v="50"/>
    <n v="0"/>
    <n v="1"/>
    <n v="3"/>
    <n v="2"/>
    <n v="4"/>
    <n v="0"/>
    <n v="36"/>
    <n v="6"/>
    <n v="3"/>
    <n v="3"/>
    <n v="1560"/>
    <n v="995"/>
    <n v="565"/>
    <n v="0.61499999999999999"/>
    <n v="1936"/>
    <n v="58"/>
    <n v="0.65700000000000003"/>
    <n v="0.63800000000000001"/>
    <n v="2.7604000000000002E-4"/>
    <n v="0.99972000000000005"/>
    <s v="23.65663224708639"/>
    <s v="13.333488625889936"/>
    <s v="7.103839274419461"/>
    <s v="27.51462327225841"/>
    <n v="716617608"/>
    <x v="0"/>
    <n v="4.574526E-4"/>
    <x v="0"/>
  </r>
  <r>
    <n v="34"/>
    <n v="0"/>
    <n v="1"/>
    <n v="4"/>
    <n v="2"/>
    <n v="4"/>
    <n v="0"/>
    <n v="26"/>
    <n v="3"/>
    <n v="2"/>
    <n v="5"/>
    <n v="2066"/>
    <n v="347"/>
    <n v="1719"/>
    <n v="0.51100000000000001"/>
    <n v="2157"/>
    <n v="37"/>
    <n v="0.32100000000000001"/>
    <n v="0.16800000000000001"/>
    <n v="0.99839999999999995"/>
    <n v="1.59907E-3"/>
    <n v="60.187928281070299"/>
    <s v="52.78711620346223"/>
    <s v="24.11288970833327"/>
    <s v="0.9360215254419826"/>
    <n v="711151383"/>
    <x v="1"/>
    <n v="0.99770963000000001"/>
    <x v="1"/>
  </r>
  <r>
    <n v="50"/>
    <n v="0"/>
    <n v="3"/>
    <n v="1"/>
    <n v="1"/>
    <n v="4"/>
    <n v="0"/>
    <n v="41"/>
    <n v="3"/>
    <n v="3"/>
    <n v="2"/>
    <n v="2372"/>
    <n v="1148"/>
    <n v="1224"/>
    <n v="0.872"/>
    <n v="4418"/>
    <n v="80"/>
    <n v="0.81799999999999995"/>
    <n v="0.48399999999999999"/>
    <n v="2.7008000000000002E-4"/>
    <n v="0.99973000000000001"/>
    <s v="42.57369691448861"/>
    <s v="1.9181048491700052"/>
    <s v="83.31124069443521"/>
    <s v="29.49795355997397"/>
    <n v="721321383"/>
    <x v="0"/>
    <n v="3.2101269999999999E-4"/>
    <x v="0"/>
  </r>
  <r>
    <n v="48"/>
    <n v="0"/>
    <n v="1"/>
    <n v="6"/>
    <n v="2"/>
    <n v="4"/>
    <n v="0"/>
    <n v="40"/>
    <n v="3"/>
    <n v="1"/>
    <n v="2"/>
    <n v="3251"/>
    <n v="2517"/>
    <n v="734"/>
    <n v="0.73899999999999999"/>
    <n v="2483"/>
    <n v="50"/>
    <n v="0.47099999999999997"/>
    <n v="0.77400000000000002"/>
    <n v="0.98270999999999997"/>
    <n v="1.729E-2"/>
    <s v="27.55279632878904"/>
    <n v="9.0583926660522192"/>
    <s v="52.52893842427341"/>
    <s v="0.8954328263428765"/>
    <n v="720824883"/>
    <x v="1"/>
    <n v="0.99511044999999998"/>
    <x v="1"/>
  </r>
  <r>
    <n v="44"/>
    <n v="0"/>
    <n v="2"/>
    <n v="2"/>
    <n v="2"/>
    <n v="4"/>
    <n v="0"/>
    <n v="39"/>
    <n v="6"/>
    <n v="3"/>
    <n v="3"/>
    <n v="1791"/>
    <n v="0"/>
    <n v="1791"/>
    <n v="0.73499999999999999"/>
    <n v="2771"/>
    <n v="36"/>
    <n v="0.5"/>
    <n v="0"/>
    <n v="0.99670999999999998"/>
    <n v="3.29379E-3"/>
    <n v="9.2620475796589297"/>
    <s v="45.71645074788321"/>
    <n v="68.332615947899995"/>
    <s v="5.209386187320492"/>
    <n v="807946833"/>
    <x v="1"/>
    <n v="0.99869054999999995"/>
    <x v="1"/>
  </r>
  <r>
    <n v="49"/>
    <n v="0"/>
    <n v="3"/>
    <n v="0"/>
    <n v="1"/>
    <n v="4"/>
    <n v="0"/>
    <n v="29"/>
    <n v="3"/>
    <n v="3"/>
    <n v="3"/>
    <n v="2017"/>
    <n v="1557"/>
    <n v="460"/>
    <n v="0.73799999999999999"/>
    <n v="3875"/>
    <n v="75"/>
    <n v="0.97399999999999998"/>
    <n v="0.77200000000000002"/>
    <n v="3.0519E-4"/>
    <n v="0.99968999999999997"/>
    <s v="33.095390900128066"/>
    <s v="10.261431359487483"/>
    <s v="31.599700267296125"/>
    <s v="14.175707559376002"/>
    <n v="716695533"/>
    <x v="0"/>
    <n v="3.2101269999999999E-4"/>
    <x v="0"/>
  </r>
  <r>
    <n v="49"/>
    <n v="1"/>
    <n v="2"/>
    <n v="5"/>
    <n v="1"/>
    <n v="2"/>
    <n v="0"/>
    <n v="35"/>
    <n v="3"/>
    <n v="3"/>
    <n v="3"/>
    <n v="13435"/>
    <n v="0"/>
    <n v="13435"/>
    <n v="0.747"/>
    <n v="3575"/>
    <n v="56"/>
    <n v="1.1539999999999999"/>
    <n v="0"/>
    <n v="3.1104E-4"/>
    <n v="0.99968999999999997"/>
    <s v="30.253752589821477"/>
    <s v="16.212533537954627"/>
    <s v="40.73473929207157"/>
    <s v="2.110508567113018"/>
    <n v="789643383"/>
    <x v="0"/>
    <n v="1.1905113999999999E-3"/>
    <x v="0"/>
  </r>
  <r>
    <n v="34"/>
    <n v="0"/>
    <n v="3"/>
    <n v="6"/>
    <n v="1"/>
    <n v="1"/>
    <n v="0"/>
    <n v="29"/>
    <n v="3"/>
    <n v="2"/>
    <n v="4"/>
    <n v="1569"/>
    <n v="909"/>
    <n v="660"/>
    <n v="1.288"/>
    <n v="2169"/>
    <n v="48"/>
    <n v="1.1819999999999999"/>
    <n v="0.57899999999999996"/>
    <n v="3.7246000000000002E-4"/>
    <n v="0.99963000000000002"/>
    <s v="11.949515676471064"/>
    <s v="45.47853758685418"/>
    <s v="32.709305347171025"/>
    <s v="23.908264444393403"/>
    <n v="819117183"/>
    <x v="0"/>
    <n v="1.4349184E-3"/>
    <x v="0"/>
  </r>
  <r>
    <n v="51"/>
    <n v="1"/>
    <n v="3"/>
    <n v="1"/>
    <n v="2"/>
    <n v="3"/>
    <n v="0"/>
    <n v="38"/>
    <n v="2"/>
    <n v="3"/>
    <n v="2"/>
    <n v="31346"/>
    <n v="1318"/>
    <n v="30028"/>
    <n v="0.86199999999999999"/>
    <n v="13303"/>
    <n v="92"/>
    <n v="0.80400000000000005"/>
    <n v="4.2000000000000003E-2"/>
    <n v="2.7008000000000002E-4"/>
    <n v="0.99973000000000001"/>
    <s v="6.191049566172687"/>
    <s v="101.6899842774902"/>
    <s v="180.65532419362248"/>
    <s v="11.434502330243332"/>
    <n v="717565233"/>
    <x v="0"/>
    <n v="3.8573547000000003E-4"/>
    <x v="0"/>
  </r>
  <r>
    <n v="62"/>
    <n v="1"/>
    <n v="1"/>
    <n v="5"/>
    <n v="1"/>
    <n v="2"/>
    <n v="0"/>
    <n v="36"/>
    <n v="6"/>
    <n v="3"/>
    <n v="3"/>
    <n v="9521"/>
    <n v="1669"/>
    <n v="7852"/>
    <n v="1.3080000000000001"/>
    <n v="2444"/>
    <n v="63"/>
    <n v="0.4"/>
    <n v="0.17499999999999999"/>
    <n v="2.9196000000000002E-4"/>
    <n v="0.99970999999999999"/>
    <s v="33.32426636486259"/>
    <s v="16.16518953127573"/>
    <s v="36.776813457201904"/>
    <s v="0.9489078350024662"/>
    <n v="713854608"/>
    <x v="0"/>
    <n v="4.3850680000000002E-4"/>
    <x v="0"/>
  </r>
  <r>
    <n v="41"/>
    <n v="0"/>
    <n v="3"/>
    <n v="6"/>
    <n v="3"/>
    <n v="1"/>
    <n v="0"/>
    <n v="36"/>
    <n v="2"/>
    <n v="6"/>
    <n v="2"/>
    <n v="4451"/>
    <n v="0"/>
    <n v="4451"/>
    <n v="0.72599999999999998"/>
    <n v="4456"/>
    <n v="75"/>
    <n v="0.97399999999999998"/>
    <n v="0"/>
    <n v="1.6195000000000001E-4"/>
    <n v="0.99983999999999995"/>
    <s v="12.972601129403376"/>
    <s v="30.37117321570717"/>
    <n v="34.372937558809703"/>
    <s v="6.426150745199462"/>
    <n v="715072533"/>
    <x v="0"/>
    <n v="6.9517245999999998E-4"/>
    <x v="0"/>
  </r>
  <r>
    <n v="38"/>
    <n v="1"/>
    <n v="2"/>
    <n v="4"/>
    <n v="2"/>
    <n v="3"/>
    <n v="0"/>
    <n v="22"/>
    <n v="4"/>
    <n v="1"/>
    <n v="2"/>
    <n v="15410"/>
    <n v="0"/>
    <n v="15410"/>
    <n v="0.63800000000000001"/>
    <n v="3368"/>
    <n v="69"/>
    <n v="0.53300000000000003"/>
    <n v="0"/>
    <s v="6.4807e-05"/>
    <n v="0.99994000000000005"/>
    <s v="24.697935238999627"/>
    <s v="40.979745683648986"/>
    <s v="36.447061215838126"/>
    <s v="3.983643778589933"/>
    <n v="779856483"/>
    <x v="0"/>
    <n v="7.9661230000000003E-4"/>
    <x v="0"/>
  </r>
  <r>
    <n v="30"/>
    <n v="0"/>
    <n v="0"/>
    <n v="2"/>
    <n v="1"/>
    <n v="4"/>
    <n v="0"/>
    <n v="36"/>
    <n v="2"/>
    <n v="2"/>
    <n v="2"/>
    <n v="1621"/>
    <n v="1046"/>
    <n v="575"/>
    <n v="0.72899999999999998"/>
    <n v="5247"/>
    <n v="84"/>
    <n v="0.61499999999999999"/>
    <n v="0.64500000000000002"/>
    <s v="9.7673e-05"/>
    <n v="0.99990000000000001"/>
    <s v="13.44013735648204"/>
    <s v="125.4594577954202"/>
    <s v="49.57121779207738"/>
    <s v="11.459196260706198"/>
    <n v="716558283"/>
    <x v="0"/>
    <n v="3.2914013999999999E-4"/>
    <x v="0"/>
  </r>
  <r>
    <n v="50"/>
    <n v="0"/>
    <n v="4"/>
    <n v="2"/>
    <n v="2"/>
    <n v="4"/>
    <n v="0"/>
    <n v="44"/>
    <n v="2"/>
    <n v="3"/>
    <n v="2"/>
    <n v="3201"/>
    <n v="2517"/>
    <n v="684"/>
    <n v="0.44500000000000001"/>
    <n v="1880"/>
    <n v="42"/>
    <n v="0.35499999999999998"/>
    <n v="0.78600000000000003"/>
    <n v="0.99473"/>
    <n v="5.2700000000000004E-3"/>
    <s v="31.184778921749025"/>
    <n v="30.560511932964001"/>
    <s v="29.92791141424552"/>
    <s v="16.715533487652955"/>
    <n v="798041508"/>
    <x v="1"/>
    <n v="0.99607794999999999"/>
    <x v="1"/>
  </r>
  <r>
    <n v="45"/>
    <n v="1"/>
    <n v="4"/>
    <n v="3"/>
    <n v="2"/>
    <n v="0"/>
    <n v="0"/>
    <n v="37"/>
    <n v="4"/>
    <n v="3"/>
    <n v="3"/>
    <n v="2701"/>
    <n v="1986"/>
    <n v="715"/>
    <n v="0.53800000000000003"/>
    <n v="4767"/>
    <n v="76"/>
    <n v="0.85399999999999998"/>
    <n v="0.73499999999999999"/>
    <n v="3.0842E-4"/>
    <n v="0.99968999999999997"/>
    <s v="0.3131779480556863"/>
    <s v="58.10853752805534"/>
    <s v="109.24684500288856"/>
    <s v="16.61640108837672"/>
    <n v="713873658"/>
    <x v="0"/>
    <n v="3.2101269999999999E-4"/>
    <x v="0"/>
  </r>
  <r>
    <n v="47"/>
    <n v="0"/>
    <n v="3"/>
    <n v="0"/>
    <n v="1"/>
    <n v="4"/>
    <n v="0"/>
    <n v="36"/>
    <n v="5"/>
    <n v="4"/>
    <n v="2"/>
    <n v="3300"/>
    <n v="2517"/>
    <n v="783"/>
    <n v="0.94"/>
    <n v="3784"/>
    <n v="55"/>
    <n v="1.115"/>
    <n v="0.76300000000000001"/>
    <n v="2.1929999999999999E-4"/>
    <n v="0.99978"/>
    <s v="12.64927786542601"/>
    <s v="24.48925220674384"/>
    <s v="1.7771903048414657"/>
    <s v="7.224500750522218"/>
    <n v="780653208"/>
    <x v="0"/>
    <n v="4.9903199999999995E-4"/>
    <x v="0"/>
  </r>
  <r>
    <n v="42"/>
    <n v="0"/>
    <n v="3"/>
    <n v="2"/>
    <n v="3"/>
    <n v="4"/>
    <n v="0"/>
    <n v="32"/>
    <n v="3"/>
    <n v="1"/>
    <n v="2"/>
    <n v="7169"/>
    <n v="902"/>
    <n v="6267"/>
    <n v="0.83399999999999996"/>
    <n v="1438"/>
    <n v="35"/>
    <n v="0.59099999999999997"/>
    <n v="0.126"/>
    <s v="5.7151e-05"/>
    <n v="0.99994000000000005"/>
    <s v="58.26690328278049"/>
    <s v="98.12164734733504"/>
    <s v="53.663258561913096"/>
    <s v="6.041415472851734"/>
    <n v="716038533"/>
    <x v="0"/>
    <n v="1.4376246E-3"/>
    <x v="0"/>
  </r>
  <r>
    <n v="49"/>
    <n v="1"/>
    <n v="2"/>
    <n v="5"/>
    <n v="1"/>
    <n v="2"/>
    <n v="0"/>
    <n v="44"/>
    <n v="6"/>
    <n v="1"/>
    <n v="3"/>
    <n v="5013"/>
    <n v="0"/>
    <n v="5013"/>
    <n v="0.82199999999999995"/>
    <n v="5223"/>
    <n v="84"/>
    <n v="0.90900000000000003"/>
    <n v="0"/>
    <s v="9.5249e-05"/>
    <n v="0.99990000000000001"/>
    <s v="6.118067835956365"/>
    <s v="77.68146001512659"/>
    <s v="30.346934476196477"/>
    <s v="28.61435287649435"/>
    <n v="809954133"/>
    <x v="0"/>
    <n v="6.9517245999999998E-4"/>
    <x v="0"/>
  </r>
  <r>
    <n v="52"/>
    <n v="1"/>
    <n v="1"/>
    <n v="6"/>
    <n v="1"/>
    <n v="1"/>
    <n v="0"/>
    <n v="36"/>
    <n v="4"/>
    <n v="3"/>
    <n v="3"/>
    <n v="8455"/>
    <n v="2517"/>
    <n v="5938"/>
    <n v="0.80900000000000005"/>
    <n v="8124"/>
    <n v="73"/>
    <n v="1.028"/>
    <n v="0.29799999999999999"/>
    <n v="0.99680999999999997"/>
    <n v="3.1927800000000001E-3"/>
    <s v="5.273390716692232"/>
    <s v="20.654431486755957"/>
    <s v="66.46137809211926"/>
    <s v="21.020467722404916"/>
    <n v="719847108"/>
    <x v="1"/>
    <n v="0.98944926"/>
    <x v="1"/>
  </r>
  <r>
    <n v="50"/>
    <n v="0"/>
    <n v="3"/>
    <n v="0"/>
    <n v="2"/>
    <n v="4"/>
    <n v="0"/>
    <n v="32"/>
    <n v="5"/>
    <n v="3"/>
    <n v="4"/>
    <n v="4419"/>
    <n v="1218"/>
    <n v="3201"/>
    <n v="0.879"/>
    <n v="4535"/>
    <n v="75"/>
    <n v="0.56200000000000006"/>
    <n v="0.27600000000000002"/>
    <n v="5.2057000000000004E-4"/>
    <n v="0.99948000000000004"/>
    <s v="5.760113175824603"/>
    <s v="9.844437668709872"/>
    <s v="7.099180123644015"/>
    <s v="12.794482706974154"/>
    <n v="794551383"/>
    <x v="0"/>
    <n v="3.2914013999999999E-4"/>
    <x v="0"/>
  </r>
  <r>
    <n v="36"/>
    <n v="0"/>
    <n v="4"/>
    <n v="3"/>
    <n v="2"/>
    <n v="4"/>
    <n v="0"/>
    <n v="28"/>
    <n v="5"/>
    <n v="1"/>
    <n v="2"/>
    <n v="2226"/>
    <n v="1607"/>
    <n v="619"/>
    <n v="0.65600000000000003"/>
    <n v="2660"/>
    <n v="62"/>
    <n v="1"/>
    <n v="0.72199999999999998"/>
    <s v="5.6153e-05"/>
    <n v="0.99994000000000005"/>
    <s v="1.1615456210923956"/>
    <n v="65.696126053079993"/>
    <s v="1.1308130861466912"/>
    <n v="6.2256253365902499"/>
    <n v="719291283"/>
    <x v="0"/>
    <n v="4.1394285000000001E-4"/>
    <x v="0"/>
  </r>
  <r>
    <n v="40"/>
    <n v="1"/>
    <n v="4"/>
    <n v="5"/>
    <n v="2"/>
    <n v="3"/>
    <n v="0"/>
    <n v="36"/>
    <n v="4"/>
    <n v="3"/>
    <n v="2"/>
    <n v="32431"/>
    <n v="850"/>
    <n v="31581"/>
    <n v="0.92600000000000005"/>
    <n v="4400"/>
    <n v="71"/>
    <n v="1.0880000000000001"/>
    <n v="2.5999999999999999E-2"/>
    <n v="1.9395999999999999E-4"/>
    <n v="0.99980999999999998"/>
    <s v="33.53405703235779"/>
    <s v="14.867490739375723"/>
    <s v="6.431471831663138"/>
    <s v="17.18078859367963"/>
    <n v="721039308"/>
    <x v="0"/>
    <n v="5.7301119999999997E-4"/>
    <x v="0"/>
  </r>
  <r>
    <n v="56"/>
    <n v="1"/>
    <n v="4"/>
    <n v="2"/>
    <n v="2"/>
    <n v="3"/>
    <n v="0"/>
    <n v="46"/>
    <n v="2"/>
    <n v="3"/>
    <n v="1"/>
    <n v="25736"/>
    <n v="1388"/>
    <n v="24348"/>
    <n v="0.74299999999999999"/>
    <n v="7209"/>
    <n v="91"/>
    <n v="0.59599999999999997"/>
    <n v="5.3999999999999999E-2"/>
    <n v="1.1377E-4"/>
    <n v="0.99988999999999995"/>
    <s v="26.97978021460942"/>
    <s v="53.28124709850979"/>
    <s v="37.70376375958849"/>
    <s v="1.5343142144246105"/>
    <n v="718977483"/>
    <x v="0"/>
    <n v="4.2060707000000003E-4"/>
    <x v="0"/>
  </r>
  <r>
    <n v="57"/>
    <n v="1"/>
    <n v="1"/>
    <n v="3"/>
    <n v="2"/>
    <n v="0"/>
    <n v="0"/>
    <n v="47"/>
    <n v="4"/>
    <n v="4"/>
    <n v="2"/>
    <n v="9272"/>
    <n v="982"/>
    <n v="8290"/>
    <n v="0.65100000000000002"/>
    <n v="4649"/>
    <n v="89"/>
    <n v="0.81599999999999995"/>
    <n v="0.106"/>
    <n v="1.9835E-4"/>
    <n v="0.99980000000000002"/>
    <s v="42.87364235128795"/>
    <s v="12.418088460938415"/>
    <s v="38.49375625197901"/>
    <s v="6.508782684959797"/>
    <n v="715880283"/>
    <x v="0"/>
    <n v="3.8272605000000003E-4"/>
    <x v="0"/>
  </r>
  <r>
    <n v="50"/>
    <n v="0"/>
    <n v="1"/>
    <n v="3"/>
    <n v="1"/>
    <n v="4"/>
    <n v="0"/>
    <n v="42"/>
    <n v="6"/>
    <n v="1"/>
    <n v="2"/>
    <n v="7115"/>
    <n v="2000"/>
    <n v="5115"/>
    <n v="0.76900000000000002"/>
    <n v="3584"/>
    <n v="57"/>
    <n v="0.96599999999999997"/>
    <n v="0.28100000000000003"/>
    <s v="5.0256e-05"/>
    <n v="0.99995000000000001"/>
    <s v="54.42570373368034"/>
    <s v="18.993447282305805"/>
    <s v="36.69225732982166"/>
    <n v="9.1972348607880807"/>
    <n v="799707858"/>
    <x v="0"/>
    <n v="4.2673005000000002E-4"/>
    <x v="0"/>
  </r>
  <r>
    <n v="57"/>
    <n v="0"/>
    <n v="1"/>
    <n v="0"/>
    <n v="2"/>
    <n v="5"/>
    <n v="0"/>
    <n v="46"/>
    <n v="6"/>
    <n v="1"/>
    <n v="1"/>
    <n v="4283"/>
    <n v="488"/>
    <n v="3795"/>
    <n v="0.86499999999999999"/>
    <n v="4689"/>
    <n v="65"/>
    <n v="0.47699999999999998"/>
    <n v="0.114"/>
    <s v="3.031e-05"/>
    <n v="0.99997000000000003"/>
    <s v="16.490685768784505"/>
    <s v="11.85328862488113"/>
    <s v="32.32815608822414"/>
    <s v="13.447709215775252"/>
    <n v="717903108"/>
    <x v="0"/>
    <n v="7.6729969999999995E-4"/>
    <x v="0"/>
  </r>
  <r>
    <n v="42"/>
    <n v="0"/>
    <n v="1"/>
    <n v="3"/>
    <n v="1"/>
    <n v="1"/>
    <n v="0"/>
    <n v="36"/>
    <n v="5"/>
    <n v="3"/>
    <n v="2"/>
    <n v="2705"/>
    <n v="2430"/>
    <n v="275"/>
    <n v="0.69799999999999995"/>
    <n v="2602"/>
    <n v="43"/>
    <n v="0.433"/>
    <n v="0.89800000000000002"/>
    <n v="0.99395"/>
    <n v="6.0499999999999998E-3"/>
    <s v="24.88852932593877"/>
    <s v="72.55708943942294"/>
    <s v="12.940313741163438"/>
    <s v="14.288302848856318"/>
    <n v="715516458"/>
    <x v="1"/>
    <n v="0.99584656999999999"/>
    <x v="1"/>
  </r>
  <r>
    <n v="53"/>
    <n v="0"/>
    <n v="2"/>
    <n v="2"/>
    <n v="2"/>
    <n v="4"/>
    <n v="0"/>
    <n v="36"/>
    <n v="5"/>
    <n v="1"/>
    <n v="4"/>
    <n v="2708"/>
    <n v="2271"/>
    <n v="437"/>
    <n v="0.61"/>
    <n v="4812"/>
    <n v="83"/>
    <n v="0.76600000000000001"/>
    <n v="0.83899999999999997"/>
    <n v="1.5804E-4"/>
    <n v="0.99983999999999995"/>
    <s v="1.7590410743652136"/>
    <s v="13.067405174414445"/>
    <s v="119.00287074209233"/>
    <s v="21.29215874841232"/>
    <n v="713032233"/>
    <x v="0"/>
    <n v="3.2101269999999999E-4"/>
    <x v="0"/>
  </r>
  <r>
    <n v="48"/>
    <n v="1"/>
    <n v="1"/>
    <n v="4"/>
    <n v="2"/>
    <n v="3"/>
    <n v="0"/>
    <n v="38"/>
    <n v="4"/>
    <n v="2"/>
    <n v="2"/>
    <n v="13174"/>
    <n v="0"/>
    <n v="13174"/>
    <n v="0.95499999999999996"/>
    <n v="4890"/>
    <n v="49"/>
    <n v="0.48499999999999999"/>
    <n v="0"/>
    <n v="0.99211000000000005"/>
    <n v="7.8899999999999994E-3"/>
    <s v="4.182558526230862"/>
    <s v="41.92586521551327"/>
    <s v="63.58611630834214"/>
    <s v="2.336839197934855"/>
    <n v="714938733"/>
    <x v="1"/>
    <n v="0.99816066000000003"/>
    <x v="1"/>
  </r>
  <r>
    <n v="44"/>
    <n v="1"/>
    <n v="5"/>
    <n v="6"/>
    <n v="1"/>
    <n v="2"/>
    <n v="3"/>
    <n v="38"/>
    <n v="3"/>
    <n v="2"/>
    <n v="2"/>
    <n v="33521"/>
    <n v="928"/>
    <n v="32593"/>
    <n v="0.73199999999999998"/>
    <n v="4115"/>
    <n v="66"/>
    <n v="0.53500000000000003"/>
    <n v="2.8000000000000001E-2"/>
    <n v="1.1671E-4"/>
    <n v="0.99987999999999999"/>
    <s v="77.97448121199024"/>
    <s v="71.91741579240804"/>
    <s v="35.12662141750635"/>
    <s v="22.678187757862005"/>
    <n v="770268933"/>
    <x v="0"/>
    <n v="4.5103451999999999E-4"/>
    <x v="0"/>
  </r>
  <r>
    <n v="38"/>
    <n v="0"/>
    <n v="3"/>
    <n v="3"/>
    <n v="1"/>
    <n v="4"/>
    <n v="0"/>
    <n v="31"/>
    <n v="4"/>
    <n v="3"/>
    <n v="2"/>
    <n v="1854"/>
    <n v="0"/>
    <n v="1854"/>
    <n v="0.88500000000000001"/>
    <n v="5245"/>
    <n v="89"/>
    <n v="0.71199999999999997"/>
    <n v="0"/>
    <n v="1.8144999999999999E-4"/>
    <n v="0.99982000000000004"/>
    <s v="21.875982339935568"/>
    <s v="15.318423192987632"/>
    <s v="14.88532301942038"/>
    <s v="2.9536561449364496"/>
    <n v="720087708"/>
    <x v="0"/>
    <n v="7.1297199999999998E-4"/>
    <x v="0"/>
  </r>
  <r>
    <n v="56"/>
    <n v="0"/>
    <n v="1"/>
    <n v="3"/>
    <n v="2"/>
    <n v="4"/>
    <n v="0"/>
    <n v="48"/>
    <n v="1"/>
    <n v="5"/>
    <n v="2"/>
    <n v="3556"/>
    <n v="0"/>
    <n v="3556"/>
    <n v="0.59599999999999997"/>
    <n v="2220"/>
    <n v="45"/>
    <n v="0.73099999999999998"/>
    <n v="0"/>
    <n v="0.99458000000000002"/>
    <n v="5.4200000000000003E-3"/>
    <s v="43.90726212394608"/>
    <s v="38.68210311164037"/>
    <s v="16.897293902332517"/>
    <s v="12.863245279992778"/>
    <n v="708885558"/>
    <x v="1"/>
    <n v="0.9985098"/>
    <x v="1"/>
  </r>
  <r>
    <n v="41"/>
    <n v="0"/>
    <n v="4"/>
    <n v="3"/>
    <n v="2"/>
    <n v="4"/>
    <n v="0"/>
    <n v="23"/>
    <n v="3"/>
    <n v="2"/>
    <n v="2"/>
    <n v="2787"/>
    <n v="2053"/>
    <n v="734"/>
    <n v="0.76"/>
    <n v="4949"/>
    <n v="76"/>
    <n v="0.55100000000000005"/>
    <n v="0.73699999999999999"/>
    <n v="1.1603999999999999E-4"/>
    <n v="0.99987999999999999"/>
    <s v="14.519265095968112"/>
    <n v="66.944001930585202"/>
    <s v="91.07637880229504"/>
    <s v="11.908646568937346"/>
    <n v="779305008"/>
    <x v="0"/>
    <n v="3.2914013999999999E-4"/>
    <x v="0"/>
  </r>
  <r>
    <n v="56"/>
    <n v="1"/>
    <n v="1"/>
    <n v="3"/>
    <n v="2"/>
    <n v="3"/>
    <n v="0"/>
    <n v="45"/>
    <n v="4"/>
    <n v="1"/>
    <n v="3"/>
    <n v="5070"/>
    <n v="0"/>
    <n v="5070"/>
    <n v="1.01"/>
    <n v="3651"/>
    <n v="76"/>
    <n v="0.65200000000000002"/>
    <n v="0"/>
    <s v="8.453e-05"/>
    <n v="0.99992000000000003"/>
    <s v="45.263879106588895"/>
    <s v="24.096940162517186"/>
    <s v="3.9201922982751514"/>
    <s v="25.22891206250108"/>
    <n v="716593533"/>
    <x v="0"/>
    <n v="7.4699510000000001E-4"/>
    <x v="0"/>
  </r>
  <r>
    <n v="47"/>
    <n v="1"/>
    <n v="1"/>
    <n v="1"/>
    <n v="0"/>
    <n v="2"/>
    <n v="0"/>
    <n v="42"/>
    <n v="5"/>
    <n v="2"/>
    <n v="0"/>
    <n v="20979"/>
    <n v="1800"/>
    <n v="19179"/>
    <n v="0.90600000000000003"/>
    <n v="1178"/>
    <n v="27"/>
    <n v="0.92900000000000005"/>
    <n v="8.5999999999999993E-2"/>
    <s v="5.703e-05"/>
    <n v="0.99994000000000005"/>
    <s v="33.011845086359855"/>
    <s v="41.86883702896706"/>
    <s v="144.86152881911283"/>
    <s v="4.276873562317515"/>
    <n v="806165208"/>
    <x v="0"/>
    <n v="1.0153692E-3"/>
    <x v="0"/>
  </r>
  <r>
    <n v="48"/>
    <n v="1"/>
    <n v="3"/>
    <n v="6"/>
    <n v="3"/>
    <n v="3"/>
    <n v="2"/>
    <n v="40"/>
    <n v="1"/>
    <n v="2"/>
    <n v="3"/>
    <n v="34516"/>
    <n v="1723"/>
    <n v="32793"/>
    <n v="0.628"/>
    <n v="13853"/>
    <n v="98"/>
    <n v="0.78200000000000003"/>
    <n v="0.05"/>
    <n v="3.7927000000000002E-4"/>
    <n v="0.99961999999999995"/>
    <s v="9.064822270104171"/>
    <s v="28.930833243169246"/>
    <s v="10.12109859490136"/>
    <s v="23.620257620904955"/>
    <n v="710362233"/>
    <x v="0"/>
    <n v="3.8573547000000003E-4"/>
    <x v="0"/>
  </r>
  <r>
    <n v="42"/>
    <n v="1"/>
    <n v="5"/>
    <n v="3"/>
    <n v="1"/>
    <n v="2"/>
    <n v="0"/>
    <n v="36"/>
    <n v="1"/>
    <n v="2"/>
    <n v="3"/>
    <n v="1866"/>
    <n v="0"/>
    <n v="1866"/>
    <n v="0.79800000000000004"/>
    <n v="2833"/>
    <n v="42"/>
    <n v="0.35499999999999998"/>
    <n v="0"/>
    <n v="0.99482000000000004"/>
    <n v="5.1799999999999997E-3"/>
    <s v="59.74614400954535"/>
    <s v="10.73356444425175"/>
    <s v="12.38264800441117"/>
    <n v="8.0205434396955102"/>
    <n v="715306983"/>
    <x v="1"/>
    <n v="0.99872713999999996"/>
    <x v="1"/>
  </r>
  <r>
    <n v="57"/>
    <n v="1"/>
    <n v="2"/>
    <n v="3"/>
    <n v="2"/>
    <n v="2"/>
    <n v="3"/>
    <n v="45"/>
    <n v="5"/>
    <n v="2"/>
    <n v="3"/>
    <n v="33211"/>
    <n v="0"/>
    <n v="33211"/>
    <n v="0.73199999999999998"/>
    <n v="3662"/>
    <n v="81"/>
    <n v="0.76100000000000001"/>
    <n v="0"/>
    <n v="1.6814999999999999E-4"/>
    <n v="0.99983"/>
    <s v="16.189348953441783"/>
    <s v="30.70458395040668"/>
    <s v="54.87408253560504"/>
    <s v="1.1813152337735613"/>
    <n v="789089958"/>
    <x v="0"/>
    <n v="6.9517245999999998E-4"/>
    <x v="0"/>
  </r>
  <r>
    <n v="37"/>
    <n v="0"/>
    <n v="1"/>
    <n v="3"/>
    <n v="3"/>
    <n v="4"/>
    <n v="0"/>
    <n v="30"/>
    <n v="3"/>
    <n v="5"/>
    <n v="0"/>
    <n v="3003"/>
    <n v="1810"/>
    <n v="1193"/>
    <n v="0.71899999999999997"/>
    <n v="3148"/>
    <n v="68"/>
    <n v="0.78900000000000003"/>
    <n v="0.60299999999999998"/>
    <s v="6.7626e-05"/>
    <n v="0.99992999999999999"/>
    <s v="12.703000038190758"/>
    <s v="91.75406512288932"/>
    <s v="96.58550402427112"/>
    <s v="14.193452155761529"/>
    <n v="714920208"/>
    <x v="0"/>
    <n v="3.2101269999999999E-4"/>
    <x v="0"/>
  </r>
  <r>
    <n v="41"/>
    <n v="0"/>
    <n v="3"/>
    <n v="6"/>
    <n v="1"/>
    <n v="5"/>
    <n v="3"/>
    <n v="34"/>
    <n v="5"/>
    <n v="3"/>
    <n v="3"/>
    <n v="34516"/>
    <n v="2053"/>
    <n v="32463"/>
    <n v="1.034"/>
    <n v="1487"/>
    <n v="26"/>
    <n v="0.73299999999999998"/>
    <n v="5.8999999999999997E-2"/>
    <n v="3.1177000000000001E-4"/>
    <n v="0.99968999999999997"/>
    <s v="74.37342602037997"/>
    <s v="48.16104609615783"/>
    <s v="122.78122930730292"/>
    <s v="9.951072112863027"/>
    <n v="713843283"/>
    <x v="0"/>
    <n v="1.1504791999999999E-3"/>
    <x v="0"/>
  </r>
  <r>
    <n v="47"/>
    <n v="0"/>
    <n v="4"/>
    <n v="6"/>
    <n v="0"/>
    <n v="4"/>
    <n v="0"/>
    <n v="41"/>
    <n v="6"/>
    <n v="5"/>
    <n v="3"/>
    <n v="3482"/>
    <n v="2114"/>
    <n v="1368"/>
    <n v="0.50800000000000001"/>
    <n v="1039"/>
    <n v="24"/>
    <n v="0.26300000000000001"/>
    <n v="0.60699999999999998"/>
    <n v="3.8947999999999999E-4"/>
    <n v="0.99961"/>
    <s v="14.269631322487536"/>
    <s v="25.52113440001193"/>
    <n v="14.653459668507599"/>
    <s v="7.720024878966035"/>
    <n v="714791208"/>
    <x v="0"/>
    <n v="1.2949685E-3"/>
    <x v="0"/>
  </r>
  <r>
    <n v="62"/>
    <n v="1"/>
    <n v="0"/>
    <n v="5"/>
    <n v="2"/>
    <n v="1"/>
    <n v="0"/>
    <n v="52"/>
    <n v="6"/>
    <n v="1"/>
    <n v="2"/>
    <n v="9065"/>
    <n v="641"/>
    <n v="8424"/>
    <n v="0.78800000000000003"/>
    <n v="4693"/>
    <n v="83"/>
    <n v="0.627"/>
    <n v="7.0999999999999994E-2"/>
    <s v="4.8595e-05"/>
    <n v="0.99995000000000001"/>
    <s v="14.97069792588472"/>
    <s v="0.7816941598205888"/>
    <s v="5.708355379643442"/>
    <s v="31.41794796530396"/>
    <n v="717017808"/>
    <x v="0"/>
    <n v="6.2181555999999999E-4"/>
    <x v="0"/>
  </r>
  <r>
    <n v="59"/>
    <n v="1"/>
    <n v="1"/>
    <n v="2"/>
    <n v="1"/>
    <n v="1"/>
    <n v="0"/>
    <n v="36"/>
    <n v="6"/>
    <n v="2"/>
    <n v="2"/>
    <n v="2300"/>
    <n v="1965"/>
    <n v="335"/>
    <n v="0.59599999999999997"/>
    <n v="1693"/>
    <n v="27"/>
    <n v="0.68799999999999994"/>
    <n v="0.85399999999999998"/>
    <n v="1.0684E-4"/>
    <n v="0.99988999999999995"/>
    <s v="20.500140590842832"/>
    <s v="62.54218327573944"/>
    <s v="13.28234310473356"/>
    <s v="3.0972684264963672"/>
    <n v="714947883"/>
    <x v="0"/>
    <n v="1.0337284E-3"/>
    <x v="0"/>
  </r>
  <r>
    <n v="42"/>
    <n v="1"/>
    <n v="4"/>
    <n v="3"/>
    <n v="3"/>
    <n v="3"/>
    <n v="1"/>
    <n v="37"/>
    <n v="5"/>
    <n v="1"/>
    <n v="2"/>
    <n v="34516"/>
    <n v="1797"/>
    <n v="32719"/>
    <n v="1.3140000000000001"/>
    <n v="1534"/>
    <n v="30"/>
    <n v="0.875"/>
    <n v="5.1999999999999998E-2"/>
    <s v="6.4694e-05"/>
    <n v="0.99994000000000005"/>
    <s v="30.01107309891486"/>
    <s v="3.3862916257935964"/>
    <s v="3.806393041134308"/>
    <s v="18.500150531084067"/>
    <n v="816776283"/>
    <x v="0"/>
    <n v="1.0985557E-3"/>
    <x v="0"/>
  </r>
  <r>
    <n v="59"/>
    <n v="1"/>
    <n v="0"/>
    <n v="2"/>
    <n v="2"/>
    <n v="2"/>
    <n v="0"/>
    <n v="53"/>
    <n v="4"/>
    <n v="2"/>
    <n v="2"/>
    <n v="4386"/>
    <n v="2505"/>
    <n v="1881"/>
    <n v="0.80600000000000005"/>
    <n v="4064"/>
    <n v="65"/>
    <n v="0.80600000000000005"/>
    <n v="0.57099999999999995"/>
    <s v="9.7673e-05"/>
    <n v="0.99990000000000001"/>
    <s v="19.548720392125382"/>
    <s v="0.1690443921200927"/>
    <s v="138.4102566557648"/>
    <s v="27.91584792591817"/>
    <n v="712305333"/>
    <x v="0"/>
    <n v="3.5545047000000001E-4"/>
    <x v="0"/>
  </r>
  <r>
    <n v="44"/>
    <n v="0"/>
    <n v="3"/>
    <n v="2"/>
    <n v="2"/>
    <n v="5"/>
    <n v="0"/>
    <n v="37"/>
    <n v="3"/>
    <n v="2"/>
    <n v="1"/>
    <n v="4703"/>
    <n v="1555"/>
    <n v="3148"/>
    <n v="0.93200000000000005"/>
    <n v="4127"/>
    <n v="89"/>
    <n v="0.64800000000000002"/>
    <n v="0.33100000000000002"/>
    <s v="7.1226e-05"/>
    <n v="0.99992999999999999"/>
    <s v="54.97739371329598"/>
    <s v="9.113425057945124"/>
    <s v="124.0393855467217"/>
    <s v="18.578821089993596"/>
    <n v="758178558"/>
    <x v="0"/>
    <n v="3.4605444000000002E-4"/>
    <x v="0"/>
  </r>
  <r>
    <n v="41"/>
    <n v="1"/>
    <n v="4"/>
    <n v="3"/>
    <n v="1"/>
    <n v="2"/>
    <n v="0"/>
    <n v="29"/>
    <n v="3"/>
    <n v="2"/>
    <n v="2"/>
    <n v="4573"/>
    <n v="0"/>
    <n v="4573"/>
    <n v="0.70299999999999996"/>
    <n v="3776"/>
    <n v="70"/>
    <n v="0.94399999999999995"/>
    <n v="0"/>
    <n v="1.1603999999999999E-4"/>
    <n v="0.99987999999999999"/>
    <s v="8.165993385556519"/>
    <s v="13.539408894617274"/>
    <s v="97.56304669268664"/>
    <n v="4.6378183334382603"/>
    <n v="713316558"/>
    <x v="0"/>
    <n v="7.4965424999999997E-4"/>
    <x v="0"/>
  </r>
  <r>
    <n v="31"/>
    <n v="1"/>
    <n v="0"/>
    <n v="2"/>
    <n v="0"/>
    <n v="3"/>
    <n v="3"/>
    <n v="19"/>
    <n v="1"/>
    <n v="3"/>
    <n v="3"/>
    <n v="34516"/>
    <n v="1984"/>
    <n v="32532"/>
    <n v="0.75700000000000001"/>
    <n v="14969"/>
    <n v="96"/>
    <n v="0.81100000000000005"/>
    <n v="5.7000000000000002E-2"/>
    <n v="2.3457E-4"/>
    <n v="0.99977000000000005"/>
    <s v="22.871431090158843"/>
    <n v="41.122022907861201"/>
    <s v="49.79540726796591"/>
    <s v="14.221445097103098"/>
    <n v="771484908"/>
    <x v="0"/>
    <n v="3.8573547000000003E-4"/>
    <x v="0"/>
  </r>
  <r>
    <n v="41"/>
    <n v="0"/>
    <n v="3"/>
    <n v="2"/>
    <n v="2"/>
    <n v="4"/>
    <n v="0"/>
    <n v="36"/>
    <n v="4"/>
    <n v="6"/>
    <n v="2"/>
    <n v="4133"/>
    <n v="1067"/>
    <n v="3066"/>
    <n v="0.63200000000000001"/>
    <n v="16100"/>
    <n v="119"/>
    <n v="0.60799999999999998"/>
    <n v="0.25800000000000001"/>
    <n v="1.4734000000000001E-4"/>
    <n v="0.99985000000000002"/>
    <s v="32.29731603820157"/>
    <s v="51.70055981175717"/>
    <s v="64.62630377669605"/>
    <s v="5.185960566606275"/>
    <n v="818712633"/>
    <x v="0"/>
    <n v="3.5533762999999998E-4"/>
    <x v="0"/>
  </r>
  <r>
    <n v="49"/>
    <n v="0"/>
    <n v="1"/>
    <n v="1"/>
    <n v="2"/>
    <n v="1"/>
    <n v="0"/>
    <n v="32"/>
    <n v="3"/>
    <n v="3"/>
    <n v="2"/>
    <n v="1438.3"/>
    <n v="0"/>
    <n v="1438.3"/>
    <n v="0.71799999999999997"/>
    <n v="4052"/>
    <n v="65"/>
    <n v="0.75700000000000001"/>
    <n v="0"/>
    <n v="2.4431000000000002E-4"/>
    <n v="0.99975999999999998"/>
    <s v="29.85971462505786"/>
    <s v="25.58165710852665"/>
    <s v="14.12895577284645"/>
    <s v="5.197381710603192"/>
    <n v="779577108"/>
    <x v="0"/>
    <n v="7.6807226000000001E-4"/>
    <x v="0"/>
  </r>
  <r>
    <n v="31"/>
    <n v="0"/>
    <n v="1"/>
    <n v="0"/>
    <n v="0"/>
    <n v="5"/>
    <n v="0"/>
    <n v="27"/>
    <n v="4"/>
    <n v="6"/>
    <n v="3"/>
    <n v="3647"/>
    <n v="1480"/>
    <n v="2167"/>
    <n v="0.76"/>
    <n v="2271"/>
    <n v="60"/>
    <n v="0.36399999999999999"/>
    <n v="0.40600000000000003"/>
    <n v="2.1793E-4"/>
    <n v="0.99978"/>
    <s v="18.658855727315323"/>
    <s v="2.153334300821057"/>
    <s v="51.44300962951637"/>
    <s v="1.185667953671697"/>
    <n v="824168808"/>
    <x v="0"/>
    <n v="4.7409310000000001E-4"/>
    <x v="0"/>
  </r>
  <r>
    <n v="42"/>
    <n v="1"/>
    <n v="3"/>
    <n v="2"/>
    <n v="1"/>
    <n v="3"/>
    <n v="0"/>
    <n v="36"/>
    <n v="1"/>
    <n v="1"/>
    <n v="3"/>
    <n v="34516"/>
    <n v="781"/>
    <n v="33735"/>
    <n v="0.80300000000000005"/>
    <n v="853"/>
    <n v="12"/>
    <n v="9.0999999999999998E-2"/>
    <n v="2.3E-2"/>
    <n v="0.98970999999999998"/>
    <n v="1.0290000000000001E-2"/>
    <s v="8.717987890291909"/>
    <s v="45.010526927243845"/>
    <s v="23.813318436420943"/>
    <n v="5.7244926901844204"/>
    <n v="713053383"/>
    <x v="1"/>
    <n v="0.99803275000000002"/>
    <x v="1"/>
  </r>
  <r>
    <n v="52"/>
    <n v="1"/>
    <n v="5"/>
    <n v="6"/>
    <n v="1"/>
    <n v="3"/>
    <n v="0"/>
    <n v="40"/>
    <n v="3"/>
    <n v="3"/>
    <n v="4"/>
    <n v="30314"/>
    <n v="776"/>
    <n v="29538"/>
    <n v="0.70499999999999996"/>
    <n v="3290"/>
    <n v="82"/>
    <n v="0.64"/>
    <n v="2.5999999999999999E-2"/>
    <n v="5.8553000000000001E-4"/>
    <n v="0.99941000000000002"/>
    <s v="31.149526565774963"/>
    <s v="59.90712857011481"/>
    <s v="7.938775079643221"/>
    <s v="15.328338929417075"/>
    <n v="718788258"/>
    <x v="0"/>
    <n v="5.9987994999999999E-4"/>
    <x v="0"/>
  </r>
  <r>
    <n v="60"/>
    <n v="0"/>
    <n v="1"/>
    <n v="6"/>
    <n v="2"/>
    <n v="1"/>
    <n v="0"/>
    <n v="36"/>
    <n v="2"/>
    <n v="3"/>
    <n v="1"/>
    <n v="3959"/>
    <n v="0"/>
    <n v="3959"/>
    <n v="0.80600000000000005"/>
    <n v="4935"/>
    <n v="92"/>
    <n v="0.80400000000000005"/>
    <n v="0"/>
    <n v="1.1192E-4"/>
    <n v="0.99988999999999995"/>
    <s v="25.368759508623423"/>
    <s v="58.11437519314523"/>
    <s v="19.76028445203221"/>
    <s v="4.713408217122347"/>
    <n v="710099358"/>
    <x v="0"/>
    <n v="6.9517245999999998E-4"/>
    <x v="0"/>
  </r>
  <r>
    <n v="48"/>
    <n v="0"/>
    <n v="3"/>
    <n v="6"/>
    <n v="3"/>
    <n v="1"/>
    <n v="0"/>
    <n v="33"/>
    <n v="3"/>
    <n v="2"/>
    <n v="2"/>
    <n v="2485"/>
    <n v="1651"/>
    <n v="834"/>
    <n v="1.1000000000000001"/>
    <n v="4351"/>
    <n v="86"/>
    <n v="0.83"/>
    <n v="0.66400000000000003"/>
    <n v="1.2982E-4"/>
    <n v="0.99987000000000004"/>
    <s v="21.04262749445663"/>
    <s v="9.953448083597232"/>
    <s v="7.777109052328052"/>
    <s v="11.256982361422164"/>
    <n v="720269283"/>
    <x v="0"/>
    <n v="3.221314E-4"/>
    <x v="0"/>
  </r>
  <r>
    <n v="36"/>
    <n v="1"/>
    <n v="2"/>
    <n v="2"/>
    <n v="1"/>
    <n v="4"/>
    <n v="0"/>
    <n v="23"/>
    <n v="2"/>
    <n v="2"/>
    <n v="3"/>
    <n v="3920"/>
    <n v="0"/>
    <n v="3920"/>
    <n v="0.81299999999999994"/>
    <n v="16500"/>
    <n v="102"/>
    <n v="0.72899999999999998"/>
    <n v="0"/>
    <n v="1.9143E-4"/>
    <n v="0.99980999999999998"/>
    <s v="1.0930062370060722"/>
    <s v="79.87824927247586"/>
    <s v="0.1355344428418214"/>
    <s v="5.828462765918703"/>
    <n v="770977833"/>
    <x v="0"/>
    <n v="7.5047980000000002E-4"/>
    <x v="0"/>
  </r>
  <r>
    <n v="56"/>
    <n v="1"/>
    <n v="2"/>
    <n v="2"/>
    <n v="1"/>
    <n v="2"/>
    <n v="0"/>
    <n v="44"/>
    <n v="3"/>
    <n v="1"/>
    <n v="2"/>
    <n v="2043"/>
    <n v="1928"/>
    <n v="115"/>
    <n v="0.79100000000000004"/>
    <n v="2311"/>
    <n v="57"/>
    <n v="0.83899999999999997"/>
    <n v="0.94399999999999995"/>
    <s v="5.5077e-05"/>
    <n v="0.99994000000000005"/>
    <s v="0.6627029509931912"/>
    <s v="22.664215937910125"/>
    <s v="21.07066914044866"/>
    <s v="0.4304005267158462"/>
    <n v="708651933"/>
    <x v="0"/>
    <n v="5.4454790000000002E-4"/>
    <x v="0"/>
  </r>
  <r>
    <n v="44"/>
    <n v="1"/>
    <n v="4"/>
    <n v="1"/>
    <n v="1"/>
    <n v="3"/>
    <n v="0"/>
    <n v="27"/>
    <n v="1"/>
    <n v="2"/>
    <n v="1"/>
    <n v="24134"/>
    <n v="1290"/>
    <n v="22844"/>
    <n v="0.81399999999999995"/>
    <n v="13311"/>
    <n v="110"/>
    <n v="0.64200000000000002"/>
    <n v="5.2999999999999999E-2"/>
    <n v="1.0417E-4"/>
    <n v="0.99990000000000001"/>
    <s v="13.16065227693852"/>
    <s v="11.361214058142858"/>
    <s v="57.81528730627159"/>
    <s v="2.2392814953359506"/>
    <n v="711706458"/>
    <x v="0"/>
    <n v="3.9550033E-4"/>
    <x v="0"/>
  </r>
  <r>
    <n v="39"/>
    <n v="0"/>
    <n v="0"/>
    <n v="3"/>
    <n v="2"/>
    <n v="4"/>
    <n v="0"/>
    <n v="23"/>
    <n v="5"/>
    <n v="3"/>
    <n v="2"/>
    <n v="3279"/>
    <n v="0"/>
    <n v="3279"/>
    <n v="0.76500000000000001"/>
    <n v="5048"/>
    <n v="75"/>
    <n v="0.92300000000000004"/>
    <n v="0"/>
    <n v="1.5004999999999999E-4"/>
    <n v="0.99985000000000002"/>
    <n v="20.365196488806198"/>
    <s v="41.19140057291906"/>
    <s v="124.22301230588933"/>
    <s v="0.1307612958652564"/>
    <n v="781110408"/>
    <x v="0"/>
    <n v="6.9517245999999998E-4"/>
    <x v="0"/>
  </r>
  <r>
    <n v="54"/>
    <n v="1"/>
    <n v="1"/>
    <n v="6"/>
    <n v="1"/>
    <n v="3"/>
    <n v="0"/>
    <n v="36"/>
    <n v="4"/>
    <n v="1"/>
    <n v="2"/>
    <n v="6175"/>
    <n v="960"/>
    <n v="5215"/>
    <n v="0.70899999999999996"/>
    <n v="1847"/>
    <n v="59"/>
    <n v="0.40500000000000003"/>
    <n v="0.155"/>
    <s v="5.6825e-05"/>
    <n v="0.99994000000000005"/>
    <s v="37.33476383364092"/>
    <s v="85.31547155349477"/>
    <n v="32.302246181188004"/>
    <s v="3.711069387107711"/>
    <n v="715416633"/>
    <x v="0"/>
    <n v="5.7202239999999997E-4"/>
    <x v="0"/>
  </r>
  <r>
    <n v="68"/>
    <n v="1"/>
    <n v="1"/>
    <n v="2"/>
    <n v="1"/>
    <n v="5"/>
    <n v="0"/>
    <n v="56"/>
    <n v="5"/>
    <n v="2"/>
    <n v="3"/>
    <n v="13860"/>
    <n v="1652"/>
    <n v="12208"/>
    <n v="1.2549999999999999"/>
    <n v="1910"/>
    <n v="32"/>
    <n v="1.909"/>
    <n v="0.11899999999999999"/>
    <n v="1.7969000000000001E-4"/>
    <n v="0.99982000000000004"/>
    <s v="14.700667955394351"/>
    <s v="55.09276838527581"/>
    <s v="133.8035672513097"/>
    <s v="11.526267517663875"/>
    <n v="712720158"/>
    <x v="0"/>
    <n v="9.8768230000000003E-4"/>
    <x v="0"/>
  </r>
  <r>
    <n v="51"/>
    <n v="1"/>
    <n v="3"/>
    <n v="3"/>
    <n v="2"/>
    <n v="1"/>
    <n v="0"/>
    <n v="36"/>
    <n v="4"/>
    <n v="3"/>
    <n v="4"/>
    <n v="5000"/>
    <n v="942"/>
    <n v="4058"/>
    <n v="0.60399999999999998"/>
    <n v="4077"/>
    <n v="81"/>
    <n v="0.65300000000000002"/>
    <n v="0.188"/>
    <n v="5.2052000000000001E-4"/>
    <n v="0.99948000000000004"/>
    <s v="36.98203328954006"/>
    <s v="7.044559600781499"/>
    <s v="61.27111674767481"/>
    <s v="0.6227425474079691"/>
    <n v="715136583"/>
    <x v="0"/>
    <n v="3.9522952000000002E-4"/>
    <x v="0"/>
  </r>
  <r>
    <n v="40"/>
    <n v="0"/>
    <n v="3"/>
    <n v="1"/>
    <n v="2"/>
    <n v="5"/>
    <n v="0"/>
    <n v="27"/>
    <n v="1"/>
    <n v="1"/>
    <n v="2"/>
    <n v="2896"/>
    <n v="2100"/>
    <n v="796"/>
    <n v="0.72799999999999998"/>
    <n v="4614"/>
    <n v="83"/>
    <n v="0.69399999999999995"/>
    <n v="0.72499999999999998"/>
    <s v="8.2704e-05"/>
    <n v="0.99992000000000003"/>
    <s v="34.68314601405705"/>
    <s v="11.498901428817948"/>
    <s v="29.565681013244184"/>
    <s v="12.912613062805615"/>
    <n v="771220758"/>
    <x v="0"/>
    <n v="3.2101269999999999E-4"/>
    <x v="0"/>
  </r>
  <r>
    <n v="41"/>
    <n v="0"/>
    <n v="2"/>
    <n v="2"/>
    <n v="1"/>
    <n v="4"/>
    <n v="3"/>
    <n v="33"/>
    <n v="4"/>
    <n v="2"/>
    <n v="0"/>
    <n v="12301"/>
    <n v="2250"/>
    <n v="10051"/>
    <n v="0.48399999999999999"/>
    <n v="1307"/>
    <n v="29"/>
    <n v="0.26100000000000001"/>
    <n v="0.183"/>
    <s v="3.7937e-05"/>
    <n v="0.99995999999999996"/>
    <s v="1.5919773312051753"/>
    <s v="92.43452438847348"/>
    <s v="16.09931128926887"/>
    <n v="0.23772486546200799"/>
    <n v="710865633"/>
    <x v="0"/>
    <n v="1.2315542E-3"/>
    <x v="0"/>
  </r>
  <r>
    <n v="64"/>
    <n v="1"/>
    <n v="1"/>
    <n v="5"/>
    <n v="2"/>
    <n v="5"/>
    <n v="0"/>
    <n v="51"/>
    <n v="6"/>
    <n v="3"/>
    <n v="1"/>
    <n v="2571"/>
    <n v="1210"/>
    <n v="1361"/>
    <n v="0.97199999999999998"/>
    <n v="3647"/>
    <n v="59"/>
    <n v="0.68600000000000005"/>
    <n v="0.47099999999999997"/>
    <n v="1.0469E-4"/>
    <n v="0.99990000000000001"/>
    <n v="18.964040702683501"/>
    <s v="40.183352646565496"/>
    <s v="63.45408214985933"/>
    <s v="12.82626262989414"/>
    <n v="720717108"/>
    <x v="0"/>
    <n v="3.7724319999999999E-4"/>
    <x v="0"/>
  </r>
  <r>
    <n v="37"/>
    <n v="1"/>
    <n v="5"/>
    <n v="4"/>
    <n v="1"/>
    <n v="3"/>
    <n v="0"/>
    <n v="26"/>
    <n v="2"/>
    <n v="1"/>
    <n v="2"/>
    <n v="16730"/>
    <n v="1956"/>
    <n v="14774"/>
    <n v="0.67500000000000004"/>
    <n v="1740"/>
    <n v="43"/>
    <n v="0.53600000000000003"/>
    <n v="0.11700000000000001"/>
    <s v="6.6908e-05"/>
    <n v="0.99992999999999999"/>
    <s v="10.728407345926936"/>
    <s v="49.11209121589168"/>
    <s v="67.99750730716703"/>
    <s v="10.41157304949883"/>
    <n v="716253858"/>
    <x v="0"/>
    <n v="1.4229334000000001E-3"/>
    <x v="0"/>
  </r>
  <r>
    <n v="53"/>
    <n v="0"/>
    <n v="3"/>
    <n v="5"/>
    <n v="2"/>
    <n v="4"/>
    <n v="0"/>
    <n v="35"/>
    <n v="6"/>
    <n v="3"/>
    <n v="1"/>
    <n v="9786"/>
    <n v="0"/>
    <n v="9786"/>
    <n v="0.70099999999999996"/>
    <n v="820"/>
    <n v="25"/>
    <n v="0.56200000000000006"/>
    <n v="0"/>
    <n v="0.99143000000000003"/>
    <n v="8.5699999999999995E-3"/>
    <n v="9.5991127391531101"/>
    <s v="2.3178886136674355"/>
    <s v="18.00219850688649"/>
    <s v="3.4528583813922946"/>
    <n v="716991933"/>
    <x v="1"/>
    <n v="0.99867176999999996"/>
    <x v="1"/>
  </r>
  <r>
    <n v="47"/>
    <n v="0"/>
    <n v="4"/>
    <n v="2"/>
    <n v="2"/>
    <n v="4"/>
    <n v="0"/>
    <n v="39"/>
    <n v="3"/>
    <n v="2"/>
    <n v="3"/>
    <n v="7353"/>
    <n v="1450"/>
    <n v="5903"/>
    <n v="0.73899999999999999"/>
    <n v="2005"/>
    <n v="54"/>
    <n v="0.45900000000000002"/>
    <n v="0.19700000000000001"/>
    <n v="2.0076999999999999E-4"/>
    <n v="0.99980000000000002"/>
    <s v="18.06448765766363"/>
    <n v="59.230717710251497"/>
    <s v="90.83314023615227"/>
    <s v="20.901522193107784"/>
    <n v="717776808"/>
    <x v="0"/>
    <n v="6.9226119999999996E-4"/>
    <x v="0"/>
  </r>
  <r>
    <n v="33"/>
    <n v="0"/>
    <n v="2"/>
    <n v="3"/>
    <n v="2"/>
    <n v="1"/>
    <n v="0"/>
    <n v="28"/>
    <n v="3"/>
    <n v="2"/>
    <n v="3"/>
    <n v="1438.3"/>
    <n v="746"/>
    <n v="692.3"/>
    <n v="0.91300000000000003"/>
    <n v="4415"/>
    <n v="77"/>
    <n v="0.878"/>
    <n v="0.51900000000000002"/>
    <n v="1.861E-4"/>
    <n v="0.99980999999999998"/>
    <s v="41.10780712044697"/>
    <s v="47.89765909186968"/>
    <s v="53.90861905655617"/>
    <s v="2.008273098231233"/>
    <n v="809978733"/>
    <x v="0"/>
    <n v="5.4678856000000002E-4"/>
    <x v="0"/>
  </r>
  <r>
    <n v="52"/>
    <n v="0"/>
    <n v="2"/>
    <n v="0"/>
    <n v="2"/>
    <n v="4"/>
    <n v="0"/>
    <n v="36"/>
    <n v="3"/>
    <n v="2"/>
    <n v="2"/>
    <n v="2370"/>
    <n v="1490"/>
    <n v="880"/>
    <n v="0.63"/>
    <n v="4751"/>
    <n v="80"/>
    <n v="0.86"/>
    <n v="0.629"/>
    <n v="1.1066E-4"/>
    <n v="0.99988999999999995"/>
    <s v="25.495535573019765"/>
    <s v="30.977905576407743"/>
    <s v="4.965989268384081"/>
    <s v="14.56629511562577"/>
    <n v="718026858"/>
    <x v="0"/>
    <n v="3.2101269999999999E-4"/>
    <x v="0"/>
  </r>
  <r>
    <n v="48"/>
    <n v="1"/>
    <n v="2"/>
    <n v="0"/>
    <n v="1"/>
    <n v="3"/>
    <n v="0"/>
    <n v="38"/>
    <n v="2"/>
    <n v="2"/>
    <n v="3"/>
    <n v="2111"/>
    <n v="0"/>
    <n v="2111"/>
    <n v="0.53100000000000003"/>
    <n v="773"/>
    <n v="17"/>
    <n v="0.13300000000000001"/>
    <n v="0"/>
    <n v="0.99465999999999999"/>
    <n v="5.3400000000000001E-3"/>
    <s v="18.49356201780203"/>
    <s v="17.319131545418998"/>
    <s v="144.33348021159867"/>
    <s v="18.54290424763053"/>
    <n v="779216358"/>
    <x v="1"/>
    <n v="0.99877890000000003"/>
    <x v="1"/>
  </r>
  <r>
    <n v="41"/>
    <n v="0"/>
    <n v="1"/>
    <n v="5"/>
    <n v="1"/>
    <n v="4"/>
    <n v="0"/>
    <n v="31"/>
    <n v="2"/>
    <n v="2"/>
    <n v="2"/>
    <n v="2909"/>
    <n v="1201"/>
    <n v="1708"/>
    <n v="0.72899999999999998"/>
    <n v="4230"/>
    <n v="68"/>
    <n v="0.65900000000000003"/>
    <n v="0.41299999999999998"/>
    <n v="1.0985E-4"/>
    <n v="0.99988999999999995"/>
    <s v="2.0479739187833395"/>
    <s v="16.895245351144453"/>
    <s v="31.308095918912265"/>
    <s v="10.624432648637354"/>
    <n v="710969433"/>
    <x v="0"/>
    <n v="3.2101269999999999E-4"/>
    <x v="0"/>
  </r>
  <r>
    <n v="43"/>
    <n v="1"/>
    <n v="3"/>
    <n v="6"/>
    <n v="3"/>
    <n v="3"/>
    <n v="0"/>
    <n v="38"/>
    <n v="6"/>
    <n v="2"/>
    <n v="3"/>
    <n v="20348"/>
    <n v="1732"/>
    <n v="18616"/>
    <n v="0.67400000000000004"/>
    <n v="1624"/>
    <n v="27"/>
    <n v="0.68799999999999994"/>
    <n v="8.5000000000000006E-2"/>
    <n v="2.1834E-4"/>
    <n v="0.99978"/>
    <s v="27.920406888177883"/>
    <s v="61.453629946202746"/>
    <s v="2.3717125093422355"/>
    <s v="8.925274582009564"/>
    <n v="808705758"/>
    <x v="0"/>
    <n v="1.0633649999999999E-3"/>
    <x v="0"/>
  </r>
  <r>
    <n v="44"/>
    <n v="0"/>
    <n v="3"/>
    <n v="6"/>
    <n v="2"/>
    <n v="5"/>
    <n v="0"/>
    <n v="37"/>
    <n v="3"/>
    <n v="2"/>
    <n v="3"/>
    <n v="1900"/>
    <n v="0"/>
    <n v="1900"/>
    <n v="0.86399999999999999"/>
    <n v="2298"/>
    <n v="45"/>
    <n v="0.45200000000000001"/>
    <n v="0"/>
    <n v="0.99543999999999999"/>
    <n v="4.5580500000000001E-3"/>
    <s v="35.435599898256385"/>
    <s v="36.79524815583445"/>
    <s v="11.967339760651988"/>
    <s v="10.071243644890702"/>
    <n v="753365883"/>
    <x v="1"/>
    <n v="0.99876772999999996"/>
    <x v="1"/>
  </r>
  <r>
    <n v="48"/>
    <n v="1"/>
    <n v="2"/>
    <n v="6"/>
    <n v="3"/>
    <n v="2"/>
    <n v="0"/>
    <n v="44"/>
    <n v="4"/>
    <n v="3"/>
    <n v="3"/>
    <n v="8904"/>
    <n v="1886"/>
    <n v="7018"/>
    <n v="0.94499999999999995"/>
    <n v="3654"/>
    <n v="65"/>
    <n v="0.75700000000000001"/>
    <n v="0.21199999999999999"/>
    <n v="3.3251E-4"/>
    <n v="0.99966999999999995"/>
    <s v="37.79834233458807"/>
    <s v="10.227637274066522"/>
    <s v="4.408875261697888"/>
    <s v="33.20411742679007"/>
    <n v="826079508"/>
    <x v="0"/>
    <n v="3.3750932000000002E-4"/>
    <x v="0"/>
  </r>
  <r>
    <n v="46"/>
    <n v="0"/>
    <n v="3"/>
    <n v="6"/>
    <n v="3"/>
    <n v="4"/>
    <n v="0"/>
    <n v="41"/>
    <n v="5"/>
    <n v="3"/>
    <n v="2"/>
    <n v="4710"/>
    <n v="0"/>
    <n v="4710"/>
    <n v="0.71699999999999997"/>
    <n v="2690"/>
    <n v="43"/>
    <n v="0.95499999999999996"/>
    <n v="0"/>
    <n v="0.99514999999999998"/>
    <n v="4.8496700000000004E-3"/>
    <s v="26.47084694334085"/>
    <s v="96.87444153228378"/>
    <s v="56.31251468085328"/>
    <s v="7.037595189258799"/>
    <n v="815320383"/>
    <x v="1"/>
    <n v="0.99827969999999999"/>
    <x v="1"/>
  </r>
  <r>
    <n v="59"/>
    <n v="1"/>
    <n v="1"/>
    <n v="3"/>
    <n v="2"/>
    <n v="2"/>
    <n v="0"/>
    <n v="45"/>
    <n v="4"/>
    <n v="2"/>
    <n v="4"/>
    <n v="3943"/>
    <n v="2517"/>
    <n v="1426"/>
    <n v="0.46700000000000003"/>
    <n v="3527"/>
    <n v="59"/>
    <n v="0.78800000000000003"/>
    <n v="0.63800000000000001"/>
    <n v="2.9798999999999998E-4"/>
    <n v="0.99970000000000003"/>
    <s v="5.139092845904974"/>
    <n v="9.1452488891028203"/>
    <s v="131.8598123507222"/>
    <s v="2.934478612317092"/>
    <n v="780241758"/>
    <x v="0"/>
    <n v="4.1625992E-4"/>
    <x v="0"/>
  </r>
  <r>
    <n v="43"/>
    <n v="1"/>
    <n v="2"/>
    <n v="2"/>
    <n v="1"/>
    <n v="1"/>
    <n v="0"/>
    <n v="34"/>
    <n v="3"/>
    <n v="2"/>
    <n v="1"/>
    <n v="4396"/>
    <n v="0"/>
    <n v="4396"/>
    <n v="0.59199999999999997"/>
    <n v="4771"/>
    <n v="78"/>
    <n v="1.0529999999999999"/>
    <n v="0"/>
    <s v="6.864e-05"/>
    <n v="0.99992999999999999"/>
    <s v="53.05588729432073"/>
    <s v="16.548616304288526"/>
    <s v="48.60927278266863"/>
    <s v="42.97126069033401"/>
    <n v="718892283"/>
    <x v="0"/>
    <n v="6.9517245999999998E-4"/>
    <x v="0"/>
  </r>
  <r>
    <n v="34"/>
    <n v="0"/>
    <n v="2"/>
    <n v="2"/>
    <n v="2"/>
    <n v="5"/>
    <n v="0"/>
    <n v="24"/>
    <n v="6"/>
    <n v="3"/>
    <n v="3"/>
    <n v="3095"/>
    <n v="2010"/>
    <n v="1085"/>
    <n v="0.66800000000000004"/>
    <n v="3901"/>
    <n v="77"/>
    <n v="0.71099999999999997"/>
    <n v="0.64900000000000002"/>
    <n v="3.0250999999999998E-4"/>
    <n v="0.99970000000000003"/>
    <s v="11.392256478614176"/>
    <s v="71.32161465893427"/>
    <s v="22.56308824764497"/>
    <s v="10.728469078131871"/>
    <n v="711341433"/>
    <x v="0"/>
    <n v="3.2101269999999999E-4"/>
    <x v="0"/>
  </r>
  <r>
    <n v="54"/>
    <n v="1"/>
    <n v="1"/>
    <n v="2"/>
    <n v="1"/>
    <n v="1"/>
    <n v="0"/>
    <n v="43"/>
    <n v="4"/>
    <n v="3"/>
    <n v="3"/>
    <n v="2706"/>
    <n v="2517"/>
    <n v="189"/>
    <n v="0.50600000000000001"/>
    <n v="1682"/>
    <n v="39"/>
    <n v="0.625"/>
    <n v="0.93"/>
    <n v="2.8394999999999999E-4"/>
    <n v="0.99972000000000005"/>
    <s v="29.075175555812294"/>
    <s v="51.13006715277689"/>
    <s v="13.18742116284812"/>
    <s v="19.67799779324742"/>
    <n v="713322633"/>
    <x v="0"/>
    <n v="1.1011294999999999E-3"/>
    <x v="0"/>
  </r>
  <r>
    <n v="32"/>
    <n v="1"/>
    <n v="2"/>
    <n v="2"/>
    <n v="1"/>
    <n v="3"/>
    <n v="0"/>
    <n v="36"/>
    <n v="2"/>
    <n v="1"/>
    <n v="2"/>
    <n v="25438"/>
    <n v="1907"/>
    <n v="23531"/>
    <n v="0.74099999999999999"/>
    <n v="16485"/>
    <n v="104"/>
    <n v="0.79300000000000004"/>
    <n v="7.4999999999999997E-2"/>
    <s v="5.5077e-05"/>
    <n v="0.99994000000000005"/>
    <s v="32.52566823064417"/>
    <n v="37.818608928418897"/>
    <n v="38.784308658142798"/>
    <s v="16.518410265507054"/>
    <n v="718123608"/>
    <x v="0"/>
    <n v="3.7514859999999999E-4"/>
    <x v="0"/>
  </r>
  <r>
    <n v="36"/>
    <n v="0"/>
    <n v="4"/>
    <n v="0"/>
    <n v="1"/>
    <n v="4"/>
    <n v="0"/>
    <n v="36"/>
    <n v="6"/>
    <n v="4"/>
    <n v="1"/>
    <n v="2466"/>
    <n v="1750"/>
    <n v="716"/>
    <n v="0.77400000000000002"/>
    <n v="5005"/>
    <n v="76"/>
    <n v="0.76700000000000002"/>
    <n v="0.71"/>
    <n v="1.3367000000000001E-4"/>
    <n v="0.99987000000000004"/>
    <s v="2.734212654999149"/>
    <s v="52.07322151284557"/>
    <s v="43.20336759726779"/>
    <s v="0.2551858893577186"/>
    <n v="714230808"/>
    <x v="0"/>
    <n v="3.2101269999999999E-4"/>
    <x v="0"/>
  </r>
  <r>
    <n v="49"/>
    <n v="0"/>
    <n v="3"/>
    <n v="6"/>
    <n v="2"/>
    <n v="4"/>
    <n v="0"/>
    <n v="42"/>
    <n v="5"/>
    <n v="3"/>
    <n v="3"/>
    <n v="3261"/>
    <n v="814"/>
    <n v="2447"/>
    <n v="0.85"/>
    <n v="4739"/>
    <n v="89"/>
    <n v="0.71199999999999997"/>
    <n v="0.25"/>
    <n v="3.4503000000000002E-4"/>
    <n v="0.99965000000000004"/>
    <s v="9.674139583343678"/>
    <s v="42.975500971379866"/>
    <s v="20.663244312719105"/>
    <s v="18.75283053066457"/>
    <n v="773155533"/>
    <x v="0"/>
    <n v="5.1030780000000005E-4"/>
    <x v="0"/>
  </r>
  <r>
    <n v="45"/>
    <n v="0"/>
    <n v="2"/>
    <n v="5"/>
    <n v="2"/>
    <n v="4"/>
    <n v="0"/>
    <n v="38"/>
    <n v="3"/>
    <n v="2"/>
    <n v="1"/>
    <n v="7486"/>
    <n v="1758"/>
    <n v="5728"/>
    <n v="0.61299999999999999"/>
    <n v="4604"/>
    <n v="70"/>
    <n v="0.70699999999999996"/>
    <n v="0.23499999999999999"/>
    <s v="7.0576e-05"/>
    <n v="0.99992999999999999"/>
    <s v="24.647557104026276"/>
    <s v="18.61532889030876"/>
    <n v="18.4938689785691"/>
    <s v="2.302438012304775"/>
    <n v="758106108"/>
    <x v="0"/>
    <n v="3.2101269999999999E-4"/>
    <x v="0"/>
  </r>
  <r>
    <n v="36"/>
    <n v="0"/>
    <n v="4"/>
    <n v="2"/>
    <n v="1"/>
    <n v="1"/>
    <n v="0"/>
    <n v="36"/>
    <n v="6"/>
    <n v="3"/>
    <n v="3"/>
    <n v="1628"/>
    <n v="969"/>
    <n v="659"/>
    <n v="0.999"/>
    <n v="1893"/>
    <n v="15"/>
    <n v="2.75"/>
    <n v="0.59499999999999997"/>
    <n v="3.1725999999999998E-4"/>
    <n v="0.99968000000000001"/>
    <s v="9.094429628037377"/>
    <s v="8.826861463183402"/>
    <s v="5.004034123480332"/>
    <s v="3.3681739703130598"/>
    <n v="717229158"/>
    <x v="0"/>
    <n v="1.3071881E-3"/>
    <x v="0"/>
  </r>
  <r>
    <n v="47"/>
    <n v="0"/>
    <n v="4"/>
    <n v="0"/>
    <n v="1"/>
    <n v="4"/>
    <n v="0"/>
    <n v="38"/>
    <n v="3"/>
    <n v="1"/>
    <n v="2"/>
    <n v="2633"/>
    <n v="1924"/>
    <n v="709"/>
    <n v="0.80600000000000005"/>
    <n v="3407"/>
    <n v="66"/>
    <n v="0.53500000000000003"/>
    <n v="0.73099999999999998"/>
    <s v="5.6158e-05"/>
    <n v="0.99994000000000005"/>
    <s v="0.5459155654771228"/>
    <s v="9.539056026258004"/>
    <s v="49.421088486170405"/>
    <s v="6.779597230236822"/>
    <n v="712303908"/>
    <x v="0"/>
    <n v="3.2914013999999999E-4"/>
    <x v="0"/>
  </r>
  <r>
    <n v="42"/>
    <n v="1"/>
    <n v="3"/>
    <n v="2"/>
    <n v="2"/>
    <n v="2"/>
    <n v="0"/>
    <n v="32"/>
    <n v="6"/>
    <n v="2"/>
    <n v="2"/>
    <n v="1438.3"/>
    <n v="0"/>
    <n v="1438.3"/>
    <n v="0.66"/>
    <n v="1794"/>
    <n v="45"/>
    <n v="0.875"/>
    <n v="0"/>
    <n v="1.1811000000000001E-4"/>
    <n v="0.99987999999999999"/>
    <s v="12.36891219138954"/>
    <s v="24.220381228164925"/>
    <s v="53.93991306534684"/>
    <s v="11.18560375127178"/>
    <n v="711639708"/>
    <x v="0"/>
    <n v="3.3966057999999999E-3"/>
    <x v="0"/>
  </r>
  <r>
    <n v="49"/>
    <n v="0"/>
    <n v="3"/>
    <n v="5"/>
    <n v="1"/>
    <n v="4"/>
    <n v="0"/>
    <n v="31"/>
    <n v="6"/>
    <n v="3"/>
    <n v="3"/>
    <n v="2960"/>
    <n v="1835"/>
    <n v="1125"/>
    <n v="0.53200000000000003"/>
    <n v="3941"/>
    <n v="64"/>
    <n v="0.45500000000000002"/>
    <n v="0.62"/>
    <n v="3.2275000000000001E-4"/>
    <n v="0.99968000000000001"/>
    <s v="14.92164398158802"/>
    <s v="46.74278835520829"/>
    <s v="59.42388879208085"/>
    <s v="5.7328734088676825"/>
    <n v="712114458"/>
    <x v="0"/>
    <n v="3.7583912E-4"/>
    <x v="0"/>
  </r>
  <r>
    <n v="46"/>
    <n v="0"/>
    <n v="2"/>
    <n v="6"/>
    <n v="1"/>
    <n v="1"/>
    <n v="0"/>
    <n v="38"/>
    <n v="6"/>
    <n v="3"/>
    <n v="1"/>
    <n v="1963"/>
    <n v="1112"/>
    <n v="851"/>
    <n v="0.76100000000000001"/>
    <n v="4821"/>
    <n v="67"/>
    <n v="0.76300000000000001"/>
    <n v="0.56599999999999995"/>
    <n v="1.1924E-4"/>
    <n v="0.99987999999999999"/>
    <s v="14.236773623384272"/>
    <s v="33.27670646831641"/>
    <s v="18.64442143355428"/>
    <s v="9.956046761947649"/>
    <n v="712278108"/>
    <x v="0"/>
    <n v="3.2101269999999999E-4"/>
    <x v="0"/>
  </r>
  <r>
    <n v="47"/>
    <n v="0"/>
    <n v="3"/>
    <n v="5"/>
    <n v="2"/>
    <n v="1"/>
    <n v="0"/>
    <n v="35"/>
    <n v="6"/>
    <n v="5"/>
    <n v="2"/>
    <n v="4543"/>
    <n v="1028"/>
    <n v="3515"/>
    <n v="0.79900000000000004"/>
    <n v="4093"/>
    <n v="77"/>
    <n v="0.57099999999999995"/>
    <n v="0.22600000000000001"/>
    <n v="2.1435000000000001E-4"/>
    <n v="0.99978999999999996"/>
    <s v="14.556426342139025"/>
    <s v="28.36645962572815"/>
    <s v="105.90285990281808"/>
    <s v="1.0496313919943674"/>
    <n v="719323683"/>
    <x v="0"/>
    <n v="3.2914013999999999E-4"/>
    <x v="0"/>
  </r>
  <r>
    <n v="32"/>
    <n v="0"/>
    <n v="2"/>
    <n v="3"/>
    <n v="2"/>
    <n v="4"/>
    <n v="3"/>
    <n v="23"/>
    <n v="4"/>
    <n v="2"/>
    <n v="2"/>
    <n v="14143"/>
    <n v="1472"/>
    <n v="12671"/>
    <n v="0.77700000000000002"/>
    <n v="13785"/>
    <n v="117"/>
    <n v="0.64800000000000002"/>
    <n v="0.104"/>
    <s v="9.9979e-05"/>
    <n v="0.99990000000000001"/>
    <n v="73.382735306313606"/>
    <s v="63.685531544453696"/>
    <s v="29.42628103514458"/>
    <s v="11.606629073405353"/>
    <n v="713159133"/>
    <x v="0"/>
    <n v="3.5533762999999998E-4"/>
    <x v="0"/>
  </r>
  <r>
    <n v="47"/>
    <n v="1"/>
    <n v="5"/>
    <n v="4"/>
    <n v="1"/>
    <n v="4"/>
    <n v="0"/>
    <n v="41"/>
    <n v="4"/>
    <n v="2"/>
    <n v="1"/>
    <n v="3532"/>
    <n v="0"/>
    <n v="3532"/>
    <n v="0.82"/>
    <n v="3162"/>
    <n v="56"/>
    <n v="0.6"/>
    <n v="0"/>
    <s v="8.3385e-05"/>
    <n v="0.99992000000000003"/>
    <s v="51.08323546341445"/>
    <n v="0.153462685871156"/>
    <s v="38.27065051432314"/>
    <s v="8.829013952919643"/>
    <n v="818308533"/>
    <x v="0"/>
    <n v="1.4082668000000001E-3"/>
    <x v="0"/>
  </r>
  <r>
    <n v="52"/>
    <n v="1"/>
    <n v="1"/>
    <n v="4"/>
    <n v="3"/>
    <n v="3"/>
    <n v="0"/>
    <n v="40"/>
    <n v="2"/>
    <n v="1"/>
    <n v="2"/>
    <n v="5520"/>
    <n v="2448"/>
    <n v="3072"/>
    <n v="0.86199999999999999"/>
    <n v="14330"/>
    <n v="116"/>
    <n v="0.68100000000000005"/>
    <n v="0.443"/>
    <s v="6.083e-05"/>
    <n v="0.99994000000000005"/>
    <s v="30.67592571950816"/>
    <s v="71.08768650776433"/>
    <s v="18.34725902082126"/>
    <s v="26.735650146179182"/>
    <n v="719799033"/>
    <x v="0"/>
    <n v="3.4656386999999997E-4"/>
    <x v="0"/>
  </r>
  <r>
    <n v="49"/>
    <n v="0"/>
    <n v="3"/>
    <n v="5"/>
    <n v="1"/>
    <n v="4"/>
    <n v="0"/>
    <n v="40"/>
    <n v="5"/>
    <n v="2"/>
    <n v="2"/>
    <n v="6049"/>
    <n v="796"/>
    <n v="5253"/>
    <n v="0.82099999999999995"/>
    <n v="4468"/>
    <n v="71"/>
    <n v="0.51100000000000001"/>
    <n v="0.13200000000000001"/>
    <n v="1.2144E-4"/>
    <n v="0.99987999999999999"/>
    <n v="5.0995372961890899"/>
    <s v="28.70496672407697"/>
    <s v="135.3404700847572"/>
    <s v="7.913559732305824"/>
    <n v="719653308"/>
    <x v="0"/>
    <n v="5.6394430000000003E-4"/>
    <x v="0"/>
  </r>
  <r>
    <n v="42"/>
    <n v="0"/>
    <n v="3"/>
    <n v="0"/>
    <n v="1"/>
    <n v="4"/>
    <n v="0"/>
    <n v="28"/>
    <n v="3"/>
    <n v="3"/>
    <n v="2"/>
    <n v="1601"/>
    <n v="0"/>
    <n v="1601"/>
    <n v="0.63"/>
    <n v="2339"/>
    <n v="41"/>
    <n v="0.41399999999999998"/>
    <n v="0"/>
    <n v="0.99451999999999996"/>
    <n v="5.4799999999999996E-3"/>
    <s v="33.47569553173521"/>
    <s v="18.68631623644818"/>
    <s v="67.23961389552245"/>
    <s v="15.63049281880414"/>
    <n v="720507108"/>
    <x v="1"/>
    <n v="0.99876772999999996"/>
    <x v="1"/>
  </r>
  <r>
    <n v="48"/>
    <n v="0"/>
    <n v="2"/>
    <n v="2"/>
    <n v="1"/>
    <n v="1"/>
    <n v="0"/>
    <n v="42"/>
    <n v="4"/>
    <n v="3"/>
    <n v="3"/>
    <n v="4076"/>
    <n v="0"/>
    <n v="4076"/>
    <n v="0.80800000000000005"/>
    <n v="1235"/>
    <n v="37"/>
    <n v="0.68200000000000005"/>
    <n v="0"/>
    <n v="3.0250999999999998E-4"/>
    <n v="0.99970000000000003"/>
    <s v="69.94166535360937"/>
    <s v="2.8964424988982214"/>
    <s v="26.22190142476316"/>
    <n v="8.9779130553215598"/>
    <n v="793889508"/>
    <x v="0"/>
    <n v="3.6896945E-3"/>
    <x v="0"/>
  </r>
  <r>
    <n v="44"/>
    <n v="1"/>
    <n v="4"/>
    <n v="4"/>
    <n v="1"/>
    <n v="2"/>
    <n v="0"/>
    <n v="36"/>
    <n v="3"/>
    <n v="2"/>
    <n v="2"/>
    <n v="3117"/>
    <n v="1400"/>
    <n v="1717"/>
    <n v="0.91300000000000003"/>
    <n v="4391"/>
    <n v="85"/>
    <n v="0.80900000000000005"/>
    <n v="0.44900000000000001"/>
    <n v="1.4045999999999999E-4"/>
    <n v="0.99985999999999997"/>
    <s v="11.85502376680893"/>
    <s v="20.731138773643224"/>
    <s v="94.23715651899764"/>
    <s v="7.395649251458584"/>
    <n v="714290583"/>
    <x v="0"/>
    <n v="3.221314E-4"/>
    <x v="0"/>
  </r>
  <r>
    <n v="55"/>
    <n v="1"/>
    <n v="4"/>
    <n v="2"/>
    <n v="2"/>
    <n v="0"/>
    <n v="3"/>
    <n v="36"/>
    <n v="2"/>
    <n v="2"/>
    <n v="3"/>
    <n v="34516"/>
    <n v="2443"/>
    <n v="32073"/>
    <n v="0.82699999999999996"/>
    <n v="8765"/>
    <n v="105"/>
    <n v="0.72099999999999997"/>
    <n v="7.0999999999999994E-2"/>
    <n v="1.8141000000000001E-4"/>
    <n v="0.99982000000000004"/>
    <s v="13.173448135539282"/>
    <s v="14.003654187587676"/>
    <s v="23.912644879905216"/>
    <s v="5.0785654528135975"/>
    <n v="712268808"/>
    <x v="0"/>
    <n v="4.1022256E-4"/>
    <x v="0"/>
  </r>
  <r>
    <n v="50"/>
    <n v="0"/>
    <n v="1"/>
    <n v="2"/>
    <n v="3"/>
    <n v="4"/>
    <n v="0"/>
    <n v="32"/>
    <n v="6"/>
    <n v="1"/>
    <n v="3"/>
    <n v="2652"/>
    <n v="1911"/>
    <n v="741"/>
    <n v="0.83099999999999996"/>
    <n v="4816"/>
    <n v="79"/>
    <n v="0.88100000000000001"/>
    <n v="0.72099999999999997"/>
    <s v="8.6952e-05"/>
    <n v="0.99990999999999997"/>
    <s v="10.439675441849426"/>
    <n v="74.126472694378407"/>
    <s v="54.84159735569996"/>
    <s v="15.606689001870816"/>
    <n v="709054083"/>
    <x v="0"/>
    <n v="3.2101269999999999E-4"/>
    <x v="0"/>
  </r>
  <r>
    <n v="58"/>
    <n v="1"/>
    <n v="1"/>
    <n v="2"/>
    <n v="1"/>
    <n v="3"/>
    <n v="0"/>
    <n v="49"/>
    <n v="6"/>
    <n v="4"/>
    <n v="2"/>
    <n v="1654"/>
    <n v="1253"/>
    <n v="401"/>
    <n v="0.50800000000000001"/>
    <n v="1887"/>
    <n v="60"/>
    <n v="0.53800000000000003"/>
    <n v="0.75800000000000001"/>
    <n v="2.0404E-4"/>
    <n v="0.99980000000000002"/>
    <s v="40.59011051909518"/>
    <s v="54.50157170913986"/>
    <s v="60.933816100119856"/>
    <s v="5.633598864489316"/>
    <n v="718037433"/>
    <x v="0"/>
    <n v="4.2124972E-4"/>
    <x v="0"/>
  </r>
  <r>
    <n v="50"/>
    <n v="1"/>
    <n v="2"/>
    <n v="6"/>
    <n v="1"/>
    <n v="0"/>
    <n v="0"/>
    <n v="43"/>
    <n v="3"/>
    <n v="2"/>
    <n v="1"/>
    <n v="34516"/>
    <n v="1156"/>
    <n v="33360"/>
    <n v="0.63300000000000001"/>
    <n v="3974"/>
    <n v="65"/>
    <n v="0.58499999999999996"/>
    <n v="3.3000000000000002E-2"/>
    <s v="7.5449e-05"/>
    <n v="0.99992000000000003"/>
    <s v="28.71468317100568"/>
    <s v="12.054891684121856"/>
    <s v="74.60251063513783"/>
    <s v="19.809538275212567"/>
    <n v="718686558"/>
    <x v="0"/>
    <n v="3.7534805999999999E-4"/>
    <x v="0"/>
  </r>
  <r>
    <n v="61"/>
    <n v="1"/>
    <n v="0"/>
    <n v="3"/>
    <n v="2"/>
    <n v="2"/>
    <n v="0"/>
    <n v="51"/>
    <n v="4"/>
    <n v="2"/>
    <n v="2"/>
    <n v="5504"/>
    <n v="1412"/>
    <n v="4092"/>
    <n v="0.72199999999999998"/>
    <n v="1290"/>
    <n v="38"/>
    <n v="0.46200000000000002"/>
    <n v="0.25700000000000001"/>
    <s v="9.4951e-05"/>
    <n v="0.99990999999999997"/>
    <s v="16.423919947443324"/>
    <s v="9.714510073350048"/>
    <s v="27.34536057909519"/>
    <s v="10.317401490853507"/>
    <n v="778176108"/>
    <x v="0"/>
    <n v="1.1982243E-3"/>
    <x v="0"/>
  </r>
  <r>
    <n v="43"/>
    <n v="1"/>
    <n v="2"/>
    <n v="3"/>
    <n v="1"/>
    <n v="2"/>
    <n v="0"/>
    <n v="31"/>
    <n v="2"/>
    <n v="3"/>
    <n v="1"/>
    <n v="13381"/>
    <n v="1845"/>
    <n v="11536"/>
    <n v="0.88300000000000001"/>
    <n v="14532"/>
    <n v="116"/>
    <n v="0.871"/>
    <n v="0.13800000000000001"/>
    <n v="1.0545E-4"/>
    <n v="0.99988999999999995"/>
    <s v="44.574006807844974"/>
    <s v="47.264722698868745"/>
    <s v="87.95900864007106"/>
    <s v="3.769174307300472"/>
    <n v="712123008"/>
    <x v="0"/>
    <n v="3.4656386999999997E-4"/>
    <x v="0"/>
  </r>
  <r>
    <n v="44"/>
    <n v="0"/>
    <n v="2"/>
    <n v="2"/>
    <n v="1"/>
    <n v="5"/>
    <n v="0"/>
    <n v="37"/>
    <n v="6"/>
    <n v="3"/>
    <n v="2"/>
    <n v="24221"/>
    <n v="1274"/>
    <n v="22947"/>
    <n v="0.45200000000000001"/>
    <n v="3361"/>
    <n v="63"/>
    <n v="0.85299999999999998"/>
    <n v="5.2999999999999999E-2"/>
    <n v="1.7987E-4"/>
    <n v="0.99982000000000004"/>
    <s v="20.057807816112387"/>
    <s v="91.88820683921097"/>
    <s v="121.90172593540912"/>
    <s v="6.279689254223711"/>
    <n v="709028208"/>
    <x v="0"/>
    <n v="3.8724514999999998E-4"/>
    <x v="0"/>
  </r>
  <r>
    <n v="61"/>
    <n v="0"/>
    <n v="0"/>
    <n v="2"/>
    <n v="0"/>
    <n v="4"/>
    <n v="0"/>
    <n v="36"/>
    <n v="2"/>
    <n v="3"/>
    <n v="3"/>
    <n v="2125"/>
    <n v="0"/>
    <n v="2125"/>
    <n v="0.65400000000000003"/>
    <n v="2860"/>
    <n v="38"/>
    <n v="0.72699999999999998"/>
    <n v="0"/>
    <n v="0.99616000000000005"/>
    <n v="3.8363E-3"/>
    <s v="11.595490413551918"/>
    <s v="36.466415135533616"/>
    <s v="12.411274621902871"/>
    <s v="22.870884115128995"/>
    <n v="711843708"/>
    <x v="1"/>
    <n v="0.99846089999999998"/>
    <x v="1"/>
  </r>
  <r>
    <n v="26"/>
    <n v="1"/>
    <n v="0"/>
    <n v="0"/>
    <n v="2"/>
    <n v="4"/>
    <n v="0"/>
    <n v="36"/>
    <n v="4"/>
    <n v="1"/>
    <n v="3"/>
    <n v="1438.3"/>
    <n v="479"/>
    <n v="959.3"/>
    <n v="0.55300000000000005"/>
    <n v="1786"/>
    <n v="37"/>
    <n v="0.37"/>
    <n v="0.33300000000000002"/>
    <s v="7.7286e-05"/>
    <n v="0.99992000000000003"/>
    <s v="6.817435705634983"/>
    <s v="23.039047517979306"/>
    <s v="112.34002082017814"/>
    <s v="14.283074159070322"/>
    <n v="714495258"/>
    <x v="0"/>
    <n v="3.6944814E-3"/>
    <x v="0"/>
  </r>
  <r>
    <n v="48"/>
    <n v="1"/>
    <n v="4"/>
    <n v="2"/>
    <n v="1"/>
    <n v="3"/>
    <n v="0"/>
    <n v="40"/>
    <n v="1"/>
    <n v="1"/>
    <n v="3"/>
    <n v="28307"/>
    <n v="1506"/>
    <n v="26801"/>
    <n v="0.81799999999999995"/>
    <n v="9042"/>
    <n v="122"/>
    <n v="0.60499999999999998"/>
    <n v="5.2999999999999999E-2"/>
    <s v="9.7154e-05"/>
    <n v="0.99990000000000001"/>
    <s v="11.101614563590145"/>
    <s v="21.64300145997987"/>
    <s v="69.08023523002178"/>
    <s v="27.754731741445084"/>
    <n v="716806383"/>
    <x v="0"/>
    <n v="4.2060707000000003E-4"/>
    <x v="0"/>
  </r>
  <r>
    <n v="56"/>
    <n v="0"/>
    <n v="1"/>
    <n v="2"/>
    <n v="2"/>
    <n v="4"/>
    <n v="0"/>
    <n v="38"/>
    <n v="4"/>
    <n v="1"/>
    <n v="3"/>
    <n v="1737"/>
    <n v="0"/>
    <n v="1737"/>
    <n v="0.95299999999999996"/>
    <n v="4723"/>
    <n v="78"/>
    <n v="0.625"/>
    <n v="0"/>
    <s v="8.6952e-05"/>
    <n v="0.99990999999999997"/>
    <s v="23.62872859711872"/>
    <s v="46.59010787964403"/>
    <s v="101.88635380320451"/>
    <s v="21.914666827637703"/>
    <n v="709080783"/>
    <x v="0"/>
    <n v="7.3101480000000005E-4"/>
    <x v="0"/>
  </r>
  <r>
    <n v="57"/>
    <n v="0"/>
    <n v="1"/>
    <n v="3"/>
    <n v="1"/>
    <n v="5"/>
    <n v="0"/>
    <n v="36"/>
    <n v="5"/>
    <n v="2"/>
    <n v="3"/>
    <n v="1734"/>
    <n v="980"/>
    <n v="754"/>
    <n v="0.63900000000000001"/>
    <n v="4313"/>
    <n v="92"/>
    <n v="0.91700000000000004"/>
    <n v="0.56499999999999995"/>
    <n v="1.7468E-4"/>
    <n v="0.99983"/>
    <s v="17.64602815457975"/>
    <s v="5.2850506509129485"/>
    <s v="44.681644252468224"/>
    <n v="6.0489801907518501"/>
    <n v="715047333"/>
    <x v="0"/>
    <n v="3.8272605000000003E-4"/>
    <x v="0"/>
  </r>
  <r>
    <n v="42"/>
    <n v="1"/>
    <n v="4"/>
    <n v="5"/>
    <n v="0"/>
    <n v="2"/>
    <n v="0"/>
    <n v="32"/>
    <n v="4"/>
    <n v="1"/>
    <n v="2"/>
    <n v="5504"/>
    <n v="0"/>
    <n v="5504"/>
    <n v="0.62"/>
    <n v="1364"/>
    <n v="32"/>
    <n v="0.68400000000000005"/>
    <n v="0"/>
    <s v="5.9391e-05"/>
    <n v="0.99994000000000005"/>
    <s v="10.038406931028828"/>
    <s v="22.14698610791053"/>
    <s v="40.59440475975332"/>
    <n v="9.6791131203457503"/>
    <n v="718426533"/>
    <x v="0"/>
    <n v="3.6896945E-3"/>
    <x v="0"/>
  </r>
  <r>
    <n v="42"/>
    <n v="1"/>
    <n v="5"/>
    <n v="6"/>
    <n v="1"/>
    <n v="2"/>
    <n v="0"/>
    <n v="36"/>
    <n v="2"/>
    <n v="3"/>
    <n v="2"/>
    <n v="4963"/>
    <n v="0"/>
    <n v="4963"/>
    <n v="0.63700000000000001"/>
    <n v="2335"/>
    <n v="40"/>
    <n v="0.42899999999999999"/>
    <n v="0"/>
    <n v="0.99512999999999996"/>
    <n v="4.8742799999999999E-3"/>
    <s v="10.66424157078079"/>
    <s v="31.77685601427737"/>
    <s v="101.87535806257353"/>
    <s v="21.414329622619043"/>
    <n v="710552733"/>
    <x v="1"/>
    <n v="0.99876772999999996"/>
    <x v="1"/>
  </r>
  <r>
    <n v="37"/>
    <n v="1"/>
    <n v="3"/>
    <n v="2"/>
    <n v="1"/>
    <n v="3"/>
    <n v="0"/>
    <n v="20"/>
    <n v="3"/>
    <n v="3"/>
    <n v="3"/>
    <n v="8260"/>
    <n v="2077"/>
    <n v="6183"/>
    <n v="1.167"/>
    <n v="2323"/>
    <n v="47"/>
    <n v="0.621"/>
    <n v="0.251"/>
    <n v="3.1389999999999999E-4"/>
    <n v="0.99968999999999997"/>
    <s v="58.26290947765609"/>
    <s v="40.86062947958522"/>
    <s v="50.50782322669929"/>
    <s v="4.951257053828479"/>
    <n v="779653458"/>
    <x v="0"/>
    <n v="1.1578115999999999E-3"/>
    <x v="0"/>
  </r>
  <r>
    <n v="45"/>
    <n v="1"/>
    <n v="3"/>
    <n v="2"/>
    <n v="3"/>
    <n v="3"/>
    <n v="0"/>
    <n v="34"/>
    <n v="6"/>
    <n v="6"/>
    <n v="3"/>
    <n v="2210"/>
    <n v="759"/>
    <n v="1451"/>
    <n v="0.89200000000000002"/>
    <n v="2755"/>
    <n v="53"/>
    <n v="0.55900000000000005"/>
    <n v="0.34300000000000003"/>
    <n v="2.4781E-4"/>
    <n v="0.99975000000000003"/>
    <s v="29.46076797932253"/>
    <s v="11.20453313680961"/>
    <s v="13.45555229407074"/>
    <s v="1.555465659057666"/>
    <n v="772148058"/>
    <x v="0"/>
    <n v="1.4967324999999999E-3"/>
    <x v="0"/>
  </r>
  <r>
    <n v="44"/>
    <n v="0"/>
    <n v="5"/>
    <n v="3"/>
    <n v="3"/>
    <n v="5"/>
    <n v="0"/>
    <n v="33"/>
    <n v="4"/>
    <n v="3"/>
    <n v="2"/>
    <n v="13349"/>
    <n v="0"/>
    <n v="13349"/>
    <n v="0.88200000000000001"/>
    <n v="3534"/>
    <n v="78"/>
    <n v="0.90200000000000002"/>
    <n v="0"/>
    <n v="1.8053000000000001E-4"/>
    <n v="0.99982000000000004"/>
    <s v="6.8760243662546845"/>
    <s v="15.128880897058874"/>
    <s v="32.26169445119747"/>
    <s v="13.03747041422885"/>
    <n v="772103208"/>
    <x v="0"/>
    <n v="7.1049936000000004E-4"/>
    <x v="0"/>
  </r>
  <r>
    <n v="49"/>
    <n v="0"/>
    <n v="4"/>
    <n v="2"/>
    <n v="3"/>
    <n v="1"/>
    <n v="0"/>
    <n v="35"/>
    <n v="3"/>
    <n v="3"/>
    <n v="2"/>
    <n v="2631"/>
    <n v="1699"/>
    <n v="932"/>
    <n v="0.66800000000000004"/>
    <n v="4691"/>
    <n v="92"/>
    <n v="0.70399999999999996"/>
    <n v="0.64600000000000002"/>
    <n v="1.8864000000000001E-4"/>
    <n v="0.99980999999999998"/>
    <s v="12.209226539603447"/>
    <s v="23.62988821167126"/>
    <s v="31.873706540519617"/>
    <s v="22.839192962615737"/>
    <n v="770740308"/>
    <x v="0"/>
    <n v="3.2101269999999999E-4"/>
    <x v="0"/>
  </r>
  <r>
    <n v="37"/>
    <n v="0"/>
    <n v="4"/>
    <n v="2"/>
    <n v="2"/>
    <n v="5"/>
    <n v="0"/>
    <n v="31"/>
    <n v="3"/>
    <n v="3"/>
    <n v="2"/>
    <n v="1438.3"/>
    <n v="0"/>
    <n v="1438.3"/>
    <n v="0.91900000000000004"/>
    <n v="5001"/>
    <n v="91"/>
    <n v="0.625"/>
    <n v="0"/>
    <n v="1.8864000000000001E-4"/>
    <n v="0.99980999999999998"/>
    <s v="13.765125865862416"/>
    <s v="37.45693061230476"/>
    <s v="35.52067354111128"/>
    <s v="8.696817205354384"/>
    <n v="770180808"/>
    <x v="0"/>
    <n v="7.3101480000000005E-4"/>
    <x v="0"/>
  </r>
  <r>
    <n v="57"/>
    <n v="0"/>
    <n v="2"/>
    <n v="6"/>
    <n v="0"/>
    <n v="1"/>
    <n v="0"/>
    <n v="36"/>
    <n v="5"/>
    <n v="2"/>
    <n v="2"/>
    <n v="3251"/>
    <n v="1887"/>
    <n v="1364"/>
    <n v="1.0069999999999999"/>
    <n v="3228"/>
    <n v="67"/>
    <n v="0.76300000000000001"/>
    <n v="0.57999999999999996"/>
    <n v="1.2511E-4"/>
    <n v="0.99987000000000004"/>
    <s v="22.36222777826868"/>
    <s v="88.05141364779092"/>
    <s v="17.11170919428039"/>
    <s v="3.768046126147879"/>
    <n v="717940008"/>
    <x v="0"/>
    <n v="3.221314E-4"/>
    <x v="0"/>
  </r>
  <r>
    <n v="53"/>
    <n v="0"/>
    <n v="2"/>
    <n v="2"/>
    <n v="2"/>
    <n v="4"/>
    <n v="0"/>
    <n v="48"/>
    <n v="3"/>
    <n v="2"/>
    <n v="2"/>
    <n v="3685"/>
    <n v="0"/>
    <n v="3685"/>
    <n v="0.76200000000000001"/>
    <n v="4012"/>
    <n v="59"/>
    <n v="0.63900000000000001"/>
    <n v="0"/>
    <n v="1.1382E-4"/>
    <n v="0.99988999999999995"/>
    <s v="46.40334252538807"/>
    <s v="41.18198122126525"/>
    <s v="20.67475158425942"/>
    <s v="11.591206580553132"/>
    <n v="820920408"/>
    <x v="0"/>
    <n v="9.7630294999999996E-4"/>
    <x v="0"/>
  </r>
  <r>
    <n v="65"/>
    <n v="1"/>
    <n v="0"/>
    <n v="2"/>
    <n v="2"/>
    <n v="1"/>
    <n v="0"/>
    <n v="49"/>
    <n v="3"/>
    <n v="2"/>
    <n v="3"/>
    <n v="13921"/>
    <n v="1201"/>
    <n v="12720"/>
    <n v="0.55600000000000005"/>
    <n v="4351"/>
    <n v="75"/>
    <n v="0.92300000000000004"/>
    <n v="8.5999999999999993E-2"/>
    <n v="1.6427999999999999E-4"/>
    <n v="0.99983999999999995"/>
    <s v="9.309677316762562"/>
    <s v="15.655064928639632"/>
    <s v="17.738787574512784"/>
    <s v="6.3396851277637465"/>
    <n v="712309758"/>
    <x v="0"/>
    <n v="3.3022385E-4"/>
    <x v="0"/>
  </r>
  <r>
    <n v="53"/>
    <n v="0"/>
    <n v="2"/>
    <n v="3"/>
    <n v="2"/>
    <n v="4"/>
    <n v="0"/>
    <n v="49"/>
    <n v="1"/>
    <n v="2"/>
    <n v="3"/>
    <n v="9678"/>
    <n v="1710"/>
    <n v="7968"/>
    <n v="0.745"/>
    <n v="7682"/>
    <n v="90"/>
    <n v="0.57899999999999996"/>
    <n v="0.17699999999999999"/>
    <n v="1.861E-4"/>
    <n v="0.99980999999999998"/>
    <s v="19.13905661722381"/>
    <n v="2.8179348068671599"/>
    <s v="82.86522993446535"/>
    <n v="2.9504032725106901"/>
    <n v="824177733"/>
    <x v="0"/>
    <n v="3.7789578000000003E-4"/>
    <x v="0"/>
  </r>
  <r>
    <n v="48"/>
    <n v="1"/>
    <n v="5"/>
    <n v="3"/>
    <n v="1"/>
    <n v="1"/>
    <n v="3"/>
    <n v="34"/>
    <n v="5"/>
    <n v="0"/>
    <n v="2"/>
    <n v="17657"/>
    <n v="2018"/>
    <n v="15639"/>
    <n v="0.55000000000000004"/>
    <n v="1682"/>
    <n v="39"/>
    <n v="0.95"/>
    <n v="0.114"/>
    <s v="1.8481e-05"/>
    <n v="0.99997999999999998"/>
    <s v="20.40508622053866"/>
    <s v="16.936405495666445"/>
    <s v="35.78162574643345"/>
    <s v="12.17943723506773"/>
    <n v="721084833"/>
    <x v="0"/>
    <n v="9.8706899999999992E-4"/>
    <x v="0"/>
  </r>
  <r>
    <n v="57"/>
    <n v="1"/>
    <n v="0"/>
    <n v="5"/>
    <n v="1"/>
    <n v="1"/>
    <n v="0"/>
    <n v="45"/>
    <n v="6"/>
    <n v="2"/>
    <n v="2"/>
    <n v="2601"/>
    <n v="0"/>
    <n v="2601"/>
    <n v="0.81399999999999995"/>
    <n v="1232"/>
    <n v="32"/>
    <n v="0.68400000000000005"/>
    <n v="0"/>
    <n v="1.0043E-4"/>
    <n v="0.99990000000000001"/>
    <n v="0.82532559708967301"/>
    <s v="2.141417592427012"/>
    <s v="76.64900415907229"/>
    <s v="6.605831644313705"/>
    <n v="720615708"/>
    <x v="0"/>
    <n v="3.6896945E-3"/>
    <x v="0"/>
  </r>
  <r>
    <n v="42"/>
    <n v="1"/>
    <n v="3"/>
    <n v="2"/>
    <n v="1"/>
    <n v="3"/>
    <n v="0"/>
    <n v="36"/>
    <n v="1"/>
    <n v="1"/>
    <n v="2"/>
    <n v="30117"/>
    <n v="2129"/>
    <n v="27988"/>
    <n v="0.76900000000000002"/>
    <n v="7930"/>
    <n v="91"/>
    <n v="0.54200000000000004"/>
    <n v="7.0999999999999994E-2"/>
    <s v="5.7151e-05"/>
    <n v="0.99994000000000005"/>
    <s v="6.980381232121541"/>
    <s v="46.99227393494791"/>
    <s v="2.359990720453265"/>
    <s v="4.5574283468911325"/>
    <n v="801064833"/>
    <x v="0"/>
    <n v="4.2060707000000003E-4"/>
    <x v="0"/>
  </r>
  <r>
    <n v="54"/>
    <n v="0"/>
    <n v="2"/>
    <n v="2"/>
    <n v="1"/>
    <n v="1"/>
    <n v="0"/>
    <n v="44"/>
    <n v="3"/>
    <n v="4"/>
    <n v="2"/>
    <n v="1606"/>
    <n v="0"/>
    <n v="1606"/>
    <n v="0.76300000000000001"/>
    <n v="2258"/>
    <n v="37"/>
    <n v="0.60899999999999999"/>
    <n v="0"/>
    <n v="0.99541999999999997"/>
    <n v="4.5782599999999998E-3"/>
    <s v="4.207269239948493"/>
    <s v="2.350288198780781"/>
    <s v="105.03724692037756"/>
    <s v="34.91817426055453"/>
    <n v="717725433"/>
    <x v="1"/>
    <n v="0.99854653999999998"/>
    <x v="1"/>
  </r>
  <r>
    <n v="54"/>
    <n v="1"/>
    <n v="3"/>
    <n v="1"/>
    <n v="2"/>
    <n v="2"/>
    <n v="0"/>
    <n v="41"/>
    <n v="4"/>
    <n v="2"/>
    <n v="3"/>
    <n v="9110"/>
    <n v="0"/>
    <n v="9110"/>
    <n v="0.66200000000000003"/>
    <n v="2999"/>
    <n v="75"/>
    <n v="0.78600000000000003"/>
    <n v="0"/>
    <n v="2.8744000000000003E-4"/>
    <n v="0.99970999999999999"/>
    <s v="3.1362477453025024"/>
    <s v="9.548459754362463"/>
    <s v="36.78378707877915"/>
    <s v="12.249622624451597"/>
    <n v="711175083"/>
    <x v="0"/>
    <n v="8.1003835999999998E-4"/>
    <x v="0"/>
  </r>
  <r>
    <n v="37"/>
    <n v="0"/>
    <n v="1"/>
    <n v="2"/>
    <n v="2"/>
    <n v="4"/>
    <n v="0"/>
    <n v="36"/>
    <n v="3"/>
    <n v="3"/>
    <n v="3"/>
    <n v="2684"/>
    <n v="0"/>
    <n v="2684"/>
    <n v="0.66"/>
    <n v="4796"/>
    <n v="85"/>
    <n v="0.63500000000000001"/>
    <n v="0"/>
    <n v="2.8394999999999999E-4"/>
    <n v="0.99972000000000005"/>
    <s v="58.81192025951646"/>
    <s v="39.007847645954165"/>
    <s v="42.441679340000334"/>
    <s v="0.4906735776017789"/>
    <n v="715372083"/>
    <x v="0"/>
    <n v="7.1276520000000004E-4"/>
    <x v="0"/>
  </r>
  <r>
    <n v="43"/>
    <n v="1"/>
    <n v="2"/>
    <n v="2"/>
    <n v="1"/>
    <n v="3"/>
    <n v="0"/>
    <n v="33"/>
    <n v="5"/>
    <n v="3"/>
    <n v="3"/>
    <n v="2111"/>
    <n v="1761"/>
    <n v="350"/>
    <n v="0.753"/>
    <n v="2112"/>
    <n v="46"/>
    <n v="0.76900000000000002"/>
    <n v="0.83399999999999996"/>
    <n v="0.99670999999999998"/>
    <n v="3.29379E-3"/>
    <s v="7.444418742919752"/>
    <n v="34.245769247901301"/>
    <s v="18.18504565407388"/>
    <s v="17.82603642733631"/>
    <n v="715701033"/>
    <x v="1"/>
    <n v="0.99505460000000001"/>
    <x v="1"/>
  </r>
  <r>
    <n v="31"/>
    <n v="0"/>
    <n v="1"/>
    <n v="2"/>
    <n v="0"/>
    <n v="5"/>
    <n v="0"/>
    <n v="22"/>
    <n v="2"/>
    <n v="2"/>
    <n v="3"/>
    <n v="1623"/>
    <n v="0"/>
    <n v="1623"/>
    <n v="0.501"/>
    <n v="2126"/>
    <n v="45"/>
    <n v="0.36399999999999999"/>
    <n v="0"/>
    <n v="0.99446999999999997"/>
    <n v="5.5300000000000002E-3"/>
    <s v="33.68474778474022"/>
    <n v="81.390057574487102"/>
    <s v="81.67005161440818"/>
    <s v="23.161118945963505"/>
    <n v="713677158"/>
    <x v="1"/>
    <n v="0.99876772999999996"/>
    <x v="1"/>
  </r>
  <r>
    <n v="56"/>
    <n v="0"/>
    <n v="0"/>
    <n v="6"/>
    <n v="1"/>
    <n v="4"/>
    <n v="0"/>
    <n v="45"/>
    <n v="5"/>
    <n v="1"/>
    <n v="1"/>
    <n v="1737"/>
    <n v="0"/>
    <n v="1737"/>
    <n v="0.65300000000000002"/>
    <n v="4611"/>
    <n v="73"/>
    <n v="0.97299999999999998"/>
    <n v="0"/>
    <s v="3.1329e-05"/>
    <n v="0.99997000000000003"/>
    <n v="26.738991314757801"/>
    <s v="31.16299157665522"/>
    <n v="9.4620040128532192"/>
    <s v="5.845892753416923"/>
    <n v="779403558"/>
    <x v="0"/>
    <n v="6.9517245999999998E-4"/>
    <x v="0"/>
  </r>
  <r>
    <n v="63"/>
    <n v="1"/>
    <n v="0"/>
    <n v="1"/>
    <n v="2"/>
    <n v="5"/>
    <n v="0"/>
    <n v="47"/>
    <n v="6"/>
    <n v="4"/>
    <n v="3"/>
    <n v="7306"/>
    <n v="0"/>
    <n v="7306"/>
    <n v="0.875"/>
    <n v="2445"/>
    <n v="43"/>
    <n v="0.59299999999999997"/>
    <n v="0"/>
    <n v="0.99780000000000002"/>
    <n v="2.1970800000000001E-3"/>
    <s v="7.4653248591788595"/>
    <s v="49.35894256710503"/>
    <s v="94.60243384192292"/>
    <s v="13.321114194438676"/>
    <n v="817332483"/>
    <x v="1"/>
    <n v="0.99873226999999998"/>
    <x v="1"/>
  </r>
  <r>
    <n v="59"/>
    <n v="0"/>
    <n v="0"/>
    <n v="2"/>
    <n v="2"/>
    <n v="1"/>
    <n v="3"/>
    <n v="45"/>
    <n v="6"/>
    <n v="3"/>
    <n v="3"/>
    <n v="21358"/>
    <n v="1225"/>
    <n v="20133"/>
    <n v="0.68100000000000005"/>
    <n v="3646"/>
    <n v="77"/>
    <n v="0.75"/>
    <n v="5.7000000000000002E-2"/>
    <n v="2.3457E-4"/>
    <n v="0.99977000000000005"/>
    <s v="21.65380692636446"/>
    <n v="30.785868607380799"/>
    <s v="144.45276633871725"/>
    <s v="0.5578432931175676"/>
    <n v="718354683"/>
    <x v="0"/>
    <n v="3.5729867999999997E-4"/>
    <x v="0"/>
  </r>
  <r>
    <n v="38"/>
    <n v="1"/>
    <n v="1"/>
    <n v="2"/>
    <n v="1"/>
    <n v="3"/>
    <n v="0"/>
    <n v="28"/>
    <n v="3"/>
    <n v="2"/>
    <n v="3"/>
    <n v="3946"/>
    <n v="2375"/>
    <n v="1571"/>
    <n v="0.92100000000000004"/>
    <n v="1646"/>
    <n v="43"/>
    <n v="0.53600000000000003"/>
    <n v="0.60199999999999998"/>
    <n v="1.7969000000000001E-4"/>
    <n v="0.99982000000000004"/>
    <s v="58.27993720598672"/>
    <s v="30.560812526873622"/>
    <s v="38.29382451455982"/>
    <s v="7.508594270659856"/>
    <n v="713910108"/>
    <x v="0"/>
    <n v="1.1876227E-3"/>
    <x v="0"/>
  </r>
  <r>
    <n v="38"/>
    <n v="0"/>
    <n v="2"/>
    <n v="0"/>
    <n v="2"/>
    <n v="4"/>
    <n v="0"/>
    <n v="21"/>
    <n v="4"/>
    <n v="1"/>
    <n v="2"/>
    <n v="6899"/>
    <n v="0"/>
    <n v="6899"/>
    <n v="0.77100000000000002"/>
    <n v="3848"/>
    <n v="71"/>
    <n v="0.69"/>
    <n v="0"/>
    <s v="5.3547e-05"/>
    <n v="0.99995000000000001"/>
    <s v="29.060379938807696"/>
    <s v="13.25316039686844"/>
    <s v="27.64482258367996"/>
    <s v="6.489269569483931"/>
    <n v="718834233"/>
    <x v="0"/>
    <n v="7.4965424999999997E-4"/>
    <x v="0"/>
  </r>
  <r>
    <n v="40"/>
    <n v="1"/>
    <n v="3"/>
    <n v="2"/>
    <n v="0"/>
    <n v="3"/>
    <n v="0"/>
    <n v="22"/>
    <n v="2"/>
    <n v="2"/>
    <n v="3"/>
    <n v="1925"/>
    <n v="0"/>
    <n v="1925"/>
    <n v="0.67200000000000004"/>
    <n v="781"/>
    <n v="28"/>
    <n v="0.75"/>
    <n v="0"/>
    <n v="0.99499000000000004"/>
    <n v="5.0099999999999997E-3"/>
    <s v="3.242291057534992"/>
    <s v="12.810862410770014"/>
    <s v="41.44773160852438"/>
    <s v="10.805565613413838"/>
    <n v="778929783"/>
    <x v="1"/>
    <n v="0.9985233"/>
    <x v="1"/>
  </r>
  <r>
    <n v="41"/>
    <n v="1"/>
    <n v="5"/>
    <n v="5"/>
    <n v="2"/>
    <n v="3"/>
    <n v="0"/>
    <n v="32"/>
    <n v="4"/>
    <n v="3"/>
    <n v="3"/>
    <n v="12094"/>
    <n v="0"/>
    <n v="12094"/>
    <n v="0.995"/>
    <n v="8607"/>
    <n v="90"/>
    <n v="0.95699999999999996"/>
    <n v="0"/>
    <n v="0.99690000000000001"/>
    <n v="3.10348E-3"/>
    <s v="25.902107307123863"/>
    <s v="33.93373853914927"/>
    <s v="52.85666765814005"/>
    <n v="8.9152329630058507"/>
    <n v="709075533"/>
    <x v="1"/>
    <n v="0.99255353000000002"/>
    <x v="1"/>
  </r>
  <r>
    <n v="46"/>
    <n v="1"/>
    <n v="2"/>
    <n v="3"/>
    <n v="2"/>
    <n v="1"/>
    <n v="0"/>
    <n v="41"/>
    <n v="3"/>
    <n v="3"/>
    <n v="2"/>
    <n v="3150"/>
    <n v="1543"/>
    <n v="1607"/>
    <n v="0.998"/>
    <n v="3432"/>
    <n v="71"/>
    <n v="0.97199999999999998"/>
    <n v="0.49"/>
    <n v="1.7485999999999999E-4"/>
    <n v="0.99983"/>
    <s v="22.67886876989532"/>
    <s v="9.210843916144883"/>
    <s v="53.65519384307529"/>
    <s v="12.56269083310456"/>
    <n v="819977058"/>
    <x v="0"/>
    <n v="3.221314E-4"/>
    <x v="0"/>
  </r>
  <r>
    <n v="45"/>
    <n v="1"/>
    <n v="2"/>
    <n v="2"/>
    <n v="0"/>
    <n v="1"/>
    <n v="0"/>
    <n v="36"/>
    <n v="2"/>
    <n v="2"/>
    <n v="4"/>
    <n v="9569"/>
    <n v="0"/>
    <n v="9569"/>
    <n v="0.59799999999999998"/>
    <n v="1724"/>
    <n v="35"/>
    <n v="0.25"/>
    <n v="0"/>
    <n v="0.99695"/>
    <n v="3.0518899999999998E-3"/>
    <s v="7.234002685856378"/>
    <s v="17.44722882597895"/>
    <s v="99.87977936228096"/>
    <s v="12.27891409241283"/>
    <n v="789964983"/>
    <x v="1"/>
    <n v="0.99830662999999997"/>
    <x v="1"/>
  </r>
  <r>
    <n v="45"/>
    <n v="0"/>
    <n v="1"/>
    <n v="6"/>
    <n v="2"/>
    <n v="4"/>
    <n v="0"/>
    <n v="36"/>
    <n v="3"/>
    <n v="4"/>
    <n v="1"/>
    <n v="2632"/>
    <n v="1480"/>
    <n v="1152"/>
    <n v="0.58799999999999997"/>
    <n v="4787"/>
    <n v="89"/>
    <n v="0.67900000000000005"/>
    <n v="0.56200000000000006"/>
    <n v="1.3526E-4"/>
    <n v="0.99985999999999997"/>
    <s v="20.920342219781578"/>
    <n v="38.770780250342703"/>
    <s v="60.31352093002305"/>
    <s v="13.912929178425491"/>
    <n v="772846383"/>
    <x v="0"/>
    <n v="3.2101269999999999E-4"/>
    <x v="0"/>
  </r>
  <r>
    <n v="41"/>
    <n v="1"/>
    <n v="0"/>
    <n v="3"/>
    <n v="3"/>
    <n v="0"/>
    <n v="0"/>
    <n v="36"/>
    <n v="3"/>
    <n v="2"/>
    <n v="3"/>
    <n v="18214"/>
    <n v="1998"/>
    <n v="16216"/>
    <n v="0.82899999999999996"/>
    <n v="1344"/>
    <n v="21"/>
    <n v="1.1000000000000001"/>
    <n v="0.11"/>
    <n v="1.5970000000000001E-4"/>
    <n v="0.99983999999999995"/>
    <s v="9.540660872255923"/>
    <s v="15.715118388659684"/>
    <s v="104.13315098570742"/>
    <s v="6.595929883581212"/>
    <n v="715872333"/>
    <x v="0"/>
    <n v="1.0249399E-3"/>
    <x v="0"/>
  </r>
  <r>
    <n v="51"/>
    <n v="1"/>
    <n v="1"/>
    <n v="6"/>
    <n v="2"/>
    <n v="3"/>
    <n v="0"/>
    <n v="41"/>
    <n v="6"/>
    <n v="2"/>
    <n v="2"/>
    <n v="18749"/>
    <n v="1314"/>
    <n v="17435"/>
    <n v="0.71099999999999997"/>
    <n v="1381"/>
    <n v="33"/>
    <n v="0.435"/>
    <n v="7.0000000000000007E-2"/>
    <n v="1.1743000000000001E-4"/>
    <n v="0.99987999999999999"/>
    <s v="28.92666095583273"/>
    <s v="53.31433681446204"/>
    <s v="15.939808729382507"/>
    <s v="26.638689767825603"/>
    <n v="713908683"/>
    <x v="0"/>
    <n v="1.3335287000000001E-3"/>
    <x v="0"/>
  </r>
  <r>
    <n v="37"/>
    <n v="1"/>
    <n v="3"/>
    <n v="1"/>
    <n v="2"/>
    <n v="2"/>
    <n v="0"/>
    <n v="30"/>
    <n v="6"/>
    <n v="1"/>
    <n v="3"/>
    <n v="5924"/>
    <n v="1023"/>
    <n v="4901"/>
    <n v="0.76500000000000001"/>
    <n v="3305"/>
    <n v="80"/>
    <n v="0.77800000000000002"/>
    <n v="0.17299999999999999"/>
    <n v="1.3909999999999999E-4"/>
    <n v="0.99985999999999997"/>
    <s v="49.89226041182815"/>
    <s v="65.84365842942098"/>
    <s v="66.41132716686947"/>
    <s v="7.636064566004638"/>
    <n v="790102008"/>
    <x v="0"/>
    <n v="3.2101269999999999E-4"/>
    <x v="0"/>
  </r>
  <r>
    <n v="62"/>
    <n v="0"/>
    <n v="1"/>
    <n v="5"/>
    <n v="1"/>
    <n v="4"/>
    <n v="0"/>
    <n v="49"/>
    <n v="5"/>
    <n v="4"/>
    <n v="2"/>
    <n v="2658"/>
    <n v="1158"/>
    <n v="1500"/>
    <n v="0.47599999999999998"/>
    <n v="1809"/>
    <n v="41"/>
    <n v="0.46400000000000002"/>
    <n v="0.436"/>
    <n v="2.0979000000000001E-4"/>
    <n v="0.99978999999999996"/>
    <s v="2.6716326502266527"/>
    <s v="1.4721230575664217"/>
    <n v="82.792215577428706"/>
    <s v="2.5127949466657595"/>
    <n v="788971308"/>
    <x v="0"/>
    <n v="1.1982243E-3"/>
    <x v="0"/>
  </r>
  <r>
    <n v="57"/>
    <n v="0"/>
    <n v="1"/>
    <n v="2"/>
    <n v="1"/>
    <n v="4"/>
    <n v="0"/>
    <n v="52"/>
    <n v="5"/>
    <n v="1"/>
    <n v="2"/>
    <n v="7882"/>
    <n v="1101"/>
    <n v="6781"/>
    <n v="0.68200000000000005"/>
    <n v="14651"/>
    <n v="120"/>
    <n v="0.6"/>
    <n v="0.14000000000000001"/>
    <s v="5.1697e-05"/>
    <n v="0.99995000000000001"/>
    <s v="25.79680017281768"/>
    <s v="53.844439580626776"/>
    <s v="48.663302360920255"/>
    <n v="20.515436719686999"/>
    <n v="804431283"/>
    <x v="0"/>
    <n v="3.5533762999999998E-4"/>
    <x v="0"/>
  </r>
  <r>
    <n v="41"/>
    <n v="1"/>
    <n v="4"/>
    <n v="0"/>
    <n v="1"/>
    <n v="3"/>
    <n v="3"/>
    <n v="34"/>
    <n v="4"/>
    <n v="3"/>
    <n v="3"/>
    <n v="34516"/>
    <n v="1347"/>
    <n v="33169"/>
    <n v="0.80100000000000005"/>
    <n v="1005"/>
    <n v="22"/>
    <n v="1"/>
    <n v="3.9E-2"/>
    <n v="2.7870999999999999E-4"/>
    <n v="0.99972000000000005"/>
    <s v="29.839629697012157"/>
    <s v="36.95717636089484"/>
    <s v="23.253918438963712"/>
    <s v="0.9390820393859348"/>
    <n v="752666508"/>
    <x v="0"/>
    <n v="1.1872624E-3"/>
    <x v="0"/>
  </r>
  <r>
    <n v="31"/>
    <n v="0"/>
    <n v="0"/>
    <n v="0"/>
    <n v="1"/>
    <n v="4"/>
    <n v="0"/>
    <n v="21"/>
    <n v="5"/>
    <n v="2"/>
    <n v="2"/>
    <n v="1677"/>
    <n v="0"/>
    <n v="1677"/>
    <n v="1.369"/>
    <n v="3059"/>
    <n v="50"/>
    <n v="0.61299999999999999"/>
    <n v="0"/>
    <s v="9.496e-05"/>
    <n v="0.99990999999999997"/>
    <s v="57.96962020309397"/>
    <s v="8.980085788520551"/>
    <s v="16.20874124568338"/>
    <s v="7.189917673252216"/>
    <n v="715424283"/>
    <x v="0"/>
    <n v="2.6625189999999999E-3"/>
    <x v="0"/>
  </r>
  <r>
    <n v="50"/>
    <n v="0"/>
    <n v="1"/>
    <n v="4"/>
    <n v="2"/>
    <n v="1"/>
    <n v="0"/>
    <n v="38"/>
    <n v="3"/>
    <n v="1"/>
    <n v="4"/>
    <n v="4182"/>
    <n v="0"/>
    <n v="4182"/>
    <n v="0.85299999999999998"/>
    <n v="4693"/>
    <n v="82"/>
    <n v="0.60799999999999998"/>
    <n v="0"/>
    <n v="1.7454999999999999E-4"/>
    <n v="0.99983"/>
    <s v="15.10119423373134"/>
    <s v="13.19460339352928"/>
    <s v="52.93386076737318"/>
    <s v="10.465296082659096"/>
    <n v="789114408"/>
    <x v="0"/>
    <n v="7.2847964000000002E-4"/>
    <x v="0"/>
  </r>
  <r>
    <n v="49"/>
    <n v="1"/>
    <n v="3"/>
    <n v="0"/>
    <n v="2"/>
    <n v="0"/>
    <n v="0"/>
    <n v="36"/>
    <n v="5"/>
    <n v="2"/>
    <n v="4"/>
    <n v="34516"/>
    <n v="0"/>
    <n v="34516"/>
    <n v="0.64600000000000002"/>
    <n v="1793"/>
    <n v="44"/>
    <n v="0.83299999999999996"/>
    <n v="0"/>
    <n v="3.2945000000000001E-4"/>
    <n v="0.99966999999999995"/>
    <n v="54.2021649167406"/>
    <s v="0.1707619047976594"/>
    <s v="45.05944090272544"/>
    <s v="8.465991499655773"/>
    <n v="719831958"/>
    <x v="0"/>
    <n v="3.5235758E-3"/>
    <x v="0"/>
  </r>
  <r>
    <n v="45"/>
    <n v="1"/>
    <n v="1"/>
    <n v="5"/>
    <n v="0"/>
    <n v="2"/>
    <n v="0"/>
    <n v="39"/>
    <n v="4"/>
    <n v="2"/>
    <n v="0"/>
    <n v="21721"/>
    <n v="1247"/>
    <n v="20474"/>
    <n v="0.65700000000000003"/>
    <n v="3937"/>
    <n v="63"/>
    <n v="0.65800000000000003"/>
    <n v="5.7000000000000002E-2"/>
    <s v="4.0521e-05"/>
    <n v="0.99995999999999996"/>
    <n v="40.700396001333402"/>
    <s v="24.50638055195599"/>
    <s v="64.77554824861679"/>
    <n v="8.3865232917731092"/>
    <n v="784560258"/>
    <x v="0"/>
    <n v="3.8724514999999998E-4"/>
    <x v="0"/>
  </r>
  <r>
    <n v="48"/>
    <n v="1"/>
    <n v="4"/>
    <n v="2"/>
    <n v="1"/>
    <n v="3"/>
    <n v="0"/>
    <n v="41"/>
    <n v="4"/>
    <n v="2"/>
    <n v="1"/>
    <n v="14322"/>
    <n v="0"/>
    <n v="14322"/>
    <n v="0.60199999999999998"/>
    <n v="3993"/>
    <n v="75"/>
    <n v="0.53100000000000003"/>
    <n v="0"/>
    <s v="7.1987e-05"/>
    <n v="0.99992999999999999"/>
    <s v="30.240817913664515"/>
    <s v="6.155241274231564"/>
    <s v="16.281579162664656"/>
    <s v="2.5041998100876954"/>
    <n v="767354208"/>
    <x v="0"/>
    <n v="7.387203E-4"/>
    <x v="0"/>
  </r>
  <r>
    <n v="53"/>
    <n v="0"/>
    <n v="2"/>
    <n v="6"/>
    <n v="2"/>
    <n v="4"/>
    <n v="0"/>
    <n v="36"/>
    <n v="3"/>
    <n v="3"/>
    <n v="4"/>
    <n v="2575"/>
    <n v="411"/>
    <n v="2164"/>
    <n v="0.83299999999999996"/>
    <n v="2423"/>
    <n v="43"/>
    <n v="0.59299999999999997"/>
    <n v="0.16"/>
    <n v="0.99824000000000002"/>
    <n v="1.7590699999999999E-3"/>
    <s v="13.751534177640847"/>
    <s v="26.214818678439546"/>
    <s v="27.017388442823805"/>
    <s v="3.4276915942370536"/>
    <n v="715194183"/>
    <x v="1"/>
    <n v="0.99814594000000001"/>
    <x v="1"/>
  </r>
  <r>
    <n v="35"/>
    <n v="0"/>
    <n v="2"/>
    <n v="5"/>
    <n v="1"/>
    <n v="4"/>
    <n v="0"/>
    <n v="36"/>
    <n v="3"/>
    <n v="1"/>
    <n v="3"/>
    <n v="2664"/>
    <n v="0"/>
    <n v="2664"/>
    <n v="1.071"/>
    <n v="3135"/>
    <n v="59"/>
    <n v="0.90300000000000002"/>
    <n v="0"/>
    <s v="9.5249e-05"/>
    <n v="0.99990000000000001"/>
    <s v="37.36086874196607"/>
    <n v="62.7303902735786"/>
    <s v="79.13043195958382"/>
    <s v="30.764717464036195"/>
    <n v="719026383"/>
    <x v="0"/>
    <n v="9.7372004999999998E-4"/>
    <x v="0"/>
  </r>
  <r>
    <n v="49"/>
    <n v="0"/>
    <n v="3"/>
    <n v="5"/>
    <n v="0"/>
    <n v="1"/>
    <n v="0"/>
    <n v="36"/>
    <n v="5"/>
    <n v="1"/>
    <n v="2"/>
    <n v="5238"/>
    <n v="1365"/>
    <n v="3873"/>
    <n v="1.0269999999999999"/>
    <n v="1834"/>
    <n v="43"/>
    <n v="1.2629999999999999"/>
    <n v="0.26100000000000001"/>
    <s v="5.8763e-05"/>
    <n v="0.99994000000000005"/>
    <s v="2.8687585724719598"/>
    <s v="20.749322889953444"/>
    <s v="97.81991748221292"/>
    <s v="9.911168147219248"/>
    <n v="716334258"/>
    <x v="0"/>
    <n v="9.8706899999999992E-4"/>
    <x v="0"/>
  </r>
  <r>
    <n v="49"/>
    <n v="1"/>
    <n v="5"/>
    <n v="2"/>
    <n v="1"/>
    <n v="2"/>
    <n v="3"/>
    <n v="38"/>
    <n v="1"/>
    <n v="1"/>
    <n v="2"/>
    <n v="29531"/>
    <n v="2088"/>
    <n v="27443"/>
    <n v="0.84299999999999997"/>
    <n v="15039"/>
    <n v="120"/>
    <n v="0.69"/>
    <n v="7.0999999999999994E-2"/>
    <s v="5.1378e-05"/>
    <n v="0.99995000000000001"/>
    <s v="34.96389628617737"/>
    <s v="0.5201756168464086"/>
    <s v="54.27942582201356"/>
    <s v="12.993934290377956"/>
    <n v="708572658"/>
    <x v="0"/>
    <n v="3.8573547000000003E-4"/>
    <x v="0"/>
  </r>
  <r>
    <n v="42"/>
    <n v="1"/>
    <n v="3"/>
    <n v="3"/>
    <n v="2"/>
    <n v="1"/>
    <n v="0"/>
    <n v="35"/>
    <n v="4"/>
    <n v="3"/>
    <n v="3"/>
    <n v="3266"/>
    <n v="1900"/>
    <n v="1366"/>
    <n v="1.5680000000000001"/>
    <n v="2183"/>
    <n v="56"/>
    <n v="0.75"/>
    <n v="0.58199999999999996"/>
    <n v="3.0516000000000001E-4"/>
    <n v="0.99968999999999997"/>
    <n v="8.38256917951351"/>
    <s v="34.91655488301594"/>
    <s v="16.029573469543717"/>
    <s v="10.16325976493291"/>
    <n v="766285608"/>
    <x v="0"/>
    <n v="5.0407740000000005E-4"/>
    <x v="0"/>
  </r>
  <r>
    <n v="49"/>
    <n v="0"/>
    <n v="2"/>
    <n v="5"/>
    <n v="2"/>
    <n v="5"/>
    <n v="0"/>
    <n v="40"/>
    <n v="2"/>
    <n v="3"/>
    <n v="1"/>
    <n v="2464"/>
    <n v="1601"/>
    <n v="863"/>
    <n v="0.64900000000000002"/>
    <n v="4739"/>
    <n v="86"/>
    <n v="0.79200000000000004"/>
    <n v="0.65"/>
    <n v="1.1153E-4"/>
    <n v="0.99988999999999995"/>
    <s v="44.84654041125357"/>
    <s v="11.445551480133725"/>
    <s v="59.33797316423085"/>
    <s v="1.2178008683547423"/>
    <n v="716147658"/>
    <x v="0"/>
    <n v="3.2101269999999999E-4"/>
    <x v="0"/>
  </r>
  <r>
    <n v="47"/>
    <n v="0"/>
    <n v="4"/>
    <n v="6"/>
    <n v="3"/>
    <n v="4"/>
    <n v="0"/>
    <n v="36"/>
    <n v="5"/>
    <n v="3"/>
    <n v="2"/>
    <n v="4944"/>
    <n v="1151"/>
    <n v="3793"/>
    <n v="0.80100000000000005"/>
    <n v="3684"/>
    <n v="64"/>
    <n v="0.82899999999999996"/>
    <n v="0.23300000000000001"/>
    <n v="2.0735E-4"/>
    <n v="0.99978999999999996"/>
    <s v="16.687466557048747"/>
    <s v="27.995159426421715"/>
    <s v="135.62467653489898"/>
    <s v="19.75428100936967"/>
    <n v="710678658"/>
    <x v="0"/>
    <n v="3.3750320000000002E-4"/>
    <x v="0"/>
  </r>
  <r>
    <n v="62"/>
    <n v="0"/>
    <n v="0"/>
    <n v="3"/>
    <n v="2"/>
    <n v="5"/>
    <n v="0"/>
    <n v="50"/>
    <n v="6"/>
    <n v="2"/>
    <n v="2"/>
    <n v="18819"/>
    <n v="0"/>
    <n v="18819"/>
    <n v="0.89400000000000002"/>
    <n v="4273"/>
    <n v="87"/>
    <n v="0.97699999999999998"/>
    <n v="0"/>
    <s v="9.4951e-05"/>
    <n v="0.99990999999999997"/>
    <s v="50.02064252386048"/>
    <s v="99.41618070064668"/>
    <s v="29.634585551240583"/>
    <s v="11.450981634212813"/>
    <n v="715716333"/>
    <x v="0"/>
    <n v="7.4699510000000001E-4"/>
    <x v="0"/>
  </r>
  <r>
    <n v="34"/>
    <n v="1"/>
    <n v="2"/>
    <n v="2"/>
    <n v="1"/>
    <n v="0"/>
    <n v="0"/>
    <n v="28"/>
    <n v="4"/>
    <n v="3"/>
    <n v="3"/>
    <n v="13384"/>
    <n v="1853"/>
    <n v="11531"/>
    <n v="0.80700000000000005"/>
    <n v="1899"/>
    <n v="33"/>
    <n v="0.83299999999999996"/>
    <n v="0.13800000000000001"/>
    <n v="3.0250999999999998E-4"/>
    <n v="0.99970000000000003"/>
    <s v="51.75291793604936"/>
    <s v="5.665870809381432"/>
    <s v="53.69219936307788"/>
    <n v="9.6653992183080408"/>
    <n v="801726933"/>
    <x v="0"/>
    <n v="1.0617396999999999E-3"/>
    <x v="0"/>
  </r>
  <r>
    <n v="51"/>
    <n v="1"/>
    <n v="2"/>
    <n v="3"/>
    <n v="2"/>
    <n v="2"/>
    <n v="0"/>
    <n v="42"/>
    <n v="1"/>
    <n v="3"/>
    <n v="2"/>
    <n v="16703"/>
    <n v="1140"/>
    <n v="15563"/>
    <n v="0.55500000000000005"/>
    <n v="15472"/>
    <n v="122"/>
    <n v="0.76800000000000002"/>
    <n v="6.8000000000000005E-2"/>
    <n v="1.7485999999999999E-4"/>
    <n v="0.99983"/>
    <s v="16.68094998146069"/>
    <s v="35.27521701631895"/>
    <s v="31.811119974913247"/>
    <s v="7.674641593222265"/>
    <n v="708649683"/>
    <x v="0"/>
    <n v="3.8573547000000003E-4"/>
    <x v="0"/>
  </r>
  <r>
    <n v="26"/>
    <n v="1"/>
    <n v="0"/>
    <n v="2"/>
    <n v="2"/>
    <n v="5"/>
    <n v="0"/>
    <n v="19"/>
    <n v="4"/>
    <n v="1"/>
    <n v="2"/>
    <n v="1438.3"/>
    <n v="0"/>
    <n v="1438.3"/>
    <n v="0.47199999999999998"/>
    <n v="2005"/>
    <n v="47"/>
    <n v="0.46899999999999997"/>
    <n v="0"/>
    <s v="4.7263e-05"/>
    <n v="0.99995000000000001"/>
    <n v="0.91640417249425599"/>
    <s v="50.96271431936236"/>
    <s v="42.98744260648723"/>
    <n v="9.5135721680432592"/>
    <n v="809342208"/>
    <x v="0"/>
    <n v="4.7956155999999998E-3"/>
    <x v="0"/>
  </r>
  <r>
    <n v="52"/>
    <n v="0"/>
    <n v="4"/>
    <n v="6"/>
    <n v="1"/>
    <n v="4"/>
    <n v="0"/>
    <n v="36"/>
    <n v="1"/>
    <n v="4"/>
    <n v="5"/>
    <n v="2143"/>
    <n v="0"/>
    <n v="2143"/>
    <n v="0.85299999999999998"/>
    <n v="1353"/>
    <n v="36"/>
    <n v="0.33300000000000002"/>
    <n v="0"/>
    <n v="0.99919999999999998"/>
    <n v="8.0274999999999997E-4"/>
    <n v="7.3133244823660197"/>
    <s v="32.88952180786352"/>
    <s v="16.57007134121683"/>
    <s v="23.024251328609267"/>
    <n v="716331408"/>
    <x v="1"/>
    <n v="0.99790800000000002"/>
    <x v="1"/>
  </r>
  <r>
    <n v="39"/>
    <n v="1"/>
    <n v="3"/>
    <n v="5"/>
    <n v="2"/>
    <n v="3"/>
    <n v="0"/>
    <n v="31"/>
    <n v="2"/>
    <n v="2"/>
    <n v="3"/>
    <n v="2844"/>
    <n v="2065"/>
    <n v="779"/>
    <n v="0.63800000000000001"/>
    <n v="7345"/>
    <n v="73"/>
    <n v="0.73799999999999999"/>
    <n v="0.72599999999999998"/>
    <n v="2.0424000000000001E-4"/>
    <n v="0.99980000000000002"/>
    <s v="11.456978299425211"/>
    <s v="35.40661768888074"/>
    <s v="1.8843652942507296"/>
    <s v="5.952819550770658"/>
    <n v="709558608"/>
    <x v="0"/>
    <n v="5.5846529999999995E-4"/>
    <x v="0"/>
  </r>
  <r>
    <n v="36"/>
    <n v="1"/>
    <n v="1"/>
    <n v="5"/>
    <n v="2"/>
    <n v="3"/>
    <n v="0"/>
    <n v="30"/>
    <n v="4"/>
    <n v="2"/>
    <n v="5"/>
    <n v="13005"/>
    <n v="2152"/>
    <n v="10853"/>
    <n v="1.4239999999999999"/>
    <n v="3023"/>
    <n v="53"/>
    <n v="0.76700000000000002"/>
    <n v="0.16500000000000001"/>
    <n v="5.4527999999999998E-4"/>
    <n v="0.99944999999999995"/>
    <s v="41.181494918477846"/>
    <s v="77.13242141221326"/>
    <s v="84.95092836394895"/>
    <s v="7.569655502245062"/>
    <n v="769980333"/>
    <x v="0"/>
    <n v="6.7867215999999997E-4"/>
    <x v="0"/>
  </r>
  <r>
    <n v="56"/>
    <n v="0"/>
    <n v="3"/>
    <n v="2"/>
    <n v="1"/>
    <n v="4"/>
    <n v="0"/>
    <n v="44"/>
    <n v="6"/>
    <n v="4"/>
    <n v="2"/>
    <n v="2030"/>
    <n v="1262"/>
    <n v="768"/>
    <n v="0.86199999999999999"/>
    <n v="4851"/>
    <n v="84"/>
    <n v="0.86699999999999999"/>
    <n v="0.622"/>
    <n v="2.2556E-4"/>
    <n v="0.99977000000000005"/>
    <s v="17.614716079890666"/>
    <s v="46.34719348382131"/>
    <s v="83.44669669855595"/>
    <s v="10.875713540794989"/>
    <n v="711276933"/>
    <x v="0"/>
    <n v="3.2101269999999999E-4"/>
    <x v="0"/>
  </r>
  <r>
    <n v="45"/>
    <n v="0"/>
    <n v="1"/>
    <n v="2"/>
    <n v="2"/>
    <n v="1"/>
    <n v="0"/>
    <n v="36"/>
    <n v="5"/>
    <n v="2"/>
    <n v="2"/>
    <n v="1936"/>
    <n v="1613"/>
    <n v="323"/>
    <n v="0.84099999999999997"/>
    <n v="4773"/>
    <n v="80"/>
    <n v="0.81799999999999995"/>
    <n v="0.83299999999999996"/>
    <n v="1.0684E-4"/>
    <n v="0.99988999999999995"/>
    <s v="5.6695559308721135"/>
    <s v="39.422401967645165"/>
    <s v="45.59704994964078"/>
    <s v="15.213157030803092"/>
    <n v="714098883"/>
    <x v="0"/>
    <n v="3.2101269999999999E-4"/>
    <x v="0"/>
  </r>
  <r>
    <n v="54"/>
    <n v="0"/>
    <n v="0"/>
    <n v="6"/>
    <n v="1"/>
    <n v="4"/>
    <n v="0"/>
    <n v="44"/>
    <n v="6"/>
    <n v="3"/>
    <n v="1"/>
    <n v="2945"/>
    <n v="2206"/>
    <n v="739"/>
    <n v="0.98299999999999998"/>
    <n v="1503"/>
    <n v="35"/>
    <n v="0.84199999999999997"/>
    <n v="0.749"/>
    <n v="1.0232E-4"/>
    <n v="0.99990000000000001"/>
    <s v="6.002430473134853"/>
    <s v="41.40514108967145"/>
    <s v="143.5749949327981"/>
    <s v="3.4120232089083244"/>
    <n v="714414483"/>
    <x v="0"/>
    <n v="9.8706899999999992E-4"/>
    <x v="0"/>
  </r>
  <r>
    <n v="49"/>
    <n v="1"/>
    <n v="3"/>
    <n v="5"/>
    <n v="1"/>
    <n v="3"/>
    <n v="0"/>
    <n v="45"/>
    <n v="2"/>
    <n v="1"/>
    <n v="1"/>
    <n v="4778"/>
    <n v="1351"/>
    <n v="3427"/>
    <n v="0.78500000000000003"/>
    <n v="7590"/>
    <n v="74"/>
    <n v="0.68200000000000005"/>
    <n v="0.28299999999999997"/>
    <s v="3.5437e-05"/>
    <n v="0.99995999999999996"/>
    <s v="47.911107178546274"/>
    <n v="26.878361043685999"/>
    <n v="50.9363578825742"/>
    <s v="23.47847017054183"/>
    <n v="822125283"/>
    <x v="0"/>
    <n v="5.5846529999999995E-4"/>
    <x v="0"/>
  </r>
  <r>
    <n v="40"/>
    <n v="1"/>
    <n v="4"/>
    <n v="2"/>
    <n v="1"/>
    <n v="2"/>
    <n v="3"/>
    <n v="36"/>
    <n v="6"/>
    <n v="1"/>
    <n v="3"/>
    <n v="27436"/>
    <n v="642"/>
    <n v="26794"/>
    <n v="0.70499999999999996"/>
    <n v="4051"/>
    <n v="81"/>
    <n v="0.76100000000000001"/>
    <n v="2.3E-2"/>
    <s v="8.7785e-05"/>
    <n v="0.99990999999999997"/>
    <s v="27.67180780525493"/>
    <s v="43.41050805098156"/>
    <n v="97.116433924775194"/>
    <s v="1.618710442785643"/>
    <n v="721067658"/>
    <x v="0"/>
    <n v="6.0646630000000005E-4"/>
    <x v="0"/>
  </r>
  <r>
    <n v="47"/>
    <n v="0"/>
    <n v="3"/>
    <n v="5"/>
    <n v="2"/>
    <n v="5"/>
    <n v="0"/>
    <n v="42"/>
    <n v="6"/>
    <n v="2"/>
    <n v="2"/>
    <n v="16411"/>
    <n v="1179"/>
    <n v="15232"/>
    <n v="0.84899999999999998"/>
    <n v="3929"/>
    <n v="71"/>
    <n v="0.73199999999999998"/>
    <n v="7.1999999999999995E-2"/>
    <n v="1.2144E-4"/>
    <n v="0.99987999999999999"/>
    <s v="2.274719084655614"/>
    <s v="39.95899745373831"/>
    <s v="38.34413939351708"/>
    <s v="11.661204340998657"/>
    <n v="708132783"/>
    <x v="0"/>
    <n v="3.5729867999999997E-4"/>
    <x v="0"/>
  </r>
  <r>
    <n v="49"/>
    <n v="0"/>
    <n v="2"/>
    <n v="3"/>
    <n v="3"/>
    <n v="1"/>
    <n v="0"/>
    <n v="38"/>
    <n v="4"/>
    <n v="1"/>
    <n v="2"/>
    <n v="2497"/>
    <n v="1674"/>
    <n v="823"/>
    <n v="0.70099999999999996"/>
    <n v="2922"/>
    <n v="53"/>
    <n v="0.96299999999999997"/>
    <n v="0.67"/>
    <s v="5.3542e-05"/>
    <n v="0.99995000000000001"/>
    <s v="1.4862022920879996"/>
    <n v="36.842298175196603"/>
    <n v="70.027342430302895"/>
    <n v="9.4010512566547497"/>
    <n v="789158433"/>
    <x v="0"/>
    <n v="7.6400760000000002E-4"/>
    <x v="0"/>
  </r>
  <r>
    <n v="56"/>
    <n v="0"/>
    <n v="4"/>
    <n v="3"/>
    <n v="2"/>
    <n v="4"/>
    <n v="0"/>
    <n v="36"/>
    <n v="3"/>
    <n v="1"/>
    <n v="3"/>
    <n v="8881"/>
    <n v="2145"/>
    <n v="6736"/>
    <n v="0.70499999999999996"/>
    <n v="2027"/>
    <n v="49"/>
    <n v="0.81499999999999995"/>
    <n v="0.24199999999999999"/>
    <s v="9.4447e-05"/>
    <n v="0.99990999999999997"/>
    <n v="0.43820032759709399"/>
    <s v="16.351126502246576"/>
    <s v="108.9899334875006"/>
    <s v="2.474696274179001"/>
    <n v="709452633"/>
    <x v="0"/>
    <n v="9.864018999999999E-4"/>
    <x v="0"/>
  </r>
  <r>
    <n v="26"/>
    <n v="1"/>
    <n v="1"/>
    <n v="0"/>
    <n v="0"/>
    <n v="1"/>
    <n v="0"/>
    <n v="21"/>
    <n v="3"/>
    <n v="3"/>
    <n v="2"/>
    <n v="1438.3"/>
    <n v="0"/>
    <n v="1438.3"/>
    <n v="0.745"/>
    <n v="2660"/>
    <n v="89"/>
    <n v="0.71199999999999997"/>
    <n v="0"/>
    <n v="1.6415000000000001E-4"/>
    <n v="0.99983999999999995"/>
    <s v="70.23602404217652"/>
    <s v="91.61114011342184"/>
    <s v="107.97957138542644"/>
    <s v="2.945284240201426"/>
    <n v="812441358"/>
    <x v="0"/>
    <n v="8.4332660000000002E-4"/>
    <x v="0"/>
  </r>
  <r>
    <n v="38"/>
    <n v="1"/>
    <n v="2"/>
    <n v="2"/>
    <n v="1"/>
    <n v="3"/>
    <n v="0"/>
    <n v="33"/>
    <n v="5"/>
    <n v="3"/>
    <n v="3"/>
    <n v="9620"/>
    <n v="2033"/>
    <n v="7587"/>
    <n v="0.66700000000000004"/>
    <n v="1735"/>
    <n v="43"/>
    <n v="0.38700000000000001"/>
    <n v="0.21099999999999999"/>
    <n v="3.0250999999999998E-4"/>
    <n v="0.99970000000000003"/>
    <s v="14.141160810098205"/>
    <s v="46.89648321096881"/>
    <s v="31.05407075369259"/>
    <s v="5.172137283881169"/>
    <n v="814513008"/>
    <x v="0"/>
    <n v="1.1982243E-3"/>
    <x v="0"/>
  </r>
  <r>
    <n v="46"/>
    <n v="1"/>
    <n v="2"/>
    <n v="1"/>
    <n v="1"/>
    <n v="3"/>
    <n v="0"/>
    <n v="29"/>
    <n v="1"/>
    <n v="2"/>
    <n v="5"/>
    <n v="17667"/>
    <n v="0"/>
    <n v="17667"/>
    <n v="0.56899999999999995"/>
    <n v="1775"/>
    <n v="42"/>
    <n v="0.55600000000000005"/>
    <n v="0"/>
    <n v="0.99878"/>
    <n v="1.2208900000000001E-3"/>
    <s v="29.28500139007488"/>
    <s v="62.04405383003211"/>
    <s v="24.758304926439152"/>
    <s v="10.45554006236715"/>
    <n v="708834483"/>
    <x v="1"/>
    <n v="0.99790800000000002"/>
    <x v="1"/>
  </r>
  <r>
    <n v="47"/>
    <n v="0"/>
    <n v="4"/>
    <n v="5"/>
    <n v="2"/>
    <n v="4"/>
    <n v="0"/>
    <n v="36"/>
    <n v="3"/>
    <n v="1"/>
    <n v="2"/>
    <n v="2092"/>
    <n v="1499"/>
    <n v="593"/>
    <n v="0.81100000000000005"/>
    <n v="4130"/>
    <n v="80"/>
    <n v="1.1619999999999999"/>
    <n v="0.71699999999999997"/>
    <s v="5.9391e-05"/>
    <n v="0.99994000000000005"/>
    <n v="49.732354938434803"/>
    <s v="95.59811489789868"/>
    <s v="17.356908412219617"/>
    <s v="18.02033912690843"/>
    <n v="718265658"/>
    <x v="0"/>
    <n v="3.2101269999999999E-4"/>
    <x v="0"/>
  </r>
  <r>
    <n v="44"/>
    <n v="0"/>
    <n v="1"/>
    <n v="3"/>
    <n v="2"/>
    <n v="5"/>
    <n v="0"/>
    <n v="39"/>
    <n v="4"/>
    <n v="3"/>
    <n v="2"/>
    <n v="2021"/>
    <n v="1182"/>
    <n v="839"/>
    <n v="0.79400000000000004"/>
    <n v="4209"/>
    <n v="77"/>
    <n v="0.83299999999999996"/>
    <n v="0.58499999999999996"/>
    <n v="1.6412999999999999E-4"/>
    <n v="0.99983999999999995"/>
    <s v="6.932036507517564"/>
    <s v="3.322030201041476"/>
    <s v="61.92214715968574"/>
    <s v="22.291712059109734"/>
    <n v="809307108"/>
    <x v="0"/>
    <n v="3.2101269999999999E-4"/>
    <x v="0"/>
  </r>
  <r>
    <n v="53"/>
    <n v="1"/>
    <n v="2"/>
    <n v="3"/>
    <n v="1"/>
    <n v="0"/>
    <n v="0"/>
    <n v="41"/>
    <n v="4"/>
    <n v="3"/>
    <n v="3"/>
    <n v="7272"/>
    <n v="2037"/>
    <n v="5235"/>
    <n v="0.79500000000000004"/>
    <n v="2333"/>
    <n v="56"/>
    <n v="0.69699999999999995"/>
    <n v="0.28000000000000003"/>
    <n v="2.9408E-4"/>
    <n v="0.99970999999999999"/>
    <s v="13.952271938049044"/>
    <s v="5.991949724093056"/>
    <s v="16.530791645263495"/>
    <s v="25.47053822458819"/>
    <n v="719450508"/>
    <x v="0"/>
    <n v="5.9430883000000003E-4"/>
    <x v="0"/>
  </r>
  <r>
    <n v="56"/>
    <n v="0"/>
    <n v="3"/>
    <n v="2"/>
    <n v="2"/>
    <n v="4"/>
    <n v="0"/>
    <n v="36"/>
    <n v="4"/>
    <n v="2"/>
    <n v="2"/>
    <n v="2836"/>
    <n v="1362"/>
    <n v="1474"/>
    <n v="0.66100000000000003"/>
    <n v="4192"/>
    <n v="90"/>
    <n v="0.73099999999999998"/>
    <n v="0.48"/>
    <n v="1.1811000000000001E-4"/>
    <n v="0.99987999999999999"/>
    <s v="21.21604817969984"/>
    <s v="17.391770430449544"/>
    <s v="129.1193021884172"/>
    <s v="8.234930344502867"/>
    <n v="716269308"/>
    <x v="0"/>
    <n v="3.2101269999999999E-4"/>
    <x v="0"/>
  </r>
  <r>
    <n v="50"/>
    <n v="0"/>
    <n v="0"/>
    <n v="2"/>
    <n v="1"/>
    <n v="4"/>
    <n v="0"/>
    <n v="43"/>
    <n v="4"/>
    <n v="1"/>
    <n v="2"/>
    <n v="2393"/>
    <n v="1499"/>
    <n v="894"/>
    <n v="0.78400000000000003"/>
    <n v="4755"/>
    <n v="82"/>
    <n v="0.745"/>
    <n v="0.626"/>
    <s v="4.7263e-05"/>
    <n v="0.99995000000000001"/>
    <n v="37.748111932557499"/>
    <s v="26.125169339636287"/>
    <s v="101.88052368348536"/>
    <s v="12.885248174890425"/>
    <n v="712814658"/>
    <x v="0"/>
    <n v="3.2101269999999999E-4"/>
    <x v="0"/>
  </r>
  <r>
    <n v="52"/>
    <n v="1"/>
    <n v="1"/>
    <n v="3"/>
    <n v="2"/>
    <n v="3"/>
    <n v="0"/>
    <n v="44"/>
    <n v="1"/>
    <n v="3"/>
    <n v="2"/>
    <n v="3770"/>
    <n v="0"/>
    <n v="3770"/>
    <n v="0.54400000000000004"/>
    <n v="2387"/>
    <n v="51"/>
    <n v="0.5"/>
    <n v="0"/>
    <n v="0.99395"/>
    <n v="6.0499999999999998E-3"/>
    <s v="19.980259737320075"/>
    <s v="5.330673678116043"/>
    <s v="92.51305646541168"/>
    <n v="10.406186680615701"/>
    <n v="712715208"/>
    <x v="1"/>
    <n v="0.99850684000000001"/>
    <x v="1"/>
  </r>
  <r>
    <n v="54"/>
    <n v="1"/>
    <n v="1"/>
    <n v="5"/>
    <n v="3"/>
    <n v="3"/>
    <n v="0"/>
    <n v="46"/>
    <n v="4"/>
    <n v="1"/>
    <n v="4"/>
    <n v="6249"/>
    <n v="2517"/>
    <n v="3732"/>
    <n v="0.751"/>
    <n v="3988"/>
    <n v="68"/>
    <n v="0.78900000000000003"/>
    <n v="0.40300000000000002"/>
    <n v="1.5252000000000001E-4"/>
    <n v="0.99985000000000002"/>
    <s v="12.21866224193514"/>
    <s v="87.81569841754647"/>
    <s v="23.24281212553024"/>
    <s v="4.3315972854454765"/>
    <n v="721506708"/>
    <x v="0"/>
    <n v="3.4692350000000002E-4"/>
    <x v="0"/>
  </r>
  <r>
    <n v="48"/>
    <n v="0"/>
    <n v="3"/>
    <n v="0"/>
    <n v="1"/>
    <n v="4"/>
    <n v="0"/>
    <n v="36"/>
    <n v="4"/>
    <n v="1"/>
    <n v="2"/>
    <n v="2544"/>
    <n v="0"/>
    <n v="2544"/>
    <n v="0.75900000000000001"/>
    <n v="3593"/>
    <n v="64"/>
    <n v="1"/>
    <n v="0"/>
    <s v="5.5564e-05"/>
    <n v="0.99994000000000005"/>
    <s v="36.89161940320553"/>
    <s v="9.536812225376384"/>
    <s v="22.07576942520395"/>
    <s v="5.3292734250151685"/>
    <n v="714292533"/>
    <x v="0"/>
    <n v="7.8814493999999999E-4"/>
    <x v="0"/>
  </r>
  <r>
    <n v="48"/>
    <n v="0"/>
    <n v="2"/>
    <n v="2"/>
    <n v="1"/>
    <n v="4"/>
    <n v="3"/>
    <n v="35"/>
    <n v="5"/>
    <n v="2"/>
    <n v="2"/>
    <n v="13994"/>
    <n v="0"/>
    <n v="13994"/>
    <n v="0.56999999999999995"/>
    <n v="3299"/>
    <n v="63"/>
    <n v="0.85299999999999998"/>
    <n v="0"/>
    <n v="1.0284E-4"/>
    <n v="0.99990000000000001"/>
    <s v="24.139860649660346"/>
    <s v="19.12614577020401"/>
    <s v="146.75439541952096"/>
    <s v="7.917029957976133"/>
    <n v="711311883"/>
    <x v="0"/>
    <n v="8.1245880000000001E-4"/>
    <x v="0"/>
  </r>
  <r>
    <n v="36"/>
    <n v="1"/>
    <n v="2"/>
    <n v="3"/>
    <n v="2"/>
    <n v="1"/>
    <n v="0"/>
    <n v="32"/>
    <n v="3"/>
    <n v="5"/>
    <n v="2"/>
    <n v="2683"/>
    <n v="1533"/>
    <n v="1150"/>
    <n v="0.82099999999999995"/>
    <n v="2373"/>
    <n v="73"/>
    <n v="0.65900000000000003"/>
    <n v="0.57099999999999995"/>
    <n v="1.953E-4"/>
    <n v="0.99980000000000002"/>
    <s v="25.746103085106338"/>
    <s v="50.063283225695024"/>
    <s v="55.83064442257778"/>
    <s v="1.611034183240747"/>
    <n v="824789283"/>
    <x v="0"/>
    <n v="3.9451056999999999E-4"/>
    <x v="0"/>
  </r>
  <r>
    <n v="44"/>
    <n v="0"/>
    <n v="3"/>
    <n v="2"/>
    <n v="1"/>
    <n v="4"/>
    <n v="0"/>
    <n v="36"/>
    <n v="6"/>
    <n v="3"/>
    <n v="4"/>
    <n v="1984"/>
    <n v="0"/>
    <n v="1984"/>
    <n v="0.89"/>
    <n v="2506"/>
    <n v="46"/>
    <n v="0.64300000000000002"/>
    <n v="0"/>
    <n v="0.99814000000000003"/>
    <n v="1.8631699999999999E-3"/>
    <s v="11.24423136127898"/>
    <s v="15.970173556985282"/>
    <s v="85.18749876096619"/>
    <s v="12.946845288521027"/>
    <n v="718171308"/>
    <x v="1"/>
    <n v="0.99812299999999998"/>
    <x v="1"/>
  </r>
  <r>
    <n v="41"/>
    <n v="1"/>
    <n v="3"/>
    <n v="5"/>
    <n v="1"/>
    <n v="0"/>
    <n v="0"/>
    <n v="36"/>
    <n v="1"/>
    <n v="2"/>
    <n v="3"/>
    <n v="34516"/>
    <n v="0"/>
    <n v="34516"/>
    <n v="0.377"/>
    <n v="5603"/>
    <n v="56"/>
    <n v="0.24399999999999999"/>
    <n v="0"/>
    <n v="0.99512999999999996"/>
    <n v="4.8712599999999997E-3"/>
    <s v="34.03774469568287"/>
    <s v="7.471725294603837"/>
    <s v="117.23858269745196"/>
    <s v="9.973202886006742"/>
    <n v="718113633"/>
    <x v="1"/>
    <n v="0.9961333"/>
    <x v="1"/>
  </r>
  <r>
    <n v="42"/>
    <n v="0"/>
    <n v="2"/>
    <n v="1"/>
    <n v="1"/>
    <n v="4"/>
    <n v="0"/>
    <n v="32"/>
    <n v="6"/>
    <n v="6"/>
    <n v="0"/>
    <n v="1592"/>
    <n v="0"/>
    <n v="1592"/>
    <n v="0.745"/>
    <n v="4172"/>
    <n v="70"/>
    <n v="0.75"/>
    <n v="0"/>
    <s v="7.5798e-05"/>
    <n v="0.99992000000000003"/>
    <s v="12.918504912578411"/>
    <s v="9.795760339518932"/>
    <s v="43.311781013388206"/>
    <s v="10.711984010295287"/>
    <n v="720755658"/>
    <x v="0"/>
    <n v="7.4965424999999997E-4"/>
    <x v="0"/>
  </r>
  <r>
    <n v="45"/>
    <n v="0"/>
    <n v="2"/>
    <n v="2"/>
    <n v="1"/>
    <n v="4"/>
    <n v="0"/>
    <n v="38"/>
    <n v="3"/>
    <n v="3"/>
    <n v="3"/>
    <n v="1513"/>
    <n v="788"/>
    <n v="725"/>
    <n v="0.67700000000000005"/>
    <n v="4166"/>
    <n v="71"/>
    <n v="0.86799999999999999"/>
    <n v="0.52100000000000002"/>
    <n v="3.0250999999999998E-4"/>
    <n v="0.99970000000000003"/>
    <s v="26.119849395911803"/>
    <s v="13.695626350331148"/>
    <s v="74.42551927256396"/>
    <s v="8.298141989769373"/>
    <n v="744231708"/>
    <x v="0"/>
    <n v="5.2566850000000003E-4"/>
    <x v="0"/>
  </r>
  <r>
    <n v="47"/>
    <n v="1"/>
    <n v="4"/>
    <n v="6"/>
    <n v="2"/>
    <n v="1"/>
    <n v="0"/>
    <n v="36"/>
    <n v="3"/>
    <n v="3"/>
    <n v="3"/>
    <n v="5762"/>
    <n v="1890"/>
    <n v="3872"/>
    <n v="0.93799999999999994"/>
    <n v="3814"/>
    <n v="88"/>
    <n v="0.66"/>
    <n v="0.32800000000000001"/>
    <n v="3.4872000000000001E-4"/>
    <n v="0.99965000000000004"/>
    <s v="29.454149691545684"/>
    <s v="3.9498787489299194"/>
    <s v="47.524753070658605"/>
    <n v="1.10309295686445E-2"/>
    <n v="710942358"/>
    <x v="0"/>
    <n v="3.3750932000000002E-4"/>
    <x v="0"/>
  </r>
  <r>
    <n v="51"/>
    <n v="0"/>
    <n v="2"/>
    <n v="3"/>
    <n v="1"/>
    <n v="4"/>
    <n v="3"/>
    <n v="36"/>
    <n v="5"/>
    <n v="3"/>
    <n v="0"/>
    <n v="11261"/>
    <n v="2485"/>
    <n v="8776"/>
    <n v="0.73599999999999999"/>
    <n v="1158"/>
    <n v="26"/>
    <n v="0.85699999999999998"/>
    <n v="0.221"/>
    <s v="5.8284e-05"/>
    <n v="0.99994000000000005"/>
    <s v="33.719637777716514"/>
    <s v="22.633959388919177"/>
    <n v="65.943479075881697"/>
    <s v="25.66171088531566"/>
    <n v="708177333"/>
    <x v="0"/>
    <n v="1.0254878999999999E-3"/>
    <x v="0"/>
  </r>
  <r>
    <n v="43"/>
    <n v="1"/>
    <n v="2"/>
    <n v="2"/>
    <n v="1"/>
    <n v="0"/>
    <n v="3"/>
    <n v="31"/>
    <n v="6"/>
    <n v="2"/>
    <n v="4"/>
    <n v="34516"/>
    <n v="2398"/>
    <n v="32118"/>
    <n v="0.91700000000000004"/>
    <n v="4976"/>
    <n v="88"/>
    <n v="0.69199999999999995"/>
    <n v="6.9000000000000006E-2"/>
    <n v="2.9506999999999998E-4"/>
    <n v="0.99970000000000003"/>
    <s v="1.126091213616121"/>
    <s v="87.82074033284529"/>
    <s v="32.31859004575209"/>
    <s v="0.9042716322880722"/>
    <n v="720323208"/>
    <x v="0"/>
    <n v="3.756586E-4"/>
    <x v="0"/>
  </r>
  <r>
    <n v="45"/>
    <n v="0"/>
    <n v="3"/>
    <n v="2"/>
    <n v="2"/>
    <n v="4"/>
    <n v="0"/>
    <n v="35"/>
    <n v="4"/>
    <n v="3"/>
    <n v="3"/>
    <n v="4210"/>
    <n v="0"/>
    <n v="4210"/>
    <n v="1.0269999999999999"/>
    <n v="4175"/>
    <n v="58"/>
    <n v="0.93300000000000005"/>
    <n v="0"/>
    <n v="3.1389999999999999E-4"/>
    <n v="0.99968999999999997"/>
    <s v="16.60139154678415"/>
    <s v="15.148216255817289"/>
    <s v="154.5381024546799"/>
    <s v="3.048919415064144"/>
    <n v="778810083"/>
    <x v="0"/>
    <n v="1.0415655999999999E-3"/>
    <x v="0"/>
  </r>
  <r>
    <n v="40"/>
    <n v="0"/>
    <n v="3"/>
    <n v="0"/>
    <n v="2"/>
    <n v="4"/>
    <n v="3"/>
    <n v="36"/>
    <n v="2"/>
    <n v="1"/>
    <n v="0"/>
    <n v="10729"/>
    <n v="0"/>
    <n v="10729"/>
    <n v="0.68"/>
    <n v="14364"/>
    <n v="108"/>
    <n v="0.63600000000000001"/>
    <n v="0"/>
    <s v="1.8519e-05"/>
    <n v="0.99997999999999998"/>
    <s v="30.47604575218602"/>
    <s v="40.89416815255209"/>
    <n v="107.81061346237099"/>
    <s v="15.775977453078978"/>
    <n v="711600033"/>
    <x v="0"/>
    <n v="7.6947116999999995E-4"/>
    <x v="0"/>
  </r>
  <r>
    <n v="31"/>
    <n v="0"/>
    <n v="1"/>
    <n v="0"/>
    <n v="0"/>
    <n v="4"/>
    <n v="0"/>
    <n v="21"/>
    <n v="2"/>
    <n v="2"/>
    <n v="3"/>
    <n v="2061"/>
    <n v="1904"/>
    <n v="157"/>
    <n v="0.78600000000000003"/>
    <n v="4480"/>
    <n v="86"/>
    <n v="0.87"/>
    <n v="0.92400000000000004"/>
    <n v="1.7469999999999999E-4"/>
    <n v="0.99983"/>
    <s v="45.786492485803166"/>
    <s v="15.755668013418148"/>
    <s v="70.01434689471702"/>
    <s v="6.370590981463392"/>
    <n v="708341958"/>
    <x v="0"/>
    <n v="3.2101269999999999E-4"/>
    <x v="0"/>
  </r>
  <r>
    <n v="43"/>
    <n v="1"/>
    <n v="5"/>
    <n v="4"/>
    <n v="2"/>
    <n v="2"/>
    <n v="0"/>
    <n v="31"/>
    <n v="3"/>
    <n v="3"/>
    <n v="1"/>
    <n v="17230"/>
    <n v="1805"/>
    <n v="15425"/>
    <n v="0.78800000000000003"/>
    <n v="14781"/>
    <n v="130"/>
    <n v="0.85699999999999998"/>
    <n v="0.105"/>
    <n v="1.3177999999999999E-4"/>
    <n v="0.99987000000000004"/>
    <s v="74.06869074133543"/>
    <s v="42.75565208209121"/>
    <s v="73.62213433296381"/>
    <s v="30.241041124903507"/>
    <n v="711523533"/>
    <x v="0"/>
    <n v="3.4656386999999997E-4"/>
    <x v="0"/>
  </r>
  <r>
    <n v="51"/>
    <n v="0"/>
    <n v="0"/>
    <n v="5"/>
    <n v="1"/>
    <n v="5"/>
    <n v="0"/>
    <n v="36"/>
    <n v="6"/>
    <n v="3"/>
    <n v="2"/>
    <n v="5881"/>
    <n v="0"/>
    <n v="5881"/>
    <n v="0.71"/>
    <n v="4431"/>
    <n v="89"/>
    <n v="0.81599999999999995"/>
    <n v="0"/>
    <n v="1.5871E-4"/>
    <n v="0.99983999999999995"/>
    <s v="10.651581841096824"/>
    <s v="8.656064119024578"/>
    <s v="120.36804339159237"/>
    <s v="4.921823622025733"/>
    <n v="719505483"/>
    <x v="0"/>
    <n v="6.9517245999999998E-4"/>
    <x v="0"/>
  </r>
  <r>
    <n v="49"/>
    <n v="0"/>
    <n v="2"/>
    <n v="2"/>
    <n v="3"/>
    <n v="4"/>
    <n v="0"/>
    <n v="29"/>
    <n v="6"/>
    <n v="3"/>
    <n v="3"/>
    <n v="2520"/>
    <n v="1473"/>
    <n v="1047"/>
    <n v="0.51500000000000001"/>
    <n v="2061"/>
    <n v="36"/>
    <n v="0.24099999999999999"/>
    <n v="0.58499999999999996"/>
    <n v="0.99670999999999998"/>
    <n v="3.29379E-3"/>
    <s v="6.1618912983365135"/>
    <s v="33.05076446056711"/>
    <s v="10.430658549542844"/>
    <s v="26.973564165601704"/>
    <n v="713153733"/>
    <x v="1"/>
    <n v="0.99573140000000004"/>
    <x v="1"/>
  </r>
  <r>
    <n v="42"/>
    <n v="1"/>
    <n v="2"/>
    <n v="2"/>
    <n v="2"/>
    <n v="2"/>
    <n v="0"/>
    <n v="26"/>
    <n v="4"/>
    <n v="3"/>
    <n v="2"/>
    <n v="11761"/>
    <n v="1775"/>
    <n v="9986"/>
    <n v="0.92500000000000004"/>
    <n v="4946"/>
    <n v="73"/>
    <n v="0.69799999999999995"/>
    <n v="0.151"/>
    <n v="1.7987E-4"/>
    <n v="0.99982000000000004"/>
    <s v="94.89893773714071"/>
    <s v="5.328433108086753"/>
    <s v="121.08704518583173"/>
    <s v="12.586254622915307"/>
    <n v="779725833"/>
    <x v="0"/>
    <n v="3.3750932000000002E-4"/>
    <x v="0"/>
  </r>
  <r>
    <n v="46"/>
    <n v="0"/>
    <n v="3"/>
    <n v="2"/>
    <n v="1"/>
    <n v="5"/>
    <n v="0"/>
    <n v="39"/>
    <n v="3"/>
    <n v="3"/>
    <n v="4"/>
    <n v="1438.3"/>
    <n v="0"/>
    <n v="1438.3"/>
    <n v="0.64600000000000002"/>
    <n v="4111"/>
    <n v="62"/>
    <n v="0.55000000000000004"/>
    <n v="0"/>
    <n v="5.3543000000000004E-4"/>
    <n v="0.99946000000000002"/>
    <s v="47.90151521171314"/>
    <s v="25.39950367851528"/>
    <s v="21.74692729138674"/>
    <s v="2.027280745477718"/>
    <n v="758086458"/>
    <x v="0"/>
    <n v="8.6334743999999996E-4"/>
    <x v="0"/>
  </r>
  <r>
    <n v="50"/>
    <n v="0"/>
    <n v="3"/>
    <n v="6"/>
    <n v="2"/>
    <n v="4"/>
    <n v="0"/>
    <n v="36"/>
    <n v="1"/>
    <n v="3"/>
    <n v="3"/>
    <n v="1930"/>
    <n v="952"/>
    <n v="978"/>
    <n v="0.67"/>
    <n v="3862"/>
    <n v="80"/>
    <n v="0.81799999999999995"/>
    <n v="0.49299999999999999"/>
    <n v="3.4503000000000002E-4"/>
    <n v="0.99965000000000004"/>
    <n v="90.283603200360801"/>
    <s v="53.58429603610455"/>
    <s v="35.69524773917726"/>
    <s v="2.809218438503485"/>
    <n v="713563383"/>
    <x v="0"/>
    <n v="3.9522952000000002E-4"/>
    <x v="0"/>
  </r>
  <r>
    <n v="39"/>
    <n v="0"/>
    <n v="2"/>
    <n v="6"/>
    <n v="2"/>
    <n v="4"/>
    <n v="0"/>
    <n v="32"/>
    <n v="2"/>
    <n v="1"/>
    <n v="2"/>
    <n v="4325"/>
    <n v="2418"/>
    <n v="1907"/>
    <n v="0.79600000000000004"/>
    <n v="4588"/>
    <n v="77"/>
    <n v="0.79100000000000004"/>
    <n v="0.55900000000000005"/>
    <s v="6.054e-05"/>
    <n v="0.99994000000000005"/>
    <s v="47.67077941835436"/>
    <n v="44.467993744236203"/>
    <s v="84.94055134438263"/>
    <s v="6.247220819510546"/>
    <n v="790115358"/>
    <x v="0"/>
    <n v="3.2101269999999999E-4"/>
    <x v="0"/>
  </r>
  <r>
    <n v="51"/>
    <n v="0"/>
    <n v="2"/>
    <n v="3"/>
    <n v="2"/>
    <n v="1"/>
    <n v="0"/>
    <n v="37"/>
    <n v="5"/>
    <n v="1"/>
    <n v="1"/>
    <n v="2621"/>
    <n v="2426"/>
    <n v="195"/>
    <n v="0.72699999999999998"/>
    <n v="4885"/>
    <n v="74"/>
    <n v="1.1140000000000001"/>
    <n v="0.92600000000000005"/>
    <s v="3.2288e-05"/>
    <n v="0.99997000000000003"/>
    <s v="30.378540355024665"/>
    <s v="57.42989473484519"/>
    <s v="78.56252665390984"/>
    <s v="7.339711510568364"/>
    <n v="720885558"/>
    <x v="0"/>
    <n v="3.2101269999999999E-4"/>
    <x v="0"/>
  </r>
  <r>
    <n v="45"/>
    <n v="0"/>
    <n v="2"/>
    <n v="5"/>
    <n v="0"/>
    <n v="1"/>
    <n v="3"/>
    <n v="40"/>
    <n v="5"/>
    <n v="2"/>
    <n v="2"/>
    <n v="15785"/>
    <n v="1174"/>
    <n v="14611"/>
    <n v="0.73199999999999998"/>
    <n v="8097"/>
    <n v="105"/>
    <n v="0.84199999999999997"/>
    <n v="7.3999999999999996E-2"/>
    <n v="1.0574E-4"/>
    <n v="0.99988999999999995"/>
    <s v="73.07549776107255"/>
    <s v="16.705978334685533"/>
    <s v="43.05422779394832"/>
    <s v="6.092295899382511"/>
    <n v="809425533"/>
    <x v="0"/>
    <n v="3.9896389999999999E-4"/>
    <x v="0"/>
  </r>
  <r>
    <n v="52"/>
    <n v="0"/>
    <n v="1"/>
    <n v="6"/>
    <n v="1"/>
    <n v="4"/>
    <n v="0"/>
    <n v="36"/>
    <n v="1"/>
    <n v="1"/>
    <n v="3"/>
    <n v="3040"/>
    <n v="2517"/>
    <n v="523"/>
    <n v="0.77400000000000002"/>
    <n v="4608"/>
    <n v="61"/>
    <n v="1.0329999999999999"/>
    <n v="0.82799999999999996"/>
    <s v="9.5577e-05"/>
    <n v="0.99990000000000001"/>
    <s v="23.282724643208432"/>
    <s v="9.681396424288016"/>
    <s v="82.87388354868605"/>
    <s v="18.33770715551957"/>
    <n v="717553683"/>
    <x v="0"/>
    <n v="3.7600060000000002E-4"/>
    <x v="0"/>
  </r>
  <r>
    <n v="39"/>
    <n v="1"/>
    <n v="3"/>
    <n v="3"/>
    <n v="1"/>
    <n v="2"/>
    <n v="0"/>
    <n v="27"/>
    <n v="6"/>
    <n v="2"/>
    <n v="1"/>
    <n v="2583"/>
    <n v="0"/>
    <n v="2583"/>
    <n v="0.78100000000000003"/>
    <n v="4162"/>
    <n v="87"/>
    <n v="0.81200000000000006"/>
    <n v="0"/>
    <s v="6.9242e-05"/>
    <n v="0.99992999999999999"/>
    <s v="6.516903694750209"/>
    <s v="8.478219745043894"/>
    <s v="91.89384182402507"/>
    <s v="14.928009686194846"/>
    <n v="721109358"/>
    <x v="0"/>
    <n v="6.9517245999999998E-4"/>
    <x v="0"/>
  </r>
  <r>
    <n v="47"/>
    <n v="0"/>
    <n v="3"/>
    <n v="6"/>
    <n v="2"/>
    <n v="4"/>
    <n v="0"/>
    <n v="39"/>
    <n v="6"/>
    <n v="2"/>
    <n v="1"/>
    <n v="2915"/>
    <n v="2422"/>
    <n v="493"/>
    <n v="0.57599999999999996"/>
    <n v="4037"/>
    <n v="83"/>
    <n v="0.76600000000000001"/>
    <n v="0.83099999999999996"/>
    <s v="7.8291e-05"/>
    <n v="0.99992000000000003"/>
    <s v="16.89410066924796"/>
    <n v="69.438293617198994"/>
    <s v="23.12226992377049"/>
    <s v="18.603551003442625"/>
    <n v="790023408"/>
    <x v="0"/>
    <n v="3.2101269999999999E-4"/>
    <x v="0"/>
  </r>
  <r>
    <n v="60"/>
    <n v="0"/>
    <n v="1"/>
    <n v="0"/>
    <n v="1"/>
    <n v="4"/>
    <n v="0"/>
    <n v="36"/>
    <n v="2"/>
    <n v="2"/>
    <n v="2"/>
    <n v="1671"/>
    <n v="1047"/>
    <n v="624"/>
    <n v="0.72699999999999998"/>
    <n v="5189"/>
    <n v="79"/>
    <n v="0.79500000000000004"/>
    <n v="0.627"/>
    <n v="1.0387000000000001E-4"/>
    <n v="0.99990000000000001"/>
    <s v="3.391259183526442"/>
    <s v="5.640767658545734"/>
    <s v="27.66436312210736"/>
    <s v="10.515572072665844"/>
    <n v="713328108"/>
    <x v="0"/>
    <n v="3.2101269999999999E-4"/>
    <x v="0"/>
  </r>
  <r>
    <n v="60"/>
    <n v="0"/>
    <n v="1"/>
    <n v="4"/>
    <n v="2"/>
    <n v="1"/>
    <n v="0"/>
    <n v="50"/>
    <n v="4"/>
    <n v="1"/>
    <n v="2"/>
    <n v="4606"/>
    <n v="0"/>
    <n v="4606"/>
    <n v="0.85699999999999998"/>
    <n v="4181"/>
    <n v="63"/>
    <n v="1.032"/>
    <n v="0"/>
    <s v="6.083e-05"/>
    <n v="0.99994000000000005"/>
    <s v="44.67051848712611"/>
    <s v="17.86273488728439"/>
    <n v="85.398457521504398"/>
    <s v="5.793344405427232"/>
    <n v="711423558"/>
    <x v="0"/>
    <n v="8.3036936000000004E-4"/>
    <x v="0"/>
  </r>
  <r>
    <n v="59"/>
    <n v="1"/>
    <n v="1"/>
    <n v="2"/>
    <n v="1"/>
    <n v="1"/>
    <n v="0"/>
    <n v="53"/>
    <n v="5"/>
    <n v="1"/>
    <n v="2"/>
    <n v="4188"/>
    <n v="2200"/>
    <n v="1988"/>
    <n v="0.86699999999999999"/>
    <n v="4911"/>
    <n v="86"/>
    <n v="0.72"/>
    <n v="0.52500000000000002"/>
    <s v="5.1697e-05"/>
    <n v="0.99995000000000001"/>
    <s v="17.822806543161008"/>
    <s v="49.79776490218511"/>
    <s v="53.53733838461695"/>
    <n v="13.919581353483"/>
    <n v="789634983"/>
    <x v="0"/>
    <n v="3.2101269999999999E-4"/>
    <x v="0"/>
  </r>
  <r>
    <n v="49"/>
    <n v="1"/>
    <n v="3"/>
    <n v="0"/>
    <n v="1"/>
    <n v="2"/>
    <n v="0"/>
    <n v="39"/>
    <n v="5"/>
    <n v="3"/>
    <n v="3"/>
    <n v="2501"/>
    <n v="0"/>
    <n v="2501"/>
    <n v="0.83199999999999996"/>
    <n v="4837"/>
    <n v="87"/>
    <n v="0.74"/>
    <n v="0"/>
    <n v="3.0519E-4"/>
    <n v="0.99968999999999997"/>
    <s v="12.189001823603444"/>
    <s v="48.58226449471982"/>
    <s v="128.45662262018772"/>
    <n v="5.0215252647603501"/>
    <n v="711937158"/>
    <x v="0"/>
    <n v="6.9517245999999998E-4"/>
    <x v="0"/>
  </r>
  <r>
    <n v="64"/>
    <n v="0"/>
    <n v="0"/>
    <n v="6"/>
    <n v="1"/>
    <n v="5"/>
    <n v="0"/>
    <n v="55"/>
    <n v="4"/>
    <n v="1"/>
    <n v="4"/>
    <n v="2508"/>
    <n v="1580"/>
    <n v="928"/>
    <n v="0.44"/>
    <n v="1607"/>
    <n v="44"/>
    <n v="0.41899999999999998"/>
    <n v="0.63"/>
    <n v="1.4907000000000001E-4"/>
    <n v="0.99985000000000002"/>
    <s v="14.777727842251116"/>
    <s v="12.842554075707469"/>
    <s v="15.972435456601271"/>
    <s v="11.22708005021486"/>
    <n v="719161683"/>
    <x v="0"/>
    <n v="1.1982243E-3"/>
    <x v="0"/>
  </r>
  <r>
    <n v="49"/>
    <n v="1"/>
    <n v="3"/>
    <n v="2"/>
    <n v="1"/>
    <n v="3"/>
    <n v="0"/>
    <n v="40"/>
    <n v="4"/>
    <n v="2"/>
    <n v="3"/>
    <n v="4576"/>
    <n v="193"/>
    <n v="4383"/>
    <n v="0.85"/>
    <n v="3100"/>
    <n v="54"/>
    <n v="0.74199999999999999"/>
    <n v="4.2000000000000003E-2"/>
    <n v="0.99499000000000004"/>
    <n v="5.0099999999999997E-3"/>
    <s v="19.668702388471445"/>
    <s v="1.2135150752512482"/>
    <s v="10.541861553779146"/>
    <s v="6.6828690583361015"/>
    <n v="789907533"/>
    <x v="1"/>
    <n v="0.99636720000000001"/>
    <x v="1"/>
  </r>
  <r>
    <n v="33"/>
    <n v="1"/>
    <n v="2"/>
    <n v="1"/>
    <n v="2"/>
    <n v="0"/>
    <n v="0"/>
    <n v="23"/>
    <n v="5"/>
    <n v="1"/>
    <n v="1"/>
    <n v="14914"/>
    <n v="1102"/>
    <n v="13812"/>
    <n v="0.82299999999999995"/>
    <n v="4478"/>
    <n v="87"/>
    <n v="0.67300000000000004"/>
    <n v="7.3999999999999996E-2"/>
    <s v="4.8064e-05"/>
    <n v="0.99995000000000001"/>
    <s v="36.68638116377776"/>
    <s v="53.62299849610838"/>
    <s v="19.711716837789552"/>
    <s v="2.2160260139522965"/>
    <n v="780199233"/>
    <x v="0"/>
    <n v="3.4749169999999998E-4"/>
    <x v="0"/>
  </r>
  <r>
    <n v="47"/>
    <n v="1"/>
    <n v="3"/>
    <n v="5"/>
    <n v="2"/>
    <n v="1"/>
    <n v="0"/>
    <n v="39"/>
    <n v="4"/>
    <n v="3"/>
    <n v="1"/>
    <n v="1809"/>
    <n v="457"/>
    <n v="1352"/>
    <n v="0.70299999999999996"/>
    <n v="2169"/>
    <n v="49"/>
    <n v="0.48499999999999999"/>
    <n v="0.253"/>
    <n v="0.99143000000000003"/>
    <n v="8.5699999999999995E-3"/>
    <n v="17.540980141313302"/>
    <s v="11.745487628584517"/>
    <s v="67.13783005240553"/>
    <s v="12.28935476926412"/>
    <n v="709729533"/>
    <x v="1"/>
    <n v="0.99819880000000005"/>
    <x v="1"/>
  </r>
  <r>
    <n v="47"/>
    <n v="0"/>
    <n v="3"/>
    <n v="0"/>
    <n v="1"/>
    <n v="4"/>
    <n v="0"/>
    <n v="38"/>
    <n v="5"/>
    <n v="2"/>
    <n v="2"/>
    <n v="1585"/>
    <n v="1304"/>
    <n v="281"/>
    <n v="0.72699999999999998"/>
    <n v="4656"/>
    <n v="80"/>
    <n v="0.6"/>
    <n v="0.82299999999999995"/>
    <n v="1.1483E-4"/>
    <n v="0.99988999999999995"/>
    <s v="65.93201954732706"/>
    <s v="32.87495844396389"/>
    <s v="9.573149922653876"/>
    <s v="1.2198154414678952"/>
    <n v="714083208"/>
    <x v="0"/>
    <n v="3.2914013999999999E-4"/>
    <x v="0"/>
  </r>
  <r>
    <n v="47"/>
    <n v="1"/>
    <n v="2"/>
    <n v="6"/>
    <n v="1"/>
    <n v="3"/>
    <n v="0"/>
    <n v="37"/>
    <n v="2"/>
    <n v="3"/>
    <n v="3"/>
    <n v="5449"/>
    <n v="1628"/>
    <n v="3821"/>
    <n v="0.69599999999999995"/>
    <n v="836"/>
    <n v="18"/>
    <n v="0.38500000000000001"/>
    <n v="0.29899999999999999"/>
    <n v="0.997"/>
    <n v="2.9974300000000001E-3"/>
    <n v="4.83600977994137E-2"/>
    <s v="24.573055919415207"/>
    <s v="12.788815313886378"/>
    <s v="15.121920560594017"/>
    <n v="711887583"/>
    <x v="1"/>
    <n v="0.99598819999999999"/>
    <x v="1"/>
  </r>
  <r>
    <n v="37"/>
    <n v="1"/>
    <n v="2"/>
    <n v="3"/>
    <n v="2"/>
    <n v="1"/>
    <n v="0"/>
    <n v="30"/>
    <n v="6"/>
    <n v="3"/>
    <n v="4"/>
    <n v="4297"/>
    <n v="0"/>
    <n v="4297"/>
    <n v="0.79700000000000004"/>
    <n v="4310"/>
    <n v="76"/>
    <n v="0.76700000000000002"/>
    <n v="0"/>
    <n v="5.0162999999999998E-4"/>
    <n v="0.99950000000000006"/>
    <s v="22.32807394606808"/>
    <s v="1.924519435986836"/>
    <s v="2.654566965898823"/>
    <s v="18.58797850275245"/>
    <n v="714043008"/>
    <x v="0"/>
    <n v="6.9517245999999998E-4"/>
    <x v="0"/>
  </r>
  <r>
    <n v="34"/>
    <n v="1"/>
    <n v="1"/>
    <n v="2"/>
    <n v="1"/>
    <n v="3"/>
    <n v="0"/>
    <n v="36"/>
    <n v="5"/>
    <n v="3"/>
    <n v="2"/>
    <n v="6313"/>
    <n v="782"/>
    <n v="5531"/>
    <n v="0.93100000000000005"/>
    <n v="1703"/>
    <n v="34"/>
    <n v="0.88900000000000001"/>
    <n v="0.124"/>
    <n v="1.6882999999999999E-4"/>
    <n v="0.99983"/>
    <s v="37.588411131698365"/>
    <s v="33.89982273289878"/>
    <s v="77.41230509515353"/>
    <s v="3.943812354747127"/>
    <n v="709942383"/>
    <x v="0"/>
    <n v="1.6686447E-3"/>
    <x v="0"/>
  </r>
  <r>
    <n v="45"/>
    <n v="1"/>
    <n v="2"/>
    <n v="5"/>
    <n v="3"/>
    <n v="3"/>
    <n v="0"/>
    <n v="41"/>
    <n v="6"/>
    <n v="2"/>
    <n v="2"/>
    <n v="23271"/>
    <n v="1262"/>
    <n v="22009"/>
    <n v="0.71799999999999997"/>
    <n v="1402"/>
    <n v="34"/>
    <n v="0.88900000000000001"/>
    <n v="5.3999999999999999E-2"/>
    <n v="1.1703E-4"/>
    <n v="0.99987999999999999"/>
    <s v="12.384991182851264"/>
    <s v="58.822629951140506"/>
    <s v="16.11680120711798"/>
    <s v="16.577096150554237"/>
    <n v="823535133"/>
    <x v="0"/>
    <n v="1.0985557E-3"/>
    <x v="0"/>
  </r>
  <r>
    <n v="35"/>
    <n v="0"/>
    <n v="1"/>
    <n v="0"/>
    <n v="2"/>
    <n v="5"/>
    <n v="0"/>
    <n v="28"/>
    <n v="4"/>
    <n v="5"/>
    <n v="2"/>
    <n v="3518"/>
    <n v="1575"/>
    <n v="1943"/>
    <n v="0.625"/>
    <n v="2121"/>
    <n v="60"/>
    <n v="0.57899999999999996"/>
    <n v="0.44800000000000001"/>
    <n v="1.8333999999999999E-4"/>
    <n v="0.99982000000000004"/>
    <s v="3.3739579511506768"/>
    <s v="14.130037772619575"/>
    <s v="51.82415486080177"/>
    <s v="4.005987855352038"/>
    <n v="758317233"/>
    <x v="0"/>
    <n v="4.5674305999999999E-4"/>
    <x v="0"/>
  </r>
  <r>
    <n v="37"/>
    <n v="0"/>
    <n v="3"/>
    <n v="0"/>
    <n v="1"/>
    <n v="4"/>
    <n v="0"/>
    <n v="27"/>
    <n v="4"/>
    <n v="2"/>
    <n v="0"/>
    <n v="1438.3"/>
    <n v="687"/>
    <n v="751.3"/>
    <n v="0.77800000000000002"/>
    <n v="4621"/>
    <n v="73"/>
    <n v="1.147"/>
    <n v="0.47799999999999998"/>
    <s v="4.2358e-05"/>
    <n v="0.99995999999999996"/>
    <s v="15.925538517024798"/>
    <s v="25.732922691042244"/>
    <s v="76.91108072549147"/>
    <s v="15.186330425372129"/>
    <n v="719074308"/>
    <x v="0"/>
    <n v="5.4489190000000002E-4"/>
    <x v="0"/>
  </r>
  <r>
    <n v="42"/>
    <n v="0"/>
    <n v="3"/>
    <n v="1"/>
    <n v="2"/>
    <n v="4"/>
    <n v="0"/>
    <n v="30"/>
    <n v="2"/>
    <n v="3"/>
    <n v="3"/>
    <n v="1438.3"/>
    <n v="0"/>
    <n v="1438.3"/>
    <n v="0.373"/>
    <n v="1693"/>
    <n v="37"/>
    <n v="0.42299999999999999"/>
    <n v="0"/>
    <n v="0.99780000000000002"/>
    <n v="2.1958400000000001E-3"/>
    <s v="14.011996646196684"/>
    <s v="28.741413261217684"/>
    <s v="114.83296633719527"/>
    <s v="1.5527061529191593"/>
    <n v="712864683"/>
    <x v="1"/>
    <n v="0.99868020000000002"/>
    <x v="1"/>
  </r>
  <r>
    <n v="48"/>
    <n v="1"/>
    <n v="5"/>
    <n v="6"/>
    <n v="3"/>
    <n v="2"/>
    <n v="0"/>
    <n v="36"/>
    <n v="4"/>
    <n v="1"/>
    <n v="2"/>
    <n v="4100"/>
    <n v="1956"/>
    <n v="2144"/>
    <n v="0.61699999999999999"/>
    <n v="3584"/>
    <n v="61"/>
    <n v="0.74299999999999999"/>
    <n v="0.47699999999999998"/>
    <s v="6.2502e-05"/>
    <n v="0.99994000000000005"/>
    <s v="40.57316555578026"/>
    <s v="29.154671446264015"/>
    <s v="112.6797933979501"/>
    <s v="1.0030139921891503"/>
    <n v="771408483"/>
    <x v="0"/>
    <n v="3.479205E-4"/>
    <x v="0"/>
  </r>
  <r>
    <n v="52"/>
    <n v="1"/>
    <n v="1"/>
    <n v="6"/>
    <n v="0"/>
    <n v="0"/>
    <n v="0"/>
    <n v="41"/>
    <n v="6"/>
    <n v="1"/>
    <n v="2"/>
    <n v="2717"/>
    <n v="1953"/>
    <n v="764"/>
    <n v="0.80900000000000005"/>
    <n v="3974"/>
    <n v="70"/>
    <n v="0.55600000000000005"/>
    <n v="0.71899999999999997"/>
    <s v="5.6825e-05"/>
    <n v="0.99994000000000005"/>
    <s v="23.353548693677027"/>
    <s v="39.67957990310163"/>
    <s v="56.54298000249612"/>
    <s v="5.541602301393795"/>
    <n v="717015333"/>
    <x v="0"/>
    <n v="3.2914013999999999E-4"/>
    <x v="0"/>
  </r>
  <r>
    <n v="41"/>
    <n v="0"/>
    <n v="4"/>
    <n v="1"/>
    <n v="2"/>
    <n v="4"/>
    <n v="0"/>
    <n v="36"/>
    <n v="4"/>
    <n v="3"/>
    <n v="4"/>
    <n v="2687"/>
    <n v="1317"/>
    <n v="1370"/>
    <n v="0.57999999999999996"/>
    <n v="4096"/>
    <n v="76"/>
    <n v="0.72699999999999998"/>
    <n v="0.49"/>
    <n v="7.8293999999999998E-4"/>
    <n v="0.99922"/>
    <s v="8.427201947539928"/>
    <s v="51.08129598937087"/>
    <s v="92.28260887680918"/>
    <n v="4.25420679409042"/>
    <n v="717755058"/>
    <x v="0"/>
    <n v="4.0716246999999999E-4"/>
    <x v="0"/>
  </r>
  <r>
    <n v="39"/>
    <n v="0"/>
    <n v="4"/>
    <n v="6"/>
    <n v="1"/>
    <n v="4"/>
    <n v="0"/>
    <n v="31"/>
    <n v="6"/>
    <n v="1"/>
    <n v="4"/>
    <n v="2890"/>
    <n v="0"/>
    <n v="2890"/>
    <n v="0.54500000000000004"/>
    <n v="2040"/>
    <n v="36"/>
    <n v="0.44"/>
    <n v="0"/>
    <n v="1.8217999999999999E-4"/>
    <n v="0.99982000000000004"/>
    <s v="17.545100978357336"/>
    <s v="25.45374513551489"/>
    <n v="40.677050736577399"/>
    <s v="2.5743370456638184"/>
    <n v="710241858"/>
    <x v="0"/>
    <n v="5.0474659999999996E-3"/>
    <x v="0"/>
  </r>
  <r>
    <n v="62"/>
    <n v="1"/>
    <n v="0"/>
    <n v="2"/>
    <n v="0"/>
    <n v="1"/>
    <n v="0"/>
    <n v="36"/>
    <n v="6"/>
    <n v="3"/>
    <n v="2"/>
    <n v="4049"/>
    <n v="0"/>
    <n v="4049"/>
    <n v="0.56699999999999995"/>
    <n v="4003"/>
    <n v="73"/>
    <n v="0.65900000000000003"/>
    <n v="0"/>
    <n v="1.5435000000000001E-4"/>
    <n v="0.99985000000000002"/>
    <s v="27.791459311377185"/>
    <s v="69.62347083692109"/>
    <s v="25.01195946185591"/>
    <s v="16.803378927465882"/>
    <n v="714655758"/>
    <x v="0"/>
    <n v="6.9517245999999998E-4"/>
    <x v="0"/>
  </r>
  <r>
    <n v="44"/>
    <n v="0"/>
    <n v="3"/>
    <n v="2"/>
    <n v="1"/>
    <n v="5"/>
    <n v="0"/>
    <n v="31"/>
    <n v="5"/>
    <n v="2"/>
    <n v="0"/>
    <n v="24936"/>
    <n v="2053"/>
    <n v="22883"/>
    <n v="0.71599999999999997"/>
    <n v="1810"/>
    <n v="38"/>
    <n v="0.72699999999999998"/>
    <n v="8.2000000000000003E-2"/>
    <s v="4.3568e-05"/>
    <n v="0.99995999999999996"/>
    <s v="44.87900242696998"/>
    <s v="9.560053404779811"/>
    <s v="32.53451474644751"/>
    <s v="0.2508509230965371"/>
    <n v="713637783"/>
    <x v="0"/>
    <n v="1.0911548000000001E-3"/>
    <x v="0"/>
  </r>
  <r>
    <n v="49"/>
    <n v="1"/>
    <n v="3"/>
    <n v="3"/>
    <n v="2"/>
    <n v="0"/>
    <n v="0"/>
    <n v="43"/>
    <n v="1"/>
    <n v="2"/>
    <n v="1"/>
    <n v="21680"/>
    <n v="1587"/>
    <n v="20093"/>
    <n v="0.60499999999999998"/>
    <n v="4410"/>
    <n v="86"/>
    <n v="0.72"/>
    <n v="7.2999999999999995E-2"/>
    <s v="6.9242e-05"/>
    <n v="0.99992999999999999"/>
    <s v="47.18965226210347"/>
    <s v="45.08832812831013"/>
    <s v="84.56136243158699"/>
    <s v="1.325625854848471"/>
    <n v="793736958"/>
    <x v="0"/>
    <n v="3.5729867999999997E-4"/>
    <x v="0"/>
  </r>
  <r>
    <n v="60"/>
    <n v="1"/>
    <n v="2"/>
    <n v="2"/>
    <n v="2"/>
    <n v="2"/>
    <n v="0"/>
    <n v="48"/>
    <n v="3"/>
    <n v="4"/>
    <n v="1"/>
    <n v="10886"/>
    <n v="1145"/>
    <n v="9741"/>
    <n v="0.749"/>
    <n v="3488"/>
    <n v="66"/>
    <n v="0.53500000000000003"/>
    <n v="0.105"/>
    <n v="1.3109999999999999E-4"/>
    <n v="0.99987000000000004"/>
    <s v="2.9975595437846025"/>
    <s v="54.90309413271999"/>
    <n v="74.688967746182897"/>
    <s v="16.318175618054063"/>
    <n v="771527508"/>
    <x v="0"/>
    <n v="3.2914013999999999E-4"/>
    <x v="0"/>
  </r>
  <r>
    <n v="46"/>
    <n v="1"/>
    <n v="2"/>
    <n v="6"/>
    <n v="3"/>
    <n v="0"/>
    <n v="0"/>
    <n v="37"/>
    <n v="3"/>
    <n v="2"/>
    <n v="4"/>
    <n v="3132"/>
    <n v="1466"/>
    <n v="1666"/>
    <n v="0.68899999999999995"/>
    <n v="3612"/>
    <n v="59"/>
    <n v="0.59499999999999997"/>
    <n v="0.46800000000000003"/>
    <n v="3.5893999999999998E-4"/>
    <n v="0.99963999999999997"/>
    <s v="45.41652490463952"/>
    <n v="47.2157483923664"/>
    <n v="20.319200603530199"/>
    <s v="3.1617976944316486"/>
    <n v="787581858"/>
    <x v="0"/>
    <n v="3.9492500000000002E-4"/>
    <x v="0"/>
  </r>
  <r>
    <n v="50"/>
    <n v="0"/>
    <n v="2"/>
    <n v="2"/>
    <n v="1"/>
    <n v="1"/>
    <n v="0"/>
    <n v="44"/>
    <n v="6"/>
    <n v="2"/>
    <n v="3"/>
    <n v="2339"/>
    <n v="1440"/>
    <n v="899"/>
    <n v="0.43099999999999999"/>
    <n v="893"/>
    <n v="22"/>
    <n v="0.375"/>
    <n v="0.61599999999999999"/>
    <n v="1.9143E-4"/>
    <n v="0.99980999999999998"/>
    <s v="62.14505676979434"/>
    <s v="28.61178569273915"/>
    <s v="49.693520134872166"/>
    <s v="3.765111550551572"/>
    <n v="793059108"/>
    <x v="0"/>
    <n v="1.2949685E-3"/>
    <x v="0"/>
  </r>
  <r>
    <n v="42"/>
    <n v="0"/>
    <n v="3"/>
    <n v="2"/>
    <n v="1"/>
    <n v="4"/>
    <n v="0"/>
    <n v="23"/>
    <n v="4"/>
    <n v="2"/>
    <n v="3"/>
    <n v="2797"/>
    <n v="1943"/>
    <n v="854"/>
    <n v="0.89900000000000002"/>
    <n v="4917"/>
    <n v="66"/>
    <n v="0.78400000000000003"/>
    <n v="0.69499999999999995"/>
    <n v="1.9864000000000001E-4"/>
    <n v="0.99980000000000002"/>
    <s v="37.11704337161933"/>
    <s v="0.3840288776480379"/>
    <s v="79.31908249470645"/>
    <s v="7.089193871686616"/>
    <n v="719758758"/>
    <x v="0"/>
    <n v="3.221314E-4"/>
    <x v="0"/>
  </r>
  <r>
    <n v="46"/>
    <n v="0"/>
    <n v="1"/>
    <n v="0"/>
    <n v="1"/>
    <n v="4"/>
    <n v="0"/>
    <n v="23"/>
    <n v="5"/>
    <n v="2"/>
    <n v="1"/>
    <n v="1723"/>
    <n v="1010"/>
    <n v="713"/>
    <n v="0.70399999999999996"/>
    <n v="4112"/>
    <n v="82"/>
    <n v="0.86399999999999999"/>
    <n v="0.58599999999999997"/>
    <s v="6.2639e-05"/>
    <n v="0.99994000000000005"/>
    <s v="4.801411113931098"/>
    <s v="25.693408579825924"/>
    <s v="74.06686711064813"/>
    <n v="8.8591666152840496"/>
    <n v="720357483"/>
    <x v="0"/>
    <n v="3.2101269999999999E-4"/>
    <x v="0"/>
  </r>
  <r>
    <n v="49"/>
    <n v="0"/>
    <n v="2"/>
    <n v="0"/>
    <n v="2"/>
    <n v="4"/>
    <n v="0"/>
    <n v="41"/>
    <n v="6"/>
    <n v="3"/>
    <n v="1"/>
    <n v="2018"/>
    <n v="1366"/>
    <n v="652"/>
    <n v="0.96399999999999997"/>
    <n v="4842"/>
    <n v="69"/>
    <n v="0.5"/>
    <n v="0.67700000000000005"/>
    <n v="1.0546E-4"/>
    <n v="0.99988999999999995"/>
    <s v="18.900671738165137"/>
    <s v="6.002943844432574"/>
    <s v="54.10966065116823"/>
    <s v="7.722699251716316"/>
    <n v="752648883"/>
    <x v="0"/>
    <n v="3.5872155999999998E-4"/>
    <x v="0"/>
  </r>
  <r>
    <n v="51"/>
    <n v="1"/>
    <n v="4"/>
    <n v="5"/>
    <n v="2"/>
    <n v="0"/>
    <n v="3"/>
    <n v="39"/>
    <n v="5"/>
    <n v="2"/>
    <n v="1"/>
    <n v="34516"/>
    <n v="1959"/>
    <n v="32557"/>
    <n v="0.88800000000000001"/>
    <n v="3997"/>
    <n v="54"/>
    <n v="0.92900000000000005"/>
    <n v="5.7000000000000002E-2"/>
    <s v="6.6879e-05"/>
    <n v="0.99992999999999999"/>
    <s v="16.725669532723654"/>
    <s v="48.59600867661192"/>
    <s v="26.89725652588465"/>
    <s v="6.742705989939158"/>
    <n v="712000758"/>
    <x v="0"/>
    <n v="5.6727679999999997E-4"/>
    <x v="0"/>
  </r>
  <r>
    <n v="50"/>
    <n v="0"/>
    <n v="1"/>
    <n v="0"/>
    <n v="1"/>
    <n v="5"/>
    <n v="0"/>
    <n v="37"/>
    <n v="2"/>
    <n v="2"/>
    <n v="3"/>
    <n v="1461"/>
    <n v="0"/>
    <n v="1461"/>
    <n v="0.56299999999999994"/>
    <n v="2176"/>
    <n v="40"/>
    <n v="0.379"/>
    <n v="0"/>
    <n v="0.99431000000000003"/>
    <n v="5.6899999999999997E-3"/>
    <s v="41.53824364978231"/>
    <s v="112.7131216164024"/>
    <s v="94.55330389795964"/>
    <s v="3.067133741385704"/>
    <n v="713253858"/>
    <x v="1"/>
    <n v="0.99876772999999996"/>
    <x v="1"/>
  </r>
  <r>
    <n v="51"/>
    <n v="1"/>
    <n v="3"/>
    <n v="3"/>
    <n v="2"/>
    <n v="3"/>
    <n v="3"/>
    <n v="38"/>
    <n v="5"/>
    <n v="3"/>
    <n v="4"/>
    <n v="34516"/>
    <n v="1802"/>
    <n v="32714"/>
    <n v="0.91200000000000003"/>
    <n v="4544"/>
    <n v="80"/>
    <n v="0.56899999999999995"/>
    <n v="5.1999999999999998E-2"/>
    <n v="4.7034000000000003E-4"/>
    <n v="0.99953000000000003"/>
    <s v="1.0488895266178078"/>
    <s v="37.20234087244516"/>
    <s v="193.0032894448911"/>
    <s v="1.737748409240209"/>
    <n v="709407933"/>
    <x v="0"/>
    <n v="3.8516849999999998E-4"/>
    <x v="0"/>
  </r>
  <r>
    <n v="41"/>
    <n v="0"/>
    <n v="3"/>
    <n v="5"/>
    <n v="3"/>
    <n v="5"/>
    <n v="0"/>
    <n v="36"/>
    <n v="2"/>
    <n v="3"/>
    <n v="1"/>
    <n v="13733"/>
    <n v="0"/>
    <n v="13733"/>
    <n v="0.32500000000000001"/>
    <n v="1591"/>
    <n v="30"/>
    <n v="0.875"/>
    <n v="0"/>
    <n v="0.99143000000000003"/>
    <n v="8.5699999999999995E-3"/>
    <s v="19.46603347841559"/>
    <s v="22.18147713487179"/>
    <s v="89.11620170403589"/>
    <s v="21.31401574756933"/>
    <n v="713920158"/>
    <x v="1"/>
    <n v="0.99828220000000001"/>
    <x v="1"/>
  </r>
  <r>
    <n v="43"/>
    <n v="0"/>
    <n v="4"/>
    <n v="6"/>
    <n v="3"/>
    <n v="5"/>
    <n v="0"/>
    <n v="34"/>
    <n v="5"/>
    <n v="3"/>
    <n v="3"/>
    <n v="12778"/>
    <n v="1528"/>
    <n v="11250"/>
    <n v="0.77700000000000002"/>
    <n v="3337"/>
    <n v="69"/>
    <n v="0.76900000000000002"/>
    <n v="0.12"/>
    <n v="3.4872000000000001E-4"/>
    <n v="0.99965000000000004"/>
    <s v="18.99508257143173"/>
    <s v="15.512110269068769"/>
    <s v="31.56071340518244"/>
    <s v="5.922050488688681"/>
    <n v="712019883"/>
    <x v="0"/>
    <n v="3.2101269999999999E-4"/>
    <x v="0"/>
  </r>
  <r>
    <n v="52"/>
    <n v="1"/>
    <n v="0"/>
    <n v="3"/>
    <n v="1"/>
    <n v="0"/>
    <n v="3"/>
    <n v="41"/>
    <n v="3"/>
    <n v="3"/>
    <n v="1"/>
    <n v="34516"/>
    <n v="1043"/>
    <n v="33473"/>
    <n v="0.56200000000000006"/>
    <n v="1489"/>
    <n v="38"/>
    <n v="0.35699999999999998"/>
    <n v="0.03"/>
    <s v="8.1766e-05"/>
    <n v="0.99992000000000003"/>
    <s v="11.107389694644624"/>
    <s v="22.08178831885073"/>
    <s v="46.73607710162918"/>
    <s v="16.258252961213554"/>
    <n v="720998358"/>
    <x v="0"/>
    <n v="1.3718942999999999E-3"/>
    <x v="0"/>
  </r>
  <r>
    <n v="50"/>
    <n v="0"/>
    <n v="3"/>
    <n v="5"/>
    <n v="2"/>
    <n v="4"/>
    <n v="0"/>
    <n v="41"/>
    <n v="4"/>
    <n v="2"/>
    <n v="2"/>
    <n v="2563"/>
    <n v="1860"/>
    <n v="703"/>
    <n v="0.68"/>
    <n v="3774"/>
    <n v="83"/>
    <n v="0.80400000000000005"/>
    <n v="0.72599999999999998"/>
    <n v="1.2144E-4"/>
    <n v="0.99987999999999999"/>
    <s v="1.4516048885626665"/>
    <s v="30.795960573038005"/>
    <s v="25.56134493128984"/>
    <s v="1.151522145746737"/>
    <n v="718009158"/>
    <x v="0"/>
    <n v="3.2101269999999999E-4"/>
    <x v="0"/>
  </r>
  <r>
    <n v="44"/>
    <n v="0"/>
    <n v="5"/>
    <n v="6"/>
    <n v="2"/>
    <n v="4"/>
    <n v="0"/>
    <n v="24"/>
    <n v="4"/>
    <n v="3"/>
    <n v="3"/>
    <n v="2003"/>
    <n v="1224"/>
    <n v="779"/>
    <n v="0.64600000000000002"/>
    <n v="1756"/>
    <n v="42"/>
    <n v="0.35499999999999998"/>
    <n v="0.61099999999999999"/>
    <n v="3.4328000000000001E-4"/>
    <n v="0.99965999999999999"/>
    <s v="2.163770587960884"/>
    <s v="32.33056304990805"/>
    <s v="44.17567173038783"/>
    <s v="20.08781464334893"/>
    <n v="778357458"/>
    <x v="0"/>
    <n v="1.1982243E-3"/>
    <x v="0"/>
  </r>
  <r>
    <n v="41"/>
    <n v="1"/>
    <n v="2"/>
    <n v="3"/>
    <n v="1"/>
    <n v="3"/>
    <n v="0"/>
    <n v="24"/>
    <n v="4"/>
    <n v="1"/>
    <n v="3"/>
    <n v="9366"/>
    <n v="1104"/>
    <n v="8262"/>
    <n v="0.57199999999999995"/>
    <n v="1303"/>
    <n v="39"/>
    <n v="0.625"/>
    <n v="0.11799999999999999"/>
    <s v="9.0056e-05"/>
    <n v="0.99990999999999997"/>
    <s v="10.394238433711838"/>
    <s v="98.29355554573615"/>
    <s v="76.53040410951196"/>
    <s v="16.489605729554153"/>
    <n v="712350858"/>
    <x v="0"/>
    <n v="1.0598798E-3"/>
    <x v="0"/>
  </r>
  <r>
    <n v="42"/>
    <n v="1"/>
    <n v="2"/>
    <n v="0"/>
    <n v="2"/>
    <n v="2"/>
    <n v="0"/>
    <n v="36"/>
    <n v="5"/>
    <n v="3"/>
    <n v="2"/>
    <n v="8083"/>
    <n v="0"/>
    <n v="8083"/>
    <n v="1.0760000000000001"/>
    <n v="3942"/>
    <n v="84"/>
    <n v="0.75"/>
    <n v="0"/>
    <n v="1.7488000000000001E-4"/>
    <n v="0.99983"/>
    <s v="0.5414657663562712"/>
    <s v="15.49185664022228"/>
    <s v="56.67742108557158"/>
    <s v="23.94983650763337"/>
    <n v="717970158"/>
    <x v="0"/>
    <n v="7.4699510000000001E-4"/>
    <x v="0"/>
  </r>
  <r>
    <n v="45"/>
    <n v="0"/>
    <n v="3"/>
    <n v="5"/>
    <n v="2"/>
    <n v="4"/>
    <n v="0"/>
    <n v="30"/>
    <n v="3"/>
    <n v="2"/>
    <n v="3"/>
    <n v="2059"/>
    <n v="1118"/>
    <n v="941"/>
    <n v="0.78800000000000003"/>
    <n v="4110"/>
    <n v="71"/>
    <n v="1.1519999999999999"/>
    <n v="0.54300000000000004"/>
    <n v="2.0424000000000001E-4"/>
    <n v="0.99980000000000002"/>
    <s v="55.96995514883616"/>
    <s v="7.419095775814624"/>
    <s v="6.085184329806203"/>
    <s v="0.7893393859097889"/>
    <n v="817422408"/>
    <x v="0"/>
    <n v="3.2101269999999999E-4"/>
    <x v="0"/>
  </r>
  <r>
    <n v="53"/>
    <n v="0"/>
    <n v="1"/>
    <n v="1"/>
    <n v="1"/>
    <n v="4"/>
    <n v="0"/>
    <n v="36"/>
    <n v="3"/>
    <n v="1"/>
    <n v="2"/>
    <n v="3128"/>
    <n v="2517"/>
    <n v="611"/>
    <n v="0.69599999999999995"/>
    <n v="2361"/>
    <n v="42"/>
    <n v="0.82599999999999996"/>
    <n v="0.80500000000000005"/>
    <s v="7.4811e-05"/>
    <n v="0.99992999999999999"/>
    <s v="22.64348323837705"/>
    <s v="51.43705971744629"/>
    <s v="16.548811866796413"/>
    <s v="14.557693447426422"/>
    <n v="721129383"/>
    <x v="0"/>
    <n v="1.3329288E-3"/>
    <x v="0"/>
  </r>
  <r>
    <n v="48"/>
    <n v="1"/>
    <n v="4"/>
    <n v="2"/>
    <n v="3"/>
    <n v="2"/>
    <n v="1"/>
    <n v="32"/>
    <n v="5"/>
    <n v="1"/>
    <n v="3"/>
    <n v="34516"/>
    <n v="1285"/>
    <n v="33231"/>
    <n v="0.65400000000000003"/>
    <n v="15279"/>
    <n v="122"/>
    <n v="0.64900000000000002"/>
    <n v="3.6999999999999998E-2"/>
    <n v="1.1192999999999999E-4"/>
    <n v="0.99988999999999995"/>
    <s v="26.935193823774814"/>
    <s v="1.0000196574336773"/>
    <s v="12.604109214580063"/>
    <s v="6.481426221214515"/>
    <n v="716850558"/>
    <x v="0"/>
    <n v="3.9550033E-4"/>
    <x v="0"/>
  </r>
  <r>
    <n v="51"/>
    <n v="1"/>
    <n v="0"/>
    <n v="1"/>
    <n v="2"/>
    <n v="2"/>
    <n v="0"/>
    <n v="36"/>
    <n v="6"/>
    <n v="2"/>
    <n v="3"/>
    <n v="3232"/>
    <n v="1346"/>
    <n v="1886"/>
    <n v="0.69699999999999995"/>
    <n v="5102"/>
    <n v="69"/>
    <n v="0.64300000000000002"/>
    <n v="0.41599999999999998"/>
    <n v="2.3771E-4"/>
    <n v="0.99975999999999998"/>
    <s v="39.41124349789836"/>
    <s v="5.939611666089681"/>
    <s v="16.22711671774232"/>
    <s v="10.36673465836483"/>
    <n v="721072908"/>
    <x v="0"/>
    <n v="3.2914013999999999E-4"/>
    <x v="0"/>
  </r>
  <r>
    <n v="50"/>
    <n v="0"/>
    <n v="3"/>
    <n v="2"/>
    <n v="1"/>
    <n v="4"/>
    <n v="0"/>
    <n v="40"/>
    <n v="3"/>
    <n v="2"/>
    <n v="2"/>
    <n v="2925"/>
    <n v="2065"/>
    <n v="860"/>
    <n v="0.69199999999999995"/>
    <n v="3913"/>
    <n v="47"/>
    <n v="1.474"/>
    <n v="0.70599999999999996"/>
    <n v="1.1811000000000001E-4"/>
    <n v="0.99987999999999999"/>
    <s v="1.3273595985892996"/>
    <s v="21.786447676862995"/>
    <s v="37.84167008727484"/>
    <s v="2.4092680156997104"/>
    <n v="789820308"/>
    <x v="0"/>
    <n v="1.0441580999999999E-3"/>
    <x v="0"/>
  </r>
  <r>
    <n v="52"/>
    <n v="1"/>
    <n v="2"/>
    <n v="3"/>
    <n v="1"/>
    <n v="3"/>
    <n v="0"/>
    <n v="47"/>
    <n v="1"/>
    <n v="1"/>
    <n v="1"/>
    <n v="11358"/>
    <n v="1425"/>
    <n v="9933"/>
    <n v="0.61099999999999999"/>
    <n v="14327"/>
    <n v="92"/>
    <n v="0.67300000000000004"/>
    <n v="0.125"/>
    <s v="3.2288e-05"/>
    <n v="0.99997000000000003"/>
    <s v="5.240615154234245"/>
    <s v="23.335647983308636"/>
    <s v="105.41940545163588"/>
    <s v="9.774691796891863"/>
    <n v="809540733"/>
    <x v="0"/>
    <n v="3.4656386999999997E-4"/>
    <x v="0"/>
  </r>
  <r>
    <n v="61"/>
    <n v="0"/>
    <n v="0"/>
    <n v="2"/>
    <n v="2"/>
    <n v="4"/>
    <n v="0"/>
    <n v="36"/>
    <n v="5"/>
    <n v="3"/>
    <n v="3"/>
    <n v="2207"/>
    <n v="2020"/>
    <n v="187"/>
    <n v="0.69299999999999995"/>
    <n v="4348"/>
    <n v="84"/>
    <n v="0.64700000000000002"/>
    <n v="0.91500000000000004"/>
    <n v="2.5960000000000002E-4"/>
    <n v="0.99973999999999996"/>
    <s v="7.011070748240821"/>
    <s v="1.976512631535572"/>
    <s v="136.11775308424146"/>
    <s v="6.260501432400879"/>
    <n v="713440833"/>
    <x v="0"/>
    <n v="3.2914013999999999E-4"/>
    <x v="0"/>
  </r>
  <r>
    <n v="50"/>
    <n v="0"/>
    <n v="2"/>
    <n v="3"/>
    <n v="1"/>
    <n v="1"/>
    <n v="0"/>
    <n v="45"/>
    <n v="6"/>
    <n v="3"/>
    <n v="3"/>
    <n v="1438.3"/>
    <n v="0"/>
    <n v="1438.3"/>
    <n v="0.70699999999999996"/>
    <n v="4670"/>
    <n v="82"/>
    <n v="0.86399999999999999"/>
    <n v="0"/>
    <n v="2.9408E-4"/>
    <n v="0.99970999999999999"/>
    <s v="86.45483696913765"/>
    <s v="65.35639001682405"/>
    <s v="18.096852557612998"/>
    <s v="22.88450961952861"/>
    <n v="813807258"/>
    <x v="0"/>
    <n v="6.9517245999999998E-4"/>
    <x v="0"/>
  </r>
  <r>
    <n v="49"/>
    <n v="0"/>
    <n v="2"/>
    <n v="3"/>
    <n v="0"/>
    <n v="1"/>
    <n v="0"/>
    <n v="33"/>
    <n v="4"/>
    <n v="2"/>
    <n v="1"/>
    <n v="7231"/>
    <n v="2517"/>
    <n v="4714"/>
    <n v="0.86499999999999999"/>
    <n v="3912"/>
    <n v="67"/>
    <n v="0.76300000000000001"/>
    <n v="0.34799999999999998"/>
    <s v="6.6728e-05"/>
    <n v="0.99992999999999999"/>
    <s v="92.38177315948774"/>
    <s v="36.67345449617673"/>
    <s v="76.89384515426516"/>
    <s v="2.4970310169042014"/>
    <n v="718403358"/>
    <x v="0"/>
    <n v="3.4692350000000002E-4"/>
    <x v="0"/>
  </r>
  <r>
    <n v="47"/>
    <n v="1"/>
    <n v="3"/>
    <n v="6"/>
    <n v="2"/>
    <n v="0"/>
    <n v="0"/>
    <n v="42"/>
    <n v="5"/>
    <n v="3"/>
    <n v="2"/>
    <n v="8856"/>
    <n v="1433"/>
    <n v="7423"/>
    <n v="0.81100000000000005"/>
    <n v="5072"/>
    <n v="77"/>
    <n v="0.71099999999999997"/>
    <n v="0.16200000000000001"/>
    <n v="2.0515999999999999E-4"/>
    <n v="0.99978999999999996"/>
    <s v="3.505777880589004"/>
    <s v="16.241794967491003"/>
    <s v="103.43586137390402"/>
    <s v="8.026619201822566"/>
    <n v="815812683"/>
    <x v="0"/>
    <n v="3.2101269999999999E-4"/>
    <x v="0"/>
  </r>
  <r>
    <n v="52"/>
    <n v="0"/>
    <n v="1"/>
    <n v="0"/>
    <n v="1"/>
    <n v="5"/>
    <n v="0"/>
    <n v="43"/>
    <n v="3"/>
    <n v="3"/>
    <n v="1"/>
    <n v="10431"/>
    <n v="2163"/>
    <n v="8268"/>
    <n v="0.64"/>
    <n v="4598"/>
    <n v="69"/>
    <n v="0.86499999999999999"/>
    <n v="0.20699999999999999"/>
    <s v="9.8992e-05"/>
    <n v="0.99990000000000001"/>
    <s v="16.72645502324394"/>
    <s v="43.28401546037079"/>
    <s v="140.66346401190685"/>
    <s v="5.505244467408715"/>
    <n v="720482583"/>
    <x v="0"/>
    <n v="3.2101269999999999E-4"/>
    <x v="0"/>
  </r>
  <r>
    <n v="33"/>
    <n v="1"/>
    <n v="2"/>
    <n v="0"/>
    <n v="2"/>
    <n v="3"/>
    <n v="0"/>
    <n v="23"/>
    <n v="3"/>
    <n v="4"/>
    <n v="3"/>
    <n v="7081"/>
    <n v="1874"/>
    <n v="5207"/>
    <n v="0.69899999999999995"/>
    <n v="2249"/>
    <n v="47"/>
    <n v="1.35"/>
    <n v="0.26500000000000001"/>
    <n v="3.5543E-4"/>
    <n v="0.99963999999999997"/>
    <s v="12.125182605332467"/>
    <s v="12.688339306645808"/>
    <s v="3.8039521578085154"/>
    <s v="1.7784848434927645"/>
    <n v="772776033"/>
    <x v="0"/>
    <n v="1.2830065999999999E-3"/>
    <x v="0"/>
  </r>
  <r>
    <n v="59"/>
    <n v="1"/>
    <n v="1"/>
    <n v="0"/>
    <n v="2"/>
    <n v="0"/>
    <n v="0"/>
    <n v="47"/>
    <n v="2"/>
    <n v="4"/>
    <n v="2"/>
    <n v="4789"/>
    <n v="357"/>
    <n v="4432"/>
    <n v="0.79800000000000004"/>
    <n v="2496"/>
    <n v="41"/>
    <n v="0.64"/>
    <n v="7.4999999999999997E-2"/>
    <n v="0.99499000000000004"/>
    <n v="5.0099999999999997E-3"/>
    <s v="25.838200655263226"/>
    <s v="58.46006769149052"/>
    <s v="73.90102653407106"/>
    <s v="17.08441551364755"/>
    <n v="720761208"/>
    <x v="1"/>
    <n v="0.99842549999999997"/>
    <x v="1"/>
  </r>
  <r>
    <n v="48"/>
    <n v="0"/>
    <n v="4"/>
    <n v="2"/>
    <n v="3"/>
    <n v="4"/>
    <n v="0"/>
    <n v="38"/>
    <n v="4"/>
    <n v="3"/>
    <n v="1"/>
    <n v="1438.3"/>
    <n v="0"/>
    <n v="1438.3"/>
    <n v="0.64700000000000002"/>
    <n v="4601"/>
    <n v="78"/>
    <n v="0.625"/>
    <n v="0"/>
    <n v="1.1377E-4"/>
    <n v="0.99988999999999995"/>
    <n v="6.4085650045688203"/>
    <s v="29.226605791249423"/>
    <s v="13.995152881174002"/>
    <s v="1.0717805345903515"/>
    <n v="714506583"/>
    <x v="0"/>
    <n v="7.1276520000000004E-4"/>
    <x v="0"/>
  </r>
  <r>
    <n v="53"/>
    <n v="0"/>
    <n v="0"/>
    <n v="2"/>
    <n v="2"/>
    <n v="4"/>
    <n v="0"/>
    <n v="48"/>
    <n v="4"/>
    <n v="3"/>
    <n v="3"/>
    <n v="5972"/>
    <n v="1885"/>
    <n v="4087"/>
    <n v="0.97299999999999998"/>
    <n v="3491"/>
    <n v="65"/>
    <n v="0.71099999999999997"/>
    <n v="0.316"/>
    <n v="2.5960000000000002E-4"/>
    <n v="0.99973999999999996"/>
    <s v="18.191141682972575"/>
    <s v="11.126608951647237"/>
    <s v="11.408639812874808"/>
    <s v="2.839129998189438"/>
    <n v="811970808"/>
    <x v="0"/>
    <n v="3.3750932000000002E-4"/>
    <x v="0"/>
  </r>
  <r>
    <n v="46"/>
    <n v="0"/>
    <n v="5"/>
    <n v="5"/>
    <n v="2"/>
    <n v="4"/>
    <n v="0"/>
    <n v="38"/>
    <n v="6"/>
    <n v="1"/>
    <n v="4"/>
    <n v="2601"/>
    <n v="1604"/>
    <n v="997"/>
    <n v="0.85299999999999998"/>
    <n v="4835"/>
    <n v="80"/>
    <n v="0.70199999999999996"/>
    <n v="0.61699999999999999"/>
    <n v="1.6776000000000001E-4"/>
    <n v="0.99983"/>
    <s v="47.87419719141492"/>
    <s v="51.45081477025224"/>
    <s v="27.41272264056241"/>
    <s v="1.8544808820148384"/>
    <n v="709229358"/>
    <x v="0"/>
    <n v="3.2101269999999999E-4"/>
    <x v="0"/>
  </r>
  <r>
    <n v="30"/>
    <n v="0"/>
    <n v="2"/>
    <n v="2"/>
    <n v="2"/>
    <n v="4"/>
    <n v="0"/>
    <n v="18"/>
    <n v="3"/>
    <n v="1"/>
    <n v="4"/>
    <n v="4199"/>
    <n v="1903"/>
    <n v="2296"/>
    <n v="1.0589999999999999"/>
    <n v="3016"/>
    <n v="67"/>
    <n v="0.76300000000000001"/>
    <n v="0.45300000000000001"/>
    <n v="1.5804E-4"/>
    <n v="0.99983999999999995"/>
    <s v="33.71224250171454"/>
    <s v="13.929874307883868"/>
    <s v="20.42612973229462"/>
    <s v="4.674269385581964"/>
    <n v="708796458"/>
    <x v="0"/>
    <n v="3.4569670000000001E-4"/>
    <x v="0"/>
  </r>
  <r>
    <n v="58"/>
    <n v="0"/>
    <n v="4"/>
    <n v="5"/>
    <n v="1"/>
    <n v="4"/>
    <n v="0"/>
    <n v="47"/>
    <n v="3"/>
    <n v="3"/>
    <n v="3"/>
    <n v="2822"/>
    <n v="2173"/>
    <n v="649"/>
    <n v="1.456"/>
    <n v="1218"/>
    <n v="23"/>
    <n v="2.286"/>
    <n v="0.77"/>
    <n v="3.2620000000000001E-4"/>
    <n v="0.99966999999999995"/>
    <s v="52.28303198661586"/>
    <s v="33.481347275545545"/>
    <s v="107.93064723683268"/>
    <s v="6.301292776395628"/>
    <n v="715827858"/>
    <x v="0"/>
    <n v="1.0249399E-3"/>
    <x v="0"/>
  </r>
  <r>
    <n v="50"/>
    <n v="1"/>
    <n v="0"/>
    <n v="5"/>
    <n v="1"/>
    <n v="2"/>
    <n v="0"/>
    <n v="36"/>
    <n v="4"/>
    <n v="3"/>
    <n v="3"/>
    <n v="2334"/>
    <n v="707"/>
    <n v="1627"/>
    <n v="0.56100000000000005"/>
    <n v="1386"/>
    <n v="30"/>
    <n v="0.5"/>
    <n v="0.30299999999999999"/>
    <n v="2.6692000000000003E-4"/>
    <n v="0.99973000000000001"/>
    <s v="41.59988674436829"/>
    <s v="47.23512930669913"/>
    <s v="17.67225891777789"/>
    <n v="7.1826415449408101"/>
    <n v="717130383"/>
    <x v="0"/>
    <n v="2.0992573999999999E-3"/>
    <x v="0"/>
  </r>
  <r>
    <n v="43"/>
    <n v="1"/>
    <n v="1"/>
    <n v="2"/>
    <n v="2"/>
    <n v="2"/>
    <n v="3"/>
    <n v="31"/>
    <n v="4"/>
    <n v="3"/>
    <n v="3"/>
    <n v="25824"/>
    <n v="1170"/>
    <n v="24654"/>
    <n v="0.68400000000000005"/>
    <n v="3101"/>
    <n v="73"/>
    <n v="0.78"/>
    <n v="4.4999999999999998E-2"/>
    <n v="2.5657000000000002E-4"/>
    <n v="0.99973999999999996"/>
    <s v="37.77407145454449"/>
    <s v="54.67658281329115"/>
    <s v="105.93599992623436"/>
    <n v="20.409716891208198"/>
    <n v="718076733"/>
    <x v="0"/>
    <n v="3.886885E-4"/>
    <x v="0"/>
  </r>
  <r>
    <n v="50"/>
    <n v="1"/>
    <n v="3"/>
    <n v="2"/>
    <n v="2"/>
    <n v="0"/>
    <n v="0"/>
    <n v="42"/>
    <n v="3"/>
    <n v="1"/>
    <n v="3"/>
    <n v="33996"/>
    <n v="949"/>
    <n v="33047"/>
    <n v="0.84599999999999997"/>
    <n v="3569"/>
    <n v="77"/>
    <n v="0.57099999999999995"/>
    <n v="2.8000000000000001E-2"/>
    <s v="9.6126e-05"/>
    <n v="0.99990000000000001"/>
    <s v="49.80783489557446"/>
    <s v="89.52066796284072"/>
    <s v="55.11507007098172"/>
    <s v="4.533696474730346"/>
    <n v="715731033"/>
    <x v="0"/>
    <n v="4.5103451999999999E-4"/>
    <x v="0"/>
  </r>
  <r>
    <n v="65"/>
    <n v="1"/>
    <n v="1"/>
    <n v="5"/>
    <n v="1"/>
    <n v="1"/>
    <n v="0"/>
    <n v="56"/>
    <n v="3"/>
    <n v="3"/>
    <n v="2"/>
    <n v="2468"/>
    <n v="2021"/>
    <n v="447"/>
    <n v="0.90600000000000003"/>
    <n v="1797"/>
    <n v="46"/>
    <n v="0.58599999999999997"/>
    <n v="0.81899999999999995"/>
    <n v="1.7359999999999999E-4"/>
    <n v="0.99983"/>
    <s v="4.356617824979072"/>
    <s v="25.27267869671608"/>
    <n v="64.471507321029407"/>
    <s v="17.153931718964145"/>
    <n v="812019933"/>
    <x v="0"/>
    <n v="1.0903810999999999E-3"/>
    <x v="0"/>
  </r>
  <r>
    <n v="54"/>
    <n v="0"/>
    <n v="3"/>
    <n v="0"/>
    <n v="2"/>
    <n v="5"/>
    <n v="0"/>
    <n v="49"/>
    <n v="6"/>
    <n v="2"/>
    <n v="3"/>
    <n v="13184"/>
    <n v="0"/>
    <n v="13184"/>
    <n v="1.1659999999999999"/>
    <n v="2047"/>
    <n v="33"/>
    <n v="0.17899999999999999"/>
    <n v="0"/>
    <n v="0.99485000000000001"/>
    <n v="5.1500000000000001E-3"/>
    <s v="17.05598843860176"/>
    <s v="76.44485615876252"/>
    <s v="17.685794825544935"/>
    <s v="5.995058917353857"/>
    <n v="806407308"/>
    <x v="1"/>
    <n v="0.99850559999999999"/>
    <x v="1"/>
  </r>
  <r>
    <n v="59"/>
    <n v="0"/>
    <n v="2"/>
    <n v="5"/>
    <n v="1"/>
    <n v="4"/>
    <n v="0"/>
    <n v="36"/>
    <n v="6"/>
    <n v="3"/>
    <n v="2"/>
    <n v="3850"/>
    <n v="0"/>
    <n v="3850"/>
    <n v="0.50900000000000001"/>
    <n v="15107"/>
    <n v="117"/>
    <n v="0.91800000000000004"/>
    <n v="0"/>
    <n v="1.8494E-4"/>
    <n v="0.99982000000000004"/>
    <s v="15.232544167434998"/>
    <s v="18.651143472847675"/>
    <s v="58.19316120055546"/>
    <s v="7.887678374988781"/>
    <n v="708447858"/>
    <x v="0"/>
    <n v="7.5047980000000002E-4"/>
    <x v="0"/>
  </r>
  <r>
    <n v="36"/>
    <n v="1"/>
    <n v="2"/>
    <n v="2"/>
    <n v="2"/>
    <n v="3"/>
    <n v="3"/>
    <n v="27"/>
    <n v="5"/>
    <n v="2"/>
    <n v="4"/>
    <n v="34516"/>
    <n v="1568"/>
    <n v="32948"/>
    <n v="0.878"/>
    <n v="2873"/>
    <n v="73"/>
    <n v="0.65900000000000003"/>
    <n v="4.4999999999999998E-2"/>
    <n v="2.9506999999999998E-4"/>
    <n v="0.99970000000000003"/>
    <s v="22.179358000241464"/>
    <s v="48.55185374822084"/>
    <n v="43.465875400721103"/>
    <s v="22.141807685617376"/>
    <n v="720282558"/>
    <x v="0"/>
    <n v="4.2509991999999997E-4"/>
    <x v="0"/>
  </r>
  <r>
    <n v="32"/>
    <n v="1"/>
    <n v="1"/>
    <n v="3"/>
    <n v="1"/>
    <n v="1"/>
    <n v="0"/>
    <n v="19"/>
    <n v="2"/>
    <n v="3"/>
    <n v="1"/>
    <n v="12024"/>
    <n v="0"/>
    <n v="12024"/>
    <n v="0.82299999999999995"/>
    <n v="14551"/>
    <n v="105"/>
    <n v="0.78"/>
    <n v="0"/>
    <s v="9.8983e-05"/>
    <n v="0.99990000000000001"/>
    <s v="43.611342176933206"/>
    <s v="7.085500375778291"/>
    <s v="119.2206870412046"/>
    <s v="16.647094530958004"/>
    <n v="711160233"/>
    <x v="0"/>
    <n v="7.5047980000000002E-4"/>
    <x v="0"/>
  </r>
  <r>
    <n v="45"/>
    <n v="0"/>
    <n v="3"/>
    <n v="2"/>
    <n v="1"/>
    <n v="5"/>
    <n v="0"/>
    <n v="40"/>
    <n v="3"/>
    <n v="5"/>
    <n v="3"/>
    <n v="4462"/>
    <n v="706"/>
    <n v="3756"/>
    <n v="0.88600000000000001"/>
    <n v="2526"/>
    <n v="41"/>
    <n v="0.41399999999999998"/>
    <n v="0.158"/>
    <n v="0.99716000000000005"/>
    <n v="2.8431699999999999E-3"/>
    <s v="34.30932261827413"/>
    <s v="13.19644138306165"/>
    <s v="30.051078186684293"/>
    <s v="9.875621219547812"/>
    <n v="809559933"/>
    <x v="1"/>
    <n v="0.99762945999999997"/>
    <x v="1"/>
  </r>
  <r>
    <n v="46"/>
    <n v="1"/>
    <n v="2"/>
    <n v="3"/>
    <n v="3"/>
    <n v="4"/>
    <n v="0"/>
    <n v="37"/>
    <n v="3"/>
    <n v="1"/>
    <n v="1"/>
    <n v="6118"/>
    <n v="1092"/>
    <n v="5026"/>
    <n v="0.75700000000000001"/>
    <n v="4434"/>
    <n v="81"/>
    <n v="0.62"/>
    <n v="0.17799999999999999"/>
    <s v="3.2288e-05"/>
    <n v="0.99997000000000003"/>
    <s v="30.14571458936808"/>
    <s v="38.13022063524018"/>
    <s v="10.87216812801962"/>
    <s v="17.227553834426978"/>
    <n v="711571383"/>
    <x v="0"/>
    <n v="3.2914013999999999E-4"/>
    <x v="0"/>
  </r>
  <r>
    <n v="37"/>
    <n v="1"/>
    <n v="2"/>
    <n v="5"/>
    <n v="2"/>
    <n v="2"/>
    <n v="0"/>
    <n v="36"/>
    <n v="4"/>
    <n v="2"/>
    <n v="2"/>
    <n v="11419"/>
    <n v="2517"/>
    <n v="8902"/>
    <n v="1.2110000000000001"/>
    <n v="3000"/>
    <n v="70"/>
    <n v="1.0589999999999999"/>
    <n v="0.22"/>
    <n v="1.1703E-4"/>
    <n v="0.99987999999999999"/>
    <s v="7.704066950041355"/>
    <n v="74.513544002899494"/>
    <s v="107.2536471684432"/>
    <s v="1.1934382966232082"/>
    <n v="708532308"/>
    <x v="0"/>
    <n v="3.9143197E-4"/>
    <x v="0"/>
  </r>
  <r>
    <n v="53"/>
    <n v="1"/>
    <n v="0"/>
    <n v="2"/>
    <n v="2"/>
    <n v="3"/>
    <n v="0"/>
    <n v="34"/>
    <n v="3"/>
    <n v="1"/>
    <n v="4"/>
    <n v="20231"/>
    <n v="1434"/>
    <n v="18797"/>
    <n v="0.54300000000000004"/>
    <n v="5002"/>
    <n v="78"/>
    <n v="0.66"/>
    <n v="7.0999999999999994E-2"/>
    <n v="1.3562000000000001E-4"/>
    <n v="0.99985999999999997"/>
    <s v="3.0526617670109006"/>
    <s v="6.423560241813525"/>
    <s v="103.96458526758764"/>
    <s v="7.333965486049557"/>
    <n v="716013858"/>
    <x v="0"/>
    <n v="3.5729867999999997E-4"/>
    <x v="0"/>
  </r>
  <r>
    <n v="39"/>
    <n v="1"/>
    <n v="1"/>
    <n v="5"/>
    <n v="1"/>
    <n v="3"/>
    <n v="0"/>
    <n v="26"/>
    <n v="6"/>
    <n v="2"/>
    <n v="3"/>
    <n v="16040"/>
    <n v="1220"/>
    <n v="14820"/>
    <n v="0.86199999999999999"/>
    <n v="1923"/>
    <n v="49"/>
    <n v="0.4"/>
    <n v="7.5999999999999998E-2"/>
    <n v="1.8474999999999999E-4"/>
    <n v="0.99982000000000004"/>
    <s v="17.947868187310345"/>
    <s v="5.801232714396414"/>
    <n v="73.550313307238198"/>
    <s v="10.092160795801792"/>
    <n v="771183933"/>
    <x v="0"/>
    <n v="1.1857011E-3"/>
    <x v="0"/>
  </r>
  <r>
    <n v="45"/>
    <n v="0"/>
    <n v="4"/>
    <n v="0"/>
    <n v="1"/>
    <n v="4"/>
    <n v="0"/>
    <n v="36"/>
    <n v="5"/>
    <n v="1"/>
    <n v="2"/>
    <n v="3349"/>
    <n v="2517"/>
    <n v="832"/>
    <n v="0.78600000000000003"/>
    <n v="4405"/>
    <n v="55"/>
    <n v="1.391"/>
    <n v="0.752"/>
    <s v="5.6158e-05"/>
    <n v="0.99994000000000005"/>
    <s v="30.13909730508383"/>
    <s v="59.75979062715694"/>
    <s v="31.12535656103602"/>
    <s v="5.357920976372877"/>
    <n v="710914158"/>
    <x v="0"/>
    <n v="4.9903199999999995E-4"/>
    <x v="0"/>
  </r>
  <r>
    <n v="40"/>
    <n v="0"/>
    <n v="3"/>
    <n v="5"/>
    <n v="0"/>
    <n v="4"/>
    <n v="0"/>
    <n v="35"/>
    <n v="2"/>
    <n v="3"/>
    <n v="3"/>
    <n v="4772"/>
    <n v="2004"/>
    <n v="2768"/>
    <n v="0.69599999999999995"/>
    <n v="14748"/>
    <n v="118"/>
    <n v="0.76100000000000001"/>
    <n v="0.42"/>
    <n v="3.2275000000000001E-4"/>
    <n v="0.99968000000000001"/>
    <s v="39.95194667066356"/>
    <s v="49.244855403394105"/>
    <s v="29.887076209037943"/>
    <n v="24.534110763529799"/>
    <n v="819616383"/>
    <x v="0"/>
    <n v="3.4656386999999997E-4"/>
    <x v="0"/>
  </r>
  <r>
    <n v="41"/>
    <n v="1"/>
    <n v="4"/>
    <n v="6"/>
    <n v="1"/>
    <n v="0"/>
    <n v="0"/>
    <n v="34"/>
    <n v="1"/>
    <n v="3"/>
    <n v="3"/>
    <n v="34516"/>
    <n v="2517"/>
    <n v="31999"/>
    <n v="0.434"/>
    <n v="2051"/>
    <n v="41"/>
    <n v="1.05"/>
    <n v="7.2999999999999995E-2"/>
    <n v="3.4872000000000001E-4"/>
    <n v="0.99965000000000004"/>
    <n v="56.439760712144803"/>
    <n v="30.442105498591999"/>
    <s v="2.631139047206706"/>
    <s v="2.656183653275043"/>
    <n v="710662158"/>
    <x v="0"/>
    <n v="1.5661288E-3"/>
    <x v="0"/>
  </r>
  <r>
    <n v="42"/>
    <n v="0"/>
    <n v="3"/>
    <n v="0"/>
    <n v="1"/>
    <n v="4"/>
    <n v="0"/>
    <n v="13"/>
    <n v="3"/>
    <n v="2"/>
    <n v="3"/>
    <n v="6078"/>
    <n v="1478"/>
    <n v="4600"/>
    <n v="0.84899999999999998"/>
    <n v="8442"/>
    <n v="95"/>
    <n v="0.50800000000000001"/>
    <n v="0.24299999999999999"/>
    <n v="1.9312999999999999E-4"/>
    <n v="0.99980999999999998"/>
    <s v="4.926052467486779"/>
    <s v="25.59268533714233"/>
    <s v="41.26496056692547"/>
    <s v="0.3744367419704984"/>
    <n v="709474683"/>
    <x v="0"/>
    <n v="3.9225167999999998E-4"/>
    <x v="0"/>
  </r>
  <r>
    <n v="43"/>
    <n v="0"/>
    <n v="2"/>
    <n v="0"/>
    <n v="0"/>
    <n v="5"/>
    <n v="0"/>
    <n v="38"/>
    <n v="4"/>
    <n v="3"/>
    <n v="2"/>
    <n v="3264"/>
    <n v="2042"/>
    <n v="1222"/>
    <n v="0.752"/>
    <n v="4624"/>
    <n v="75"/>
    <n v="0.70499999999999996"/>
    <n v="0.626"/>
    <n v="1.7488000000000001E-4"/>
    <n v="0.99983"/>
    <s v="21.736786608383827"/>
    <s v="51.909654282557575"/>
    <s v="20.35792402428291"/>
    <s v="11.648973469367634"/>
    <n v="814586958"/>
    <x v="0"/>
    <n v="3.2101269999999999E-4"/>
    <x v="0"/>
  </r>
  <r>
    <n v="42"/>
    <n v="1"/>
    <n v="5"/>
    <n v="5"/>
    <n v="1"/>
    <n v="3"/>
    <n v="0"/>
    <n v="37"/>
    <n v="6"/>
    <n v="2"/>
    <n v="2"/>
    <n v="22913"/>
    <n v="1528"/>
    <n v="21385"/>
    <n v="0.41399999999999998"/>
    <n v="1394"/>
    <n v="35"/>
    <n v="0.52200000000000002"/>
    <n v="6.7000000000000004E-2"/>
    <n v="1.2082E-4"/>
    <n v="0.99987999999999999"/>
    <s v="55.86772090588353"/>
    <n v="28.156123805871001"/>
    <s v="90.69300718085228"/>
    <s v="17.66507242617525"/>
    <n v="820582308"/>
    <x v="0"/>
    <n v="1.2847681E-3"/>
    <x v="0"/>
  </r>
  <r>
    <n v="59"/>
    <n v="0"/>
    <n v="0"/>
    <n v="5"/>
    <n v="2"/>
    <n v="5"/>
    <n v="0"/>
    <n v="46"/>
    <n v="5"/>
    <n v="1"/>
    <n v="4"/>
    <n v="5402"/>
    <n v="892"/>
    <n v="4510"/>
    <n v="0.78200000000000003"/>
    <n v="4770"/>
    <n v="83"/>
    <n v="0.59599999999999997"/>
    <n v="0.16500000000000001"/>
    <n v="1.3944000000000001E-4"/>
    <n v="0.99985999999999997"/>
    <s v="13.872694336406274"/>
    <s v="57.91312425333604"/>
    <s v="8.077897262070175"/>
    <s v="10.292694703899109"/>
    <n v="720682308"/>
    <x v="0"/>
    <n v="4.3230187E-4"/>
    <x v="0"/>
  </r>
  <r>
    <n v="51"/>
    <n v="0"/>
    <n v="2"/>
    <n v="6"/>
    <n v="2"/>
    <n v="4"/>
    <n v="0"/>
    <n v="36"/>
    <n v="3"/>
    <n v="1"/>
    <n v="3"/>
    <n v="3537"/>
    <n v="0"/>
    <n v="3537"/>
    <n v="0.64700000000000002"/>
    <n v="4101"/>
    <n v="80"/>
    <n v="0.70199999999999996"/>
    <n v="0"/>
    <n v="1.0183000000000001E-4"/>
    <n v="0.99990000000000001"/>
    <s v="0.7397529991312878"/>
    <s v="27.23780990485305"/>
    <s v="29.308095903590843"/>
    <s v="10.07933124619293"/>
    <n v="716468658"/>
    <x v="0"/>
    <n v="6.9517245999999998E-4"/>
    <x v="0"/>
  </r>
  <r>
    <n v="59"/>
    <n v="1"/>
    <n v="0"/>
    <n v="2"/>
    <n v="1"/>
    <n v="1"/>
    <n v="0"/>
    <n v="53"/>
    <n v="3"/>
    <n v="2"/>
    <n v="3"/>
    <n v="4241"/>
    <n v="0"/>
    <n v="4241"/>
    <n v="0.60699999999999998"/>
    <n v="1798"/>
    <n v="45"/>
    <n v="0.73099999999999998"/>
    <n v="0"/>
    <n v="1.6427999999999999E-4"/>
    <n v="0.99983999999999995"/>
    <s v="5.956754316900308"/>
    <s v="12.766323460239056"/>
    <s v="12.112149449241391"/>
    <s v="11.522334674728269"/>
    <n v="783364233"/>
    <x v="0"/>
    <n v="3.7955896E-3"/>
    <x v="0"/>
  </r>
  <r>
    <n v="45"/>
    <n v="0"/>
    <n v="5"/>
    <n v="3"/>
    <n v="1"/>
    <n v="4"/>
    <n v="0"/>
    <n v="34"/>
    <n v="4"/>
    <n v="1"/>
    <n v="2"/>
    <n v="2030"/>
    <n v="1269"/>
    <n v="761"/>
    <n v="0.64600000000000002"/>
    <n v="5067"/>
    <n v="88"/>
    <n v="0.72499999999999998"/>
    <n v="0.625"/>
    <s v="5.5277e-05"/>
    <n v="0.99994000000000005"/>
    <s v="34.45145380644141"/>
    <s v="24.24203739794184"/>
    <s v="134.07636885898225"/>
    <s v="2.6942922260867297"/>
    <n v="752944533"/>
    <x v="0"/>
    <n v="3.2101269999999999E-4"/>
    <x v="0"/>
  </r>
  <r>
    <n v="37"/>
    <n v="1"/>
    <n v="2"/>
    <n v="5"/>
    <n v="1"/>
    <n v="0"/>
    <n v="0"/>
    <n v="23"/>
    <n v="4"/>
    <n v="3"/>
    <n v="3"/>
    <n v="7607"/>
    <n v="2170"/>
    <n v="5437"/>
    <n v="0.377"/>
    <n v="4495"/>
    <n v="77"/>
    <n v="0.67400000000000004"/>
    <n v="0.28499999999999998"/>
    <n v="3.1104E-4"/>
    <n v="0.99968999999999997"/>
    <s v="33.999519765049754"/>
    <s v="33.23014250816482"/>
    <s v="27.97956770578137"/>
    <s v="10.276605545312831"/>
    <n v="721174008"/>
    <x v="0"/>
    <n v="3.2101269999999999E-4"/>
    <x v="0"/>
  </r>
  <r>
    <n v="62"/>
    <n v="1"/>
    <n v="0"/>
    <n v="2"/>
    <n v="2"/>
    <n v="3"/>
    <n v="0"/>
    <n v="56"/>
    <n v="4"/>
    <n v="3"/>
    <n v="3"/>
    <n v="1438.3"/>
    <n v="0"/>
    <n v="1438.3"/>
    <n v="0.79400000000000004"/>
    <n v="3628"/>
    <n v="74"/>
    <n v="0.64400000000000002"/>
    <n v="0"/>
    <n v="2.5960000000000002E-4"/>
    <n v="0.99973999999999996"/>
    <s v="49.43736163759552"/>
    <n v="114.302062442118"/>
    <s v="134.5837000112366"/>
    <s v="12.093625429964284"/>
    <n v="814845933"/>
    <x v="0"/>
    <n v="7.1276520000000004E-4"/>
    <x v="0"/>
  </r>
  <r>
    <n v="57"/>
    <n v="0"/>
    <n v="3"/>
    <n v="2"/>
    <n v="3"/>
    <n v="1"/>
    <n v="0"/>
    <n v="46"/>
    <n v="2"/>
    <n v="2"/>
    <n v="2"/>
    <n v="2791"/>
    <n v="1550"/>
    <n v="1241"/>
    <n v="0.67200000000000004"/>
    <n v="5440"/>
    <n v="83"/>
    <n v="0.66"/>
    <n v="0.55500000000000005"/>
    <n v="1.1811000000000001E-4"/>
    <n v="0.99987999999999999"/>
    <s v="25.90618567580408"/>
    <s v="28.85754737142613"/>
    <s v="122.47090292061404"/>
    <s v="11.957926933435417"/>
    <n v="719572833"/>
    <x v="0"/>
    <n v="3.6856539999999998E-4"/>
    <x v="0"/>
  </r>
  <r>
    <n v="45"/>
    <n v="1"/>
    <n v="3"/>
    <n v="3"/>
    <n v="1"/>
    <n v="4"/>
    <n v="0"/>
    <n v="33"/>
    <n v="6"/>
    <n v="5"/>
    <n v="0"/>
    <n v="7717"/>
    <n v="1430"/>
    <n v="6287"/>
    <n v="0.82199999999999995"/>
    <n v="1248"/>
    <n v="37"/>
    <n v="0.85"/>
    <n v="0.185"/>
    <s v="7.4762e-05"/>
    <n v="0.99992999999999999"/>
    <s v="2.9976068274961936"/>
    <s v="49.97414306433832"/>
    <s v="6.952514757935715"/>
    <s v="0.7080883599576442"/>
    <n v="710541858"/>
    <x v="0"/>
    <n v="9.8706899999999992E-4"/>
    <x v="0"/>
  </r>
  <r>
    <n v="40"/>
    <n v="0"/>
    <n v="1"/>
    <n v="2"/>
    <n v="1"/>
    <n v="4"/>
    <n v="0"/>
    <n v="30"/>
    <n v="1"/>
    <n v="1"/>
    <n v="3"/>
    <n v="2019"/>
    <n v="803"/>
    <n v="1216"/>
    <n v="0.88200000000000001"/>
    <n v="8426"/>
    <n v="102"/>
    <n v="0.47799999999999998"/>
    <n v="0.39800000000000002"/>
    <s v="8.6952e-05"/>
    <n v="0.99990999999999997"/>
    <s v="14.13314920391358"/>
    <s v="41.470783396677966"/>
    <s v="141.51404623138782"/>
    <s v="7.134001795294369"/>
    <n v="714019083"/>
    <x v="0"/>
    <n v="6.2352616999999998E-4"/>
    <x v="0"/>
  </r>
  <r>
    <n v="31"/>
    <n v="1"/>
    <n v="0"/>
    <n v="3"/>
    <n v="1"/>
    <n v="2"/>
    <n v="3"/>
    <n v="24"/>
    <n v="1"/>
    <n v="1"/>
    <n v="3"/>
    <n v="32535"/>
    <n v="1722"/>
    <n v="30813"/>
    <n v="0.85599999999999998"/>
    <n v="15738"/>
    <n v="116"/>
    <n v="0.65700000000000003"/>
    <n v="5.2999999999999999E-2"/>
    <s v="6.9827e-05"/>
    <n v="0.99992999999999999"/>
    <s v="19.84714686038629"/>
    <s v="38.97732282104622"/>
    <n v="35.483760794865901"/>
    <s v="12.992251462821606"/>
    <n v="773283108"/>
    <x v="0"/>
    <n v="3.8573547000000003E-4"/>
    <x v="0"/>
  </r>
  <r>
    <n v="36"/>
    <n v="0"/>
    <n v="3"/>
    <n v="2"/>
    <n v="2"/>
    <n v="1"/>
    <n v="0"/>
    <n v="18"/>
    <n v="4"/>
    <n v="3"/>
    <n v="3"/>
    <n v="2265"/>
    <n v="1345"/>
    <n v="920"/>
    <n v="0.80800000000000005"/>
    <n v="4009"/>
    <n v="73"/>
    <n v="0.49"/>
    <n v="0.59399999999999997"/>
    <n v="3.1389999999999999E-4"/>
    <n v="0.99968999999999997"/>
    <s v="3.953642452565248"/>
    <s v="26.165404216447264"/>
    <s v="42.44595419241903"/>
    <s v="16.963404126409404"/>
    <n v="794524833"/>
    <x v="0"/>
    <n v="3.5747702000000001E-4"/>
    <x v="0"/>
  </r>
  <r>
    <n v="59"/>
    <n v="1"/>
    <n v="2"/>
    <n v="4"/>
    <n v="1"/>
    <n v="2"/>
    <n v="0"/>
    <n v="46"/>
    <n v="3"/>
    <n v="3"/>
    <n v="3"/>
    <n v="1438.3"/>
    <n v="0"/>
    <n v="1438.3"/>
    <n v="0.68799999999999994"/>
    <n v="844"/>
    <n v="24"/>
    <n v="0.5"/>
    <n v="0"/>
    <n v="0.99719999999999998"/>
    <n v="2.8005899999999999E-3"/>
    <s v="1.0304744812129918"/>
    <s v="65.67575100119201"/>
    <n v="115.018151357626"/>
    <s v="12.469851820192888"/>
    <n v="711551958"/>
    <x v="1"/>
    <n v="0.99870884000000004"/>
    <x v="1"/>
  </r>
  <r>
    <n v="35"/>
    <n v="0"/>
    <n v="2"/>
    <n v="2"/>
    <n v="2"/>
    <n v="5"/>
    <n v="0"/>
    <n v="27"/>
    <n v="4"/>
    <n v="3"/>
    <n v="0"/>
    <n v="3280"/>
    <n v="1806"/>
    <n v="1474"/>
    <n v="0.96299999999999997"/>
    <n v="2534"/>
    <n v="78"/>
    <n v="0.95"/>
    <n v="0.55100000000000005"/>
    <s v="6.6354e-05"/>
    <n v="0.99992999999999999"/>
    <s v="0.5938687978125552"/>
    <s v="32.22600482746704"/>
    <s v="12.139903845953937"/>
    <s v="21.641001288232424"/>
    <n v="788269158"/>
    <x v="0"/>
    <n v="3.9588416E-4"/>
    <x v="0"/>
  </r>
  <r>
    <n v="55"/>
    <n v="1"/>
    <n v="2"/>
    <n v="6"/>
    <n v="2"/>
    <n v="2"/>
    <n v="0"/>
    <n v="36"/>
    <n v="6"/>
    <n v="3"/>
    <n v="3"/>
    <n v="2243"/>
    <n v="1418"/>
    <n v="825"/>
    <n v="0.39"/>
    <n v="1334"/>
    <n v="31"/>
    <n v="0.40899999999999997"/>
    <n v="0.63200000000000001"/>
    <n v="3.3251E-4"/>
    <n v="0.99966999999999995"/>
    <s v="39.98447079653698"/>
    <s v="27.44908441603953"/>
    <s v="91.79103789222158"/>
    <s v="11.792113726466416"/>
    <n v="710573808"/>
    <x v="0"/>
    <n v="1.1982243E-3"/>
    <x v="0"/>
  </r>
  <r>
    <n v="67"/>
    <n v="0"/>
    <n v="0"/>
    <n v="6"/>
    <n v="1"/>
    <n v="5"/>
    <n v="0"/>
    <n v="56"/>
    <n v="4"/>
    <n v="3"/>
    <n v="3"/>
    <n v="10509"/>
    <n v="2388"/>
    <n v="8121"/>
    <n v="0.77700000000000002"/>
    <n v="1365"/>
    <n v="34"/>
    <n v="1.429"/>
    <n v="0.22700000000000001"/>
    <n v="2.8535000000000002E-4"/>
    <n v="0.99970999999999999"/>
    <s v="13.140468266983609"/>
    <s v="23.84057294190348"/>
    <s v="67.65319972212062"/>
    <s v="8.128133169274498"/>
    <n v="717916758"/>
    <x v="0"/>
    <n v="9.8706899999999992E-4"/>
    <x v="0"/>
  </r>
  <r>
    <n v="60"/>
    <n v="0"/>
    <n v="1"/>
    <n v="3"/>
    <n v="2"/>
    <n v="4"/>
    <n v="0"/>
    <n v="36"/>
    <n v="5"/>
    <n v="2"/>
    <n v="2"/>
    <n v="2688"/>
    <n v="1617"/>
    <n v="1071"/>
    <n v="0.55200000000000005"/>
    <n v="4183"/>
    <n v="71"/>
    <n v="0.61399999999999999"/>
    <n v="0.60199999999999998"/>
    <n v="1.0386E-4"/>
    <n v="0.99990000000000001"/>
    <s v="6.265884017082202"/>
    <s v="58.35725825864114"/>
    <s v="54.70880188621604"/>
    <s v="3.6059282668228345"/>
    <n v="717050883"/>
    <x v="0"/>
    <n v="3.2914013999999999E-4"/>
    <x v="0"/>
  </r>
  <r>
    <n v="44"/>
    <n v="0"/>
    <n v="2"/>
    <n v="3"/>
    <n v="2"/>
    <n v="5"/>
    <n v="0"/>
    <n v="37"/>
    <n v="6"/>
    <n v="2"/>
    <n v="1"/>
    <n v="4559"/>
    <n v="1680"/>
    <n v="2879"/>
    <n v="0.628"/>
    <n v="4934"/>
    <n v="76"/>
    <n v="0.94899999999999995"/>
    <n v="0.36899999999999999"/>
    <s v="6.6728e-05"/>
    <n v="0.99992999999999999"/>
    <s v="24.441580262306957"/>
    <s v="23.01543342356768"/>
    <s v="133.81670930586722"/>
    <s v="11.098756404748816"/>
    <n v="714267858"/>
    <x v="0"/>
    <n v="3.2101269999999999E-4"/>
    <x v="0"/>
  </r>
  <r>
    <n v="37"/>
    <n v="1"/>
    <n v="1"/>
    <n v="2"/>
    <n v="2"/>
    <n v="3"/>
    <n v="0"/>
    <n v="24"/>
    <n v="4"/>
    <n v="4"/>
    <n v="4"/>
    <n v="34516"/>
    <n v="934"/>
    <n v="33582"/>
    <n v="0.68100000000000005"/>
    <n v="1768"/>
    <n v="52"/>
    <n v="0.57599999999999996"/>
    <n v="2.7E-2"/>
    <n v="5.8531000000000002E-4"/>
    <n v="0.99941000000000002"/>
    <s v="29.66148476683121"/>
    <s v="3.836098229573844"/>
    <s v="41.44121244840846"/>
    <s v="29.02697862318525"/>
    <n v="720626058"/>
    <x v="0"/>
    <n v="1.0897819E-3"/>
    <x v="0"/>
  </r>
  <r>
    <n v="34"/>
    <n v="0"/>
    <n v="2"/>
    <n v="2"/>
    <n v="2"/>
    <n v="4"/>
    <n v="0"/>
    <n v="36"/>
    <n v="4"/>
    <n v="3"/>
    <n v="4"/>
    <n v="3625"/>
    <n v="2517"/>
    <n v="1108"/>
    <n v="1.1579999999999999"/>
    <n v="2616"/>
    <n v="46"/>
    <n v="1.3"/>
    <n v="0.69399999999999995"/>
    <n v="5.1599999999999997E-4"/>
    <n v="0.99948000000000004"/>
    <s v="13.794878943631344"/>
    <s v="38.05731834542307"/>
    <s v="11.988312432079828"/>
    <s v="2.0108463802659093"/>
    <n v="721096983"/>
    <x v="0"/>
    <n v="1.0889086E-3"/>
    <x v="0"/>
  </r>
  <r>
    <n v="49"/>
    <n v="1"/>
    <n v="4"/>
    <n v="3"/>
    <n v="1"/>
    <n v="2"/>
    <n v="0"/>
    <n v="36"/>
    <n v="6"/>
    <n v="3"/>
    <n v="2"/>
    <n v="12938"/>
    <n v="661"/>
    <n v="12277"/>
    <n v="0.72499999999999998"/>
    <n v="1282"/>
    <n v="32"/>
    <n v="0.77800000000000002"/>
    <n v="5.0999999999999997E-2"/>
    <n v="1.8338999999999999E-4"/>
    <n v="0.99982000000000004"/>
    <s v="2.771681070783539"/>
    <s v="3.9304123826232447"/>
    <s v="68.24081114870926"/>
    <s v="2.981812476967647"/>
    <n v="717190533"/>
    <x v="0"/>
    <n v="2.0156816999999999E-3"/>
    <x v="0"/>
  </r>
  <r>
    <n v="45"/>
    <n v="0"/>
    <n v="4"/>
    <n v="3"/>
    <n v="0"/>
    <n v="4"/>
    <n v="0"/>
    <n v="36"/>
    <n v="3"/>
    <n v="1"/>
    <n v="4"/>
    <n v="5486"/>
    <n v="685"/>
    <n v="4801"/>
    <n v="0.879"/>
    <n v="2965"/>
    <n v="70"/>
    <n v="0.55600000000000005"/>
    <n v="0.125"/>
    <n v="1.6112E-4"/>
    <n v="0.99983999999999995"/>
    <s v="37.34409208645331"/>
    <s v="27.71644632580746"/>
    <s v="10.48553900302411"/>
    <s v="21.11596965635381"/>
    <n v="712802733"/>
    <x v="0"/>
    <n v="6.3843343999999997E-4"/>
    <x v="0"/>
  </r>
  <r>
    <n v="39"/>
    <n v="1"/>
    <n v="2"/>
    <n v="6"/>
    <n v="1"/>
    <n v="1"/>
    <n v="0"/>
    <n v="26"/>
    <n v="6"/>
    <n v="1"/>
    <n v="2"/>
    <n v="5510"/>
    <n v="2027"/>
    <n v="3483"/>
    <n v="0.89800000000000002"/>
    <n v="1980"/>
    <n v="42"/>
    <n v="0.68"/>
    <n v="0.36799999999999999"/>
    <s v="6.054e-05"/>
    <n v="0.99994000000000005"/>
    <s v="20.24739601790203"/>
    <s v="39.64781811426492"/>
    <s v="73.96197904953162"/>
    <s v="23.952926820181293"/>
    <n v="770985633"/>
    <x v="0"/>
    <n v="1.1451696999999999E-3"/>
    <x v="0"/>
  </r>
  <r>
    <n v="40"/>
    <n v="0"/>
    <n v="3"/>
    <n v="3"/>
    <n v="2"/>
    <n v="4"/>
    <n v="1"/>
    <n v="36"/>
    <n v="3"/>
    <n v="2"/>
    <n v="3"/>
    <n v="15534"/>
    <n v="726"/>
    <n v="14808"/>
    <n v="0.55600000000000005"/>
    <n v="1279"/>
    <n v="28"/>
    <n v="0.86699999999999999"/>
    <n v="4.7E-2"/>
    <n v="2.2248E-4"/>
    <n v="0.99978"/>
    <s v="20.308605284569413"/>
    <s v="31.082487336786293"/>
    <s v="83.67731956614352"/>
    <s v="0.3245692991049856"/>
    <n v="716455683"/>
    <x v="0"/>
    <n v="1.9985617000000001E-3"/>
    <x v="0"/>
  </r>
  <r>
    <n v="56"/>
    <n v="1"/>
    <n v="2"/>
    <n v="2"/>
    <n v="1"/>
    <n v="3"/>
    <n v="0"/>
    <n v="51"/>
    <n v="3"/>
    <n v="3"/>
    <n v="3"/>
    <n v="12186"/>
    <n v="1080"/>
    <n v="11106"/>
    <n v="0.84199999999999997"/>
    <n v="4785"/>
    <n v="66"/>
    <n v="0.65"/>
    <n v="8.8999999999999996E-2"/>
    <n v="3.0250999999999998E-4"/>
    <n v="0.99970000000000003"/>
    <s v="2.1848861756979665"/>
    <s v="16.92066143759101"/>
    <n v="22.235102670300801"/>
    <s v="13.36603761329365"/>
    <n v="710413533"/>
    <x v="0"/>
    <n v="3.3022385E-4"/>
    <x v="0"/>
  </r>
  <r>
    <n v="59"/>
    <n v="0"/>
    <n v="1"/>
    <n v="2"/>
    <n v="2"/>
    <n v="5"/>
    <n v="0"/>
    <n v="36"/>
    <n v="3"/>
    <n v="2"/>
    <n v="3"/>
    <n v="10031"/>
    <n v="0"/>
    <n v="10031"/>
    <n v="0.23799999999999999"/>
    <n v="1792"/>
    <n v="29"/>
    <n v="7.3999999999999996E-2"/>
    <n v="0"/>
    <n v="0.99446999999999997"/>
    <n v="5.5300000000000002E-3"/>
    <s v="21.25771999900193"/>
    <s v="33.38315099171312"/>
    <s v="25.312984290610817"/>
    <s v="5.630941752762477"/>
    <n v="708316008"/>
    <x v="1"/>
    <n v="0.99860470000000001"/>
    <x v="1"/>
  </r>
  <r>
    <n v="43"/>
    <n v="1"/>
    <n v="4"/>
    <n v="6"/>
    <n v="1"/>
    <n v="0"/>
    <n v="0"/>
    <n v="37"/>
    <n v="3"/>
    <n v="1"/>
    <n v="3"/>
    <n v="20695"/>
    <n v="1250"/>
    <n v="19445"/>
    <n v="0.60499999999999998"/>
    <n v="3924"/>
    <n v="82"/>
    <n v="0.78300000000000003"/>
    <n v="0.06"/>
    <n v="1.0679E-4"/>
    <n v="0.99988999999999995"/>
    <s v="20.113458283200117"/>
    <s v="49.84072643655572"/>
    <s v="63.57087356373941"/>
    <s v="12.723918386940314"/>
    <n v="770278833"/>
    <x v="0"/>
    <n v="3.5729867999999997E-4"/>
    <x v="0"/>
  </r>
  <r>
    <n v="48"/>
    <n v="0"/>
    <n v="1"/>
    <n v="2"/>
    <n v="1"/>
    <n v="1"/>
    <n v="0"/>
    <n v="36"/>
    <n v="4"/>
    <n v="4"/>
    <n v="1"/>
    <n v="7268"/>
    <n v="0"/>
    <n v="7268"/>
    <n v="0.69099999999999995"/>
    <n v="4199"/>
    <n v="80"/>
    <n v="0.90500000000000003"/>
    <n v="0"/>
    <n v="1.2305000000000001E-4"/>
    <n v="0.99987999999999999"/>
    <s v="1.489468849693665"/>
    <s v="70.37352419495764"/>
    <s v="71.01249372994894"/>
    <s v="20.87713763761417"/>
    <n v="708176208"/>
    <x v="0"/>
    <n v="6.9517245999999998E-4"/>
    <x v="0"/>
  </r>
  <r>
    <n v="50"/>
    <n v="1"/>
    <n v="1"/>
    <n v="5"/>
    <n v="1"/>
    <n v="0"/>
    <n v="0"/>
    <n v="44"/>
    <n v="5"/>
    <n v="2"/>
    <n v="4"/>
    <n v="3104"/>
    <n v="1791"/>
    <n v="1313"/>
    <n v="1.048"/>
    <n v="4006"/>
    <n v="76"/>
    <n v="0.81"/>
    <n v="0.57699999999999996"/>
    <n v="3.1516999999999998E-4"/>
    <n v="0.99968000000000001"/>
    <s v="22.94056037636677"/>
    <s v="76.80590766855569"/>
    <s v="36.96573775557789"/>
    <s v="18.09599333642154"/>
    <n v="796791258"/>
    <x v="0"/>
    <n v="3.221314E-4"/>
    <x v="0"/>
  </r>
  <r>
    <n v="41"/>
    <n v="0"/>
    <n v="4"/>
    <n v="3"/>
    <n v="2"/>
    <n v="5"/>
    <n v="0"/>
    <n v="28"/>
    <n v="4"/>
    <n v="2"/>
    <n v="2"/>
    <n v="2515"/>
    <n v="1313"/>
    <n v="1202"/>
    <n v="0.98099999999999998"/>
    <n v="4370"/>
    <n v="68"/>
    <n v="0.7"/>
    <n v="0.52200000000000002"/>
    <n v="1.1603999999999999E-4"/>
    <n v="0.99987999999999999"/>
    <s v="8.794818644248169"/>
    <s v="22.49226727769451"/>
    <s v="160.48218356475513"/>
    <s v="5.979896070623687"/>
    <n v="789707433"/>
    <x v="0"/>
    <n v="3.221314E-4"/>
    <x v="0"/>
  </r>
  <r>
    <n v="41"/>
    <n v="1"/>
    <n v="5"/>
    <n v="3"/>
    <n v="2"/>
    <n v="1"/>
    <n v="0"/>
    <n v="22"/>
    <n v="6"/>
    <n v="2"/>
    <n v="2"/>
    <n v="1438.3"/>
    <n v="0"/>
    <n v="1438.3"/>
    <n v="0.56000000000000005"/>
    <n v="4439"/>
    <n v="81"/>
    <n v="1.0249999999999999"/>
    <n v="0"/>
    <n v="1.1423E-4"/>
    <n v="0.99988999999999995"/>
    <s v="14.350329980221536"/>
    <s v="32.504034863948924"/>
    <s v="2.3527833560429348"/>
    <s v="13.234843874552382"/>
    <n v="779041983"/>
    <x v="0"/>
    <n v="6.9517245999999998E-4"/>
    <x v="0"/>
  </r>
  <r>
    <n v="34"/>
    <n v="0"/>
    <n v="4"/>
    <n v="3"/>
    <n v="1"/>
    <n v="1"/>
    <n v="0"/>
    <n v="28"/>
    <n v="6"/>
    <n v="1"/>
    <n v="0"/>
    <n v="2432"/>
    <n v="851"/>
    <n v="1581"/>
    <n v="0.873"/>
    <n v="4760"/>
    <n v="69"/>
    <n v="0.91700000000000004"/>
    <n v="0.35"/>
    <s v="2.0713e-05"/>
    <n v="0.99997999999999998"/>
    <s v="20.729069702414645"/>
    <s v="25.447190107156946"/>
    <s v="51.72475079294107"/>
    <s v="30.370292987687776"/>
    <n v="717688233"/>
    <x v="0"/>
    <n v="4.8967317000000001E-4"/>
    <x v="0"/>
  </r>
  <r>
    <n v="53"/>
    <n v="1"/>
    <n v="3"/>
    <n v="5"/>
    <n v="1"/>
    <n v="2"/>
    <n v="3"/>
    <n v="38"/>
    <n v="1"/>
    <n v="3"/>
    <n v="2"/>
    <n v="32417"/>
    <n v="871"/>
    <n v="31546"/>
    <n v="0.91100000000000003"/>
    <n v="14381"/>
    <n v="121"/>
    <n v="0.86199999999999999"/>
    <n v="2.7E-2"/>
    <n v="1.7340000000000001E-4"/>
    <n v="0.99983"/>
    <s v="23.985214073604872"/>
    <s v="17.559305611137866"/>
    <s v="82.44658379800285"/>
    <s v="22.15412494156625"/>
    <n v="721488858"/>
    <x v="0"/>
    <n v="5.3265406E-4"/>
    <x v="0"/>
  </r>
  <r>
    <n v="50"/>
    <n v="0"/>
    <n v="2"/>
    <n v="1"/>
    <n v="2"/>
    <n v="4"/>
    <n v="0"/>
    <n v="43"/>
    <n v="4"/>
    <n v="1"/>
    <n v="0"/>
    <n v="3206"/>
    <n v="0"/>
    <n v="3206"/>
    <n v="0.63100000000000001"/>
    <n v="4731"/>
    <n v="82"/>
    <n v="0.82199999999999995"/>
    <n v="0"/>
    <s v="2.94e-05"/>
    <n v="0.99997000000000003"/>
    <s v="1.4186283137439015"/>
    <s v="23.30374817595688"/>
    <n v="34.413765122338397"/>
    <s v="13.539184503628972"/>
    <n v="755247108"/>
    <x v="0"/>
    <n v="6.9517245999999998E-4"/>
    <x v="0"/>
  </r>
  <r>
    <n v="45"/>
    <n v="0"/>
    <n v="4"/>
    <n v="3"/>
    <n v="2"/>
    <n v="5"/>
    <n v="0"/>
    <n v="26"/>
    <n v="6"/>
    <n v="2"/>
    <n v="2"/>
    <n v="4549"/>
    <n v="1631"/>
    <n v="2918"/>
    <n v="0.77900000000000003"/>
    <n v="2240"/>
    <n v="34"/>
    <n v="0.47799999999999998"/>
    <n v="0.35899999999999999"/>
    <n v="0.99146000000000001"/>
    <n v="8.5400000000000007E-3"/>
    <n v="7.8981302131611102"/>
    <s v="6.954583669141828"/>
    <s v="7.252734411162813"/>
    <s v="8.609257442484935"/>
    <n v="778441533"/>
    <x v="1"/>
    <n v="0.99573140000000004"/>
    <x v="1"/>
  </r>
  <r>
    <n v="51"/>
    <n v="0"/>
    <n v="4"/>
    <n v="2"/>
    <n v="2"/>
    <n v="4"/>
    <n v="0"/>
    <n v="42"/>
    <n v="3"/>
    <n v="1"/>
    <n v="3"/>
    <n v="2680"/>
    <n v="1753"/>
    <n v="927"/>
    <n v="0.32"/>
    <n v="1154"/>
    <n v="33"/>
    <n v="0.57099999999999995"/>
    <n v="0.65400000000000003"/>
    <s v="9.7154e-05"/>
    <n v="0.99990000000000001"/>
    <s v="23.479271867245323"/>
    <s v="11.270901292013054"/>
    <s v="52.90023802270049"/>
    <s v="2.7074554599611744"/>
    <n v="710706558"/>
    <x v="0"/>
    <n v="1.0903810999999999E-3"/>
    <x v="0"/>
  </r>
  <r>
    <n v="52"/>
    <n v="0"/>
    <n v="4"/>
    <n v="2"/>
    <n v="2"/>
    <n v="4"/>
    <n v="0"/>
    <n v="36"/>
    <n v="2"/>
    <n v="3"/>
    <n v="3"/>
    <n v="4440"/>
    <n v="1149"/>
    <n v="3291"/>
    <n v="0.84199999999999997"/>
    <n v="14973"/>
    <n v="112"/>
    <n v="0.72299999999999998"/>
    <n v="0.25900000000000001"/>
    <n v="3.1725999999999998E-4"/>
    <n v="0.99968000000000001"/>
    <s v="17.179912458596384"/>
    <s v="42.09340196858274"/>
    <s v="65.43291157965443"/>
    <s v="8.038331705455901"/>
    <n v="718919433"/>
    <x v="0"/>
    <n v="3.4656386999999997E-4"/>
    <x v="0"/>
  </r>
  <r>
    <n v="38"/>
    <n v="0"/>
    <n v="3"/>
    <n v="3"/>
    <n v="2"/>
    <n v="5"/>
    <n v="0"/>
    <n v="36"/>
    <n v="1"/>
    <n v="3"/>
    <n v="2"/>
    <n v="5260"/>
    <n v="1706"/>
    <n v="3554"/>
    <n v="0.35899999999999999"/>
    <n v="2142"/>
    <n v="57"/>
    <n v="0.67600000000000005"/>
    <n v="0.32400000000000001"/>
    <n v="0.99451999999999996"/>
    <n v="5.4799999999999996E-3"/>
    <s v="1.7099077031829508"/>
    <s v="34.95255955961356"/>
    <s v="112.87648323272089"/>
    <s v="28.658087216158524"/>
    <n v="714212358"/>
    <x v="1"/>
    <n v="0.9900506"/>
    <x v="1"/>
  </r>
  <r>
    <n v="29"/>
    <n v="0"/>
    <n v="0"/>
    <n v="4"/>
    <n v="0"/>
    <n v="4"/>
    <n v="0"/>
    <n v="17"/>
    <n v="3"/>
    <n v="2"/>
    <n v="4"/>
    <n v="2585"/>
    <n v="2008"/>
    <n v="577"/>
    <n v="1.266"/>
    <n v="3519"/>
    <n v="73"/>
    <n v="0.622"/>
    <n v="0.77700000000000002"/>
    <n v="3.2974000000000002E-4"/>
    <n v="0.99966999999999995"/>
    <s v="5.208147195887647"/>
    <s v="12.199852982068249"/>
    <s v="33.235835218439846"/>
    <s v="7.232178993659476"/>
    <n v="719131533"/>
    <x v="0"/>
    <n v="3.3028650000000001E-4"/>
    <x v="0"/>
  </r>
  <r>
    <n v="41"/>
    <n v="0"/>
    <n v="2"/>
    <n v="2"/>
    <n v="1"/>
    <n v="1"/>
    <n v="0"/>
    <n v="36"/>
    <n v="6"/>
    <n v="2"/>
    <n v="3"/>
    <n v="2329"/>
    <n v="1271"/>
    <n v="1058"/>
    <n v="0.72899999999999998"/>
    <n v="4382"/>
    <n v="70"/>
    <n v="0.66700000000000004"/>
    <n v="0.54600000000000004"/>
    <n v="1.9143E-4"/>
    <n v="0.99980999999999998"/>
    <s v="32.550981413233515"/>
    <s v="5.848498344699608"/>
    <s v="12.799854925426152"/>
    <s v="16.085847736794804"/>
    <n v="818710233"/>
    <x v="0"/>
    <n v="3.2101269999999999E-4"/>
    <x v="0"/>
  </r>
  <r>
    <n v="50"/>
    <n v="0"/>
    <n v="2"/>
    <n v="1"/>
    <n v="2"/>
    <n v="4"/>
    <n v="0"/>
    <n v="40"/>
    <n v="2"/>
    <n v="1"/>
    <n v="1"/>
    <n v="3449"/>
    <n v="1634"/>
    <n v="1815"/>
    <n v="0.77600000000000002"/>
    <n v="8300"/>
    <n v="94"/>
    <n v="0.46899999999999997"/>
    <n v="0.47399999999999998"/>
    <s v="4.8064e-05"/>
    <n v="0.99995000000000001"/>
    <s v="47.55317645897552"/>
    <s v="20.95395899620128"/>
    <s v="49.43820636173845"/>
    <s v="12.599551171064212"/>
    <n v="716762733"/>
    <x v="0"/>
    <n v="3.9225167999999998E-4"/>
    <x v="0"/>
  </r>
  <r>
    <n v="35"/>
    <n v="1"/>
    <n v="2"/>
    <n v="2"/>
    <n v="1"/>
    <n v="3"/>
    <n v="0"/>
    <n v="27"/>
    <n v="3"/>
    <n v="2"/>
    <n v="3"/>
    <n v="12643"/>
    <n v="0"/>
    <n v="12643"/>
    <n v="0.39300000000000002"/>
    <n v="787"/>
    <n v="21"/>
    <n v="0.16700000000000001"/>
    <n v="0"/>
    <n v="0.99480000000000002"/>
    <n v="5.1999999999999998E-3"/>
    <n v="44.915059466616"/>
    <s v="34.474827835396475"/>
    <n v="5.2292658765271103"/>
    <s v="15.289614317715998"/>
    <n v="718362783"/>
    <x v="1"/>
    <n v="0.99870884000000004"/>
    <x v="1"/>
  </r>
  <r>
    <n v="32"/>
    <n v="1"/>
    <n v="1"/>
    <n v="5"/>
    <n v="1"/>
    <n v="1"/>
    <n v="0"/>
    <n v="36"/>
    <n v="2"/>
    <n v="2"/>
    <n v="3"/>
    <n v="3535"/>
    <n v="1964"/>
    <n v="1571"/>
    <n v="0.66100000000000003"/>
    <n v="14080"/>
    <n v="85"/>
    <n v="0.80900000000000005"/>
    <n v="0.55600000000000005"/>
    <n v="1.8474999999999999E-4"/>
    <n v="0.99982000000000004"/>
    <s v="57.55479684451296"/>
    <s v="40.00328991500308"/>
    <n v="70.973359568772807"/>
    <n v="21.924461193425199"/>
    <n v="719039283"/>
    <x v="0"/>
    <n v="3.4656386999999997E-4"/>
    <x v="0"/>
  </r>
  <r>
    <n v="61"/>
    <n v="1"/>
    <n v="1"/>
    <n v="2"/>
    <n v="2"/>
    <n v="4"/>
    <n v="0"/>
    <n v="54"/>
    <n v="3"/>
    <n v="3"/>
    <n v="1"/>
    <n v="7169"/>
    <n v="629"/>
    <n v="6540"/>
    <n v="0.80700000000000005"/>
    <n v="8216"/>
    <n v="80"/>
    <n v="0.50900000000000001"/>
    <n v="8.7999999999999995E-2"/>
    <n v="1.0182E-4"/>
    <n v="0.99990000000000001"/>
    <s v="28.765300484157805"/>
    <s v="43.41565011711055"/>
    <s v="14.87050065693471"/>
    <s v="3.128254337998816"/>
    <n v="715038033"/>
    <x v="0"/>
    <n v="9.0386350000000004E-4"/>
    <x v="0"/>
  </r>
  <r>
    <n v="62"/>
    <n v="0"/>
    <n v="2"/>
    <n v="2"/>
    <n v="1"/>
    <n v="4"/>
    <n v="0"/>
    <n v="52"/>
    <n v="4"/>
    <n v="2"/>
    <n v="2"/>
    <n v="2490"/>
    <n v="513"/>
    <n v="1977"/>
    <n v="0.67800000000000005"/>
    <n v="864"/>
    <n v="20"/>
    <n v="0.33300000000000002"/>
    <n v="0.20599999999999999"/>
    <n v="0.99129"/>
    <n v="8.7100000000000007E-3"/>
    <s v="56.64091418599265"/>
    <s v="45.14203114295199"/>
    <s v="34.95138340495798"/>
    <s v="10.64064730575974"/>
    <n v="713945883"/>
    <x v="1"/>
    <n v="0.99839586000000002"/>
    <x v="1"/>
  </r>
  <r>
    <n v="37"/>
    <n v="0"/>
    <n v="2"/>
    <n v="2"/>
    <n v="0"/>
    <n v="4"/>
    <n v="0"/>
    <n v="36"/>
    <n v="4"/>
    <n v="3"/>
    <n v="3"/>
    <n v="1734"/>
    <n v="987"/>
    <n v="747"/>
    <n v="0.879"/>
    <n v="4727"/>
    <n v="67"/>
    <n v="0.91400000000000003"/>
    <n v="0.56899999999999995"/>
    <n v="3.0250999999999998E-4"/>
    <n v="0.99970000000000003"/>
    <s v="62.75250492921014"/>
    <s v="2.655347565391792"/>
    <s v="118.56106692874664"/>
    <s v="18.447835721450456"/>
    <n v="715452408"/>
    <x v="0"/>
    <n v="3.6347970000000002E-4"/>
    <x v="0"/>
  </r>
  <r>
    <n v="55"/>
    <n v="0"/>
    <n v="2"/>
    <n v="2"/>
    <n v="1"/>
    <n v="4"/>
    <n v="0"/>
    <n v="42"/>
    <n v="5"/>
    <n v="3"/>
    <n v="3"/>
    <n v="2216"/>
    <n v="1034"/>
    <n v="1182"/>
    <n v="0.75800000000000001"/>
    <n v="1540"/>
    <n v="36"/>
    <n v="0.28599999999999998"/>
    <n v="0.46700000000000003"/>
    <n v="3.0250999999999998E-4"/>
    <n v="0.99970000000000003"/>
    <s v="14.360556880524769"/>
    <n v="31.0320844391387"/>
    <n v="20.097218507644499"/>
    <s v="8.332152264069345"/>
    <n v="720096558"/>
    <x v="0"/>
    <n v="1.1982243E-3"/>
    <x v="0"/>
  </r>
  <r>
    <n v="40"/>
    <n v="0"/>
    <n v="1"/>
    <n v="2"/>
    <n v="3"/>
    <n v="4"/>
    <n v="0"/>
    <n v="30"/>
    <n v="5"/>
    <n v="1"/>
    <n v="1"/>
    <n v="7554"/>
    <n v="1848"/>
    <n v="5706"/>
    <n v="0.76700000000000002"/>
    <n v="4150"/>
    <n v="64"/>
    <n v="0.52400000000000002"/>
    <n v="0.245"/>
    <s v="3.1176e-05"/>
    <n v="0.99997000000000003"/>
    <s v="1.5816140392605895"/>
    <s v="43.29325533904221"/>
    <s v="21.23741936319321"/>
    <n v="8.4567723170874292"/>
    <n v="710133858"/>
    <x v="0"/>
    <n v="3.4604817999999999E-4"/>
    <x v="0"/>
  </r>
  <r>
    <n v="31"/>
    <n v="1"/>
    <n v="1"/>
    <n v="2"/>
    <n v="3"/>
    <n v="4"/>
    <n v="1"/>
    <n v="21"/>
    <n v="3"/>
    <n v="2"/>
    <n v="2"/>
    <n v="15261"/>
    <n v="1109"/>
    <n v="14152"/>
    <n v="0.65500000000000003"/>
    <n v="15442"/>
    <n v="125"/>
    <n v="0.76100000000000001"/>
    <n v="7.2999999999999995E-2"/>
    <n v="1.2308999999999999E-4"/>
    <n v="0.99987999999999999"/>
    <n v="7.1128292791379694E-2"/>
    <s v="6.426701907721228"/>
    <s v="19.40227173225692"/>
    <s v="2.7642594154024223"/>
    <n v="772596783"/>
    <x v="0"/>
    <n v="3.8573547000000003E-4"/>
    <x v="0"/>
  </r>
  <r>
    <n v="46"/>
    <n v="1"/>
    <n v="3"/>
    <n v="5"/>
    <n v="2"/>
    <n v="0"/>
    <n v="0"/>
    <n v="27"/>
    <n v="4"/>
    <n v="2"/>
    <n v="3"/>
    <n v="34516"/>
    <n v="2213"/>
    <n v="32303"/>
    <n v="0.58399999999999996"/>
    <n v="4492"/>
    <n v="71"/>
    <n v="0.82099999999999995"/>
    <n v="6.4000000000000001E-2"/>
    <n v="2.0424000000000001E-4"/>
    <n v="0.99980000000000002"/>
    <s v="6.8972330560067885"/>
    <s v="23.534908165967103"/>
    <s v="39.06128609740052"/>
    <s v="10.10138059969005"/>
    <n v="716758908"/>
    <x v="0"/>
    <n v="3.5729867999999997E-4"/>
    <x v="0"/>
  </r>
  <r>
    <n v="38"/>
    <n v="1"/>
    <n v="2"/>
    <n v="2"/>
    <n v="1"/>
    <n v="3"/>
    <n v="0"/>
    <n v="31"/>
    <n v="4"/>
    <n v="1"/>
    <n v="2"/>
    <n v="24296"/>
    <n v="0"/>
    <n v="24296"/>
    <n v="0.78100000000000003"/>
    <n v="1886"/>
    <n v="48"/>
    <n v="0.5"/>
    <n v="0"/>
    <s v="5.5077e-05"/>
    <n v="0.99994000000000005"/>
    <s v="19.27781941677692"/>
    <s v="49.805817734835095"/>
    <s v="165.13919250192637"/>
    <s v="2.8983383281405746"/>
    <n v="717631008"/>
    <x v="0"/>
    <n v="4.7956155999999998E-3"/>
    <x v="0"/>
  </r>
  <r>
    <n v="49"/>
    <n v="1"/>
    <n v="3"/>
    <n v="2"/>
    <n v="2"/>
    <n v="0"/>
    <n v="0"/>
    <n v="36"/>
    <n v="6"/>
    <n v="2"/>
    <n v="3"/>
    <n v="8514"/>
    <n v="2013"/>
    <n v="6501"/>
    <n v="0.66400000000000003"/>
    <n v="4098"/>
    <n v="74"/>
    <n v="0.54200000000000004"/>
    <n v="0.23599999999999999"/>
    <n v="1.9864000000000001E-4"/>
    <n v="0.99980000000000002"/>
    <s v="27.564172593129207"/>
    <s v="17.011896299556163"/>
    <n v="26.416425196052"/>
    <s v="5.675622034094842"/>
    <n v="713644758"/>
    <x v="0"/>
    <n v="3.2914013999999999E-4"/>
    <x v="0"/>
  </r>
  <r>
    <n v="40"/>
    <n v="1"/>
    <n v="3"/>
    <n v="2"/>
    <n v="2"/>
    <n v="3"/>
    <n v="0"/>
    <n v="36"/>
    <n v="1"/>
    <n v="2"/>
    <n v="2"/>
    <n v="6921"/>
    <n v="0"/>
    <n v="6921"/>
    <n v="0.82399999999999995"/>
    <n v="2729"/>
    <n v="44"/>
    <n v="0.46700000000000003"/>
    <n v="0"/>
    <n v="0.99160999999999999"/>
    <n v="8.3899999999999999E-3"/>
    <s v="18.36317005539283"/>
    <s v="70.32409400206438"/>
    <s v="121.95897016270912"/>
    <s v="6.928970331838664"/>
    <n v="717255333"/>
    <x v="1"/>
    <n v="0.99872713999999996"/>
    <x v="1"/>
  </r>
  <r>
    <n v="61"/>
    <n v="1"/>
    <n v="0"/>
    <n v="1"/>
    <n v="2"/>
    <n v="2"/>
    <n v="0"/>
    <n v="56"/>
    <n v="4"/>
    <n v="1"/>
    <n v="3"/>
    <n v="4783"/>
    <n v="2517"/>
    <n v="2266"/>
    <n v="1.024"/>
    <n v="2870"/>
    <n v="50"/>
    <n v="1.1739999999999999"/>
    <n v="0.52600000000000002"/>
    <n v="1.1504E-4"/>
    <n v="0.99987999999999999"/>
    <s v="14.459676009796922"/>
    <s v="0.4637381622083262"/>
    <n v="80.6015310868261"/>
    <s v="2.9481245311024638"/>
    <n v="806995683"/>
    <x v="0"/>
    <n v="9.6316006999999995E-4"/>
    <x v="0"/>
  </r>
  <r>
    <n v="62"/>
    <n v="1"/>
    <n v="1"/>
    <n v="6"/>
    <n v="2"/>
    <n v="3"/>
    <n v="0"/>
    <n v="55"/>
    <n v="6"/>
    <n v="1"/>
    <n v="4"/>
    <n v="34516"/>
    <n v="2517"/>
    <n v="31999"/>
    <n v="0.94499999999999995"/>
    <n v="3975"/>
    <n v="63"/>
    <n v="0.53700000000000003"/>
    <n v="7.2999999999999995E-2"/>
    <n v="1.6305000000000001E-4"/>
    <n v="0.99983999999999995"/>
    <s v="46.924109198133145"/>
    <s v="32.89904912491694"/>
    <s v="7.539409914706505"/>
    <s v="10.507307467661104"/>
    <n v="721295658"/>
    <x v="0"/>
    <n v="4.4031760000000001E-4"/>
    <x v="0"/>
  </r>
  <r>
    <n v="56"/>
    <n v="0"/>
    <n v="2"/>
    <n v="5"/>
    <n v="1"/>
    <n v="5"/>
    <n v="0"/>
    <n v="43"/>
    <n v="6"/>
    <n v="3"/>
    <n v="2"/>
    <n v="3068"/>
    <n v="1765"/>
    <n v="1303"/>
    <n v="0.85299999999999998"/>
    <n v="4611"/>
    <n v="73"/>
    <n v="0.69799999999999995"/>
    <n v="0.57499999999999996"/>
    <n v="1.8494E-4"/>
    <n v="0.99982000000000004"/>
    <n v="1.3007591221050401"/>
    <s v="45.446255537247495"/>
    <s v="1.570989138702864"/>
    <s v="20.21361356086282"/>
    <n v="718421808"/>
    <x v="0"/>
    <n v="3.2101269999999999E-4"/>
    <x v="0"/>
  </r>
  <r>
    <n v="49"/>
    <n v="1"/>
    <n v="1"/>
    <n v="2"/>
    <n v="2"/>
    <n v="3"/>
    <n v="0"/>
    <n v="36"/>
    <n v="6"/>
    <n v="2"/>
    <n v="2"/>
    <n v="18886"/>
    <n v="895"/>
    <n v="17991"/>
    <n v="1.8260000000000001"/>
    <n v="1235"/>
    <n v="18"/>
    <n v="1.571"/>
    <n v="4.7E-2"/>
    <n v="1.0684E-4"/>
    <n v="0.99988999999999995"/>
    <s v="16.94236785159389"/>
    <s v="78.39630100605645"/>
    <s v="91.71687448978147"/>
    <s v="36.47157830249155"/>
    <n v="714798783"/>
    <x v="0"/>
    <n v="1.4898337000000001E-3"/>
    <x v="0"/>
  </r>
  <r>
    <n v="47"/>
    <n v="0"/>
    <n v="3"/>
    <n v="6"/>
    <n v="2"/>
    <n v="4"/>
    <n v="0"/>
    <n v="35"/>
    <n v="1"/>
    <n v="3"/>
    <n v="3"/>
    <n v="5398"/>
    <n v="0"/>
    <n v="5398"/>
    <n v="0.621"/>
    <n v="1887"/>
    <n v="36"/>
    <n v="0.33300000000000002"/>
    <n v="0"/>
    <n v="0.99711000000000005"/>
    <n v="2.8889200000000001E-3"/>
    <s v="33.61258993949863"/>
    <s v="28.076273288141707"/>
    <s v="57.32144328528732"/>
    <s v="28.452323536588167"/>
    <n v="715609533"/>
    <x v="1"/>
    <n v="0.99877304"/>
    <x v="1"/>
  </r>
  <r>
    <n v="56"/>
    <n v="1"/>
    <n v="2"/>
    <n v="3"/>
    <n v="1"/>
    <n v="2"/>
    <n v="0"/>
    <n v="51"/>
    <n v="5"/>
    <n v="6"/>
    <n v="3"/>
    <n v="2863"/>
    <n v="2517"/>
    <n v="346"/>
    <n v="0.58299999999999996"/>
    <n v="1458"/>
    <n v="39"/>
    <n v="0.69599999999999995"/>
    <n v="0.879"/>
    <n v="2.3216E-4"/>
    <n v="0.99977000000000005"/>
    <s v="9.340525752131503"/>
    <s v="66.49447965722992"/>
    <n v="79.463815663904995"/>
    <s v="14.690884449012186"/>
    <n v="811111083"/>
    <x v="0"/>
    <n v="1.0739613999999999E-3"/>
    <x v="0"/>
  </r>
  <r>
    <n v="36"/>
    <n v="1"/>
    <n v="2"/>
    <n v="1"/>
    <n v="1"/>
    <n v="2"/>
    <n v="0"/>
    <n v="30"/>
    <n v="3"/>
    <n v="3"/>
    <n v="4"/>
    <n v="4934"/>
    <n v="1504"/>
    <n v="3430"/>
    <n v="1.52"/>
    <n v="2747"/>
    <n v="42"/>
    <n v="0.44800000000000001"/>
    <n v="0.30499999999999999"/>
    <n v="7.4655999999999995E-4"/>
    <n v="0.99924999999999997"/>
    <n v="3.8884577509032598"/>
    <s v="45.12117588777217"/>
    <s v="57.01616887098916"/>
    <s v="12.451821864117814"/>
    <n v="719692983"/>
    <x v="0"/>
    <n v="1.6068958E-3"/>
    <x v="0"/>
  </r>
  <r>
    <n v="52"/>
    <n v="1"/>
    <n v="2"/>
    <n v="3"/>
    <n v="1"/>
    <n v="3"/>
    <n v="0"/>
    <n v="36"/>
    <n v="2"/>
    <n v="3"/>
    <n v="1"/>
    <n v="18046"/>
    <n v="0"/>
    <n v="18046"/>
    <n v="0.81899999999999995"/>
    <n v="13758"/>
    <n v="104"/>
    <n v="0.67700000000000005"/>
    <n v="0"/>
    <n v="1.0545E-4"/>
    <n v="0.99988999999999995"/>
    <s v="12.027302964360238"/>
    <s v="10.325704506993596"/>
    <s v="34.22698648515975"/>
    <s v="19.28626083748407"/>
    <n v="714968208"/>
    <x v="0"/>
    <n v="7.5047980000000002E-4"/>
    <x v="0"/>
  </r>
  <r>
    <n v="45"/>
    <n v="0"/>
    <n v="3"/>
    <n v="1"/>
    <n v="0"/>
    <n v="5"/>
    <n v="0"/>
    <n v="33"/>
    <n v="6"/>
    <n v="3"/>
    <n v="2"/>
    <n v="12587"/>
    <n v="815"/>
    <n v="11772"/>
    <n v="0.57599999999999996"/>
    <n v="3914"/>
    <n v="83"/>
    <n v="0.76600000000000001"/>
    <n v="6.5000000000000002E-2"/>
    <n v="2.7008000000000002E-4"/>
    <n v="0.99973000000000001"/>
    <s v="19.254493961458085"/>
    <s v="49.71241283163446"/>
    <s v="99.64835321132092"/>
    <s v="12.253015828607207"/>
    <n v="710267583"/>
    <x v="0"/>
    <n v="5.6797629999999998E-4"/>
    <x v="0"/>
  </r>
  <r>
    <n v="46"/>
    <n v="0"/>
    <n v="4"/>
    <n v="4"/>
    <n v="1"/>
    <n v="5"/>
    <n v="0"/>
    <n v="38"/>
    <n v="6"/>
    <n v="3"/>
    <n v="2"/>
    <n v="13816"/>
    <n v="955"/>
    <n v="12861"/>
    <n v="0.69899999999999995"/>
    <n v="4238"/>
    <n v="73"/>
    <n v="0.65900000000000003"/>
    <n v="6.9000000000000006E-2"/>
    <n v="2.2196E-4"/>
    <n v="0.99978"/>
    <s v="24.674039192487164"/>
    <s v="42.49117644343968"/>
    <s v="79.46221791685255"/>
    <s v="14.403008361310992"/>
    <n v="719245983"/>
    <x v="0"/>
    <n v="4.3989909999999998E-4"/>
    <x v="0"/>
  </r>
  <r>
    <n v="53"/>
    <n v="1"/>
    <n v="2"/>
    <n v="2"/>
    <n v="1"/>
    <n v="3"/>
    <n v="0"/>
    <n v="41"/>
    <n v="3"/>
    <n v="2"/>
    <n v="5"/>
    <n v="2492"/>
    <n v="1668"/>
    <n v="824"/>
    <n v="0.65100000000000002"/>
    <n v="1606"/>
    <n v="32"/>
    <n v="0.88200000000000001"/>
    <n v="0.66900000000000004"/>
    <n v="5.6497999999999997E-4"/>
    <n v="0.99944"/>
    <s v="6.993765531578211"/>
    <s v="23.502387138399605"/>
    <s v="78.13974195216372"/>
    <s v="5.300186838762642"/>
    <n v="771599283"/>
    <x v="0"/>
    <n v="1.0249399E-3"/>
    <x v="0"/>
  </r>
  <r>
    <n v="45"/>
    <n v="0"/>
    <n v="3"/>
    <n v="2"/>
    <n v="3"/>
    <n v="4"/>
    <n v="0"/>
    <n v="32"/>
    <n v="6"/>
    <n v="1"/>
    <n v="3"/>
    <n v="2900"/>
    <n v="2018"/>
    <n v="882"/>
    <n v="0.70499999999999996"/>
    <n v="4467"/>
    <n v="79"/>
    <n v="0.75600000000000001"/>
    <n v="0.69599999999999995"/>
    <s v="9.6126e-05"/>
    <n v="0.99990000000000001"/>
    <s v="47.69422259471475"/>
    <s v="4.266974278637744"/>
    <s v="47.60637447445036"/>
    <s v="16.259007198323488"/>
    <n v="771222558"/>
    <x v="0"/>
    <n v="3.2101269999999999E-4"/>
    <x v="0"/>
  </r>
  <r>
    <n v="51"/>
    <n v="0"/>
    <n v="4"/>
    <n v="2"/>
    <n v="2"/>
    <n v="4"/>
    <n v="0"/>
    <n v="44"/>
    <n v="5"/>
    <n v="3"/>
    <n v="3"/>
    <n v="1483"/>
    <n v="0"/>
    <n v="1483"/>
    <n v="0.70699999999999996"/>
    <n v="2520"/>
    <n v="40"/>
    <n v="0.42899999999999999"/>
    <n v="0"/>
    <n v="0.99685999999999997"/>
    <n v="3.1411199999999998E-3"/>
    <s v="14.39686055561392"/>
    <s v="89.20343259520256"/>
    <s v="27.14715004925422"/>
    <s v="8.740541185558724"/>
    <n v="711722808"/>
    <x v="1"/>
    <n v="0.99873226999999998"/>
    <x v="1"/>
  </r>
  <r>
    <n v="53"/>
    <n v="0"/>
    <n v="3"/>
    <n v="0"/>
    <n v="1"/>
    <n v="1"/>
    <n v="0"/>
    <n v="46"/>
    <n v="2"/>
    <n v="1"/>
    <n v="1"/>
    <n v="2304"/>
    <n v="1144"/>
    <n v="1160"/>
    <n v="0.77200000000000002"/>
    <n v="4505"/>
    <n v="85"/>
    <n v="1.179"/>
    <n v="0.497"/>
    <s v="3.3508e-05"/>
    <n v="0.99997000000000003"/>
    <s v="15.679815552232096"/>
    <s v="4.915091200859684"/>
    <n v="39.235446520642299"/>
    <s v="23.080005406782234"/>
    <n v="743800833"/>
    <x v="0"/>
    <n v="3.2101269999999999E-4"/>
    <x v="0"/>
  </r>
  <r>
    <n v="39"/>
    <n v="0"/>
    <n v="1"/>
    <n v="5"/>
    <n v="2"/>
    <n v="4"/>
    <n v="0"/>
    <n v="34"/>
    <n v="3"/>
    <n v="1"/>
    <n v="4"/>
    <n v="6904"/>
    <n v="1148"/>
    <n v="5756"/>
    <n v="0.64900000000000002"/>
    <n v="3485"/>
    <n v="84"/>
    <n v="0.61499999999999999"/>
    <n v="0.16600000000000001"/>
    <n v="1.5252000000000001E-4"/>
    <n v="0.99985000000000002"/>
    <s v="36.524795422307406"/>
    <s v="13.615851576989533"/>
    <s v="26.07088860381621"/>
    <s v="19.336616328162933"/>
    <n v="817887408"/>
    <x v="0"/>
    <n v="3.2914013999999999E-4"/>
    <x v="0"/>
  </r>
  <r>
    <n v="62"/>
    <n v="1"/>
    <n v="0"/>
    <n v="0"/>
    <n v="1"/>
    <n v="1"/>
    <n v="0"/>
    <n v="54"/>
    <n v="3"/>
    <n v="3"/>
    <n v="4"/>
    <n v="1438.3"/>
    <n v="0"/>
    <n v="1438.3"/>
    <n v="0.79500000000000004"/>
    <n v="1843"/>
    <n v="49"/>
    <n v="0.58099999999999996"/>
    <n v="0"/>
    <n v="4.3052999999999999E-4"/>
    <n v="0.99956999999999996"/>
    <s v="49.02099684648381"/>
    <s v="40.13486059674233"/>
    <s v="121.17890784826902"/>
    <s v="15.363203111694682"/>
    <n v="788210583"/>
    <x v="0"/>
    <n v="3.7879417999999998E-3"/>
    <x v="0"/>
  </r>
  <r>
    <n v="45"/>
    <n v="1"/>
    <n v="3"/>
    <n v="6"/>
    <n v="2"/>
    <n v="4"/>
    <n v="0"/>
    <n v="36"/>
    <n v="2"/>
    <n v="1"/>
    <n v="0"/>
    <n v="2326"/>
    <n v="642"/>
    <n v="1684"/>
    <n v="0.81399999999999995"/>
    <n v="5413"/>
    <n v="90"/>
    <n v="0.76500000000000001"/>
    <n v="0.27600000000000002"/>
    <s v="2.3172e-05"/>
    <n v="0.99997999999999998"/>
    <s v="38.94735433592667"/>
    <s v="8.891029068487475"/>
    <s v="14.928198818193884"/>
    <s v="1.3122808396978465"/>
    <n v="712874433"/>
    <x v="0"/>
    <n v="6.2104469999999998E-4"/>
    <x v="0"/>
  </r>
  <r>
    <n v="49"/>
    <n v="0"/>
    <n v="3"/>
    <n v="2"/>
    <n v="2"/>
    <n v="5"/>
    <n v="0"/>
    <n v="36"/>
    <n v="3"/>
    <n v="2"/>
    <n v="2"/>
    <n v="3375"/>
    <n v="0"/>
    <n v="3375"/>
    <n v="0.629"/>
    <n v="13992"/>
    <n v="103"/>
    <n v="0.80700000000000005"/>
    <n v="0"/>
    <n v="1.1811000000000001E-4"/>
    <n v="0.99987999999999999"/>
    <s v="41.22497820019083"/>
    <s v="40.40219006790663"/>
    <s v="18.33053310797827"/>
    <s v="4.922266721933028"/>
    <n v="715249533"/>
    <x v="0"/>
    <n v="7.5047980000000002E-4"/>
    <x v="0"/>
  </r>
  <r>
    <n v="34"/>
    <n v="0"/>
    <n v="2"/>
    <n v="6"/>
    <n v="2"/>
    <n v="4"/>
    <n v="0"/>
    <n v="21"/>
    <n v="6"/>
    <n v="3"/>
    <n v="4"/>
    <n v="6131"/>
    <n v="1270"/>
    <n v="4861"/>
    <n v="0.91300000000000003"/>
    <n v="2825"/>
    <n v="93"/>
    <n v="0.82399999999999995"/>
    <n v="0.20699999999999999"/>
    <n v="5.6716000000000004E-4"/>
    <n v="0.99943000000000004"/>
    <s v="59.44748031408154"/>
    <s v="71.97628587856259"/>
    <s v="146.40100910568825"/>
    <s v="5.194884088156422"/>
    <n v="771212508"/>
    <x v="0"/>
    <n v="4.0155779999999998E-4"/>
    <x v="0"/>
  </r>
  <r>
    <n v="64"/>
    <n v="0"/>
    <n v="1"/>
    <n v="3"/>
    <n v="0"/>
    <n v="5"/>
    <n v="0"/>
    <n v="36"/>
    <n v="3"/>
    <n v="3"/>
    <n v="1"/>
    <n v="18038"/>
    <n v="1184"/>
    <n v="16854"/>
    <n v="0.82699999999999996"/>
    <n v="4168"/>
    <n v="64"/>
    <n v="0.6"/>
    <n v="6.6000000000000003E-2"/>
    <s v="9.8983e-05"/>
    <n v="0.99990000000000001"/>
    <s v="3.9870119358060254"/>
    <s v="4.989349705423039"/>
    <s v="28.781193311876365"/>
    <s v="3.810884068221261"/>
    <n v="715339758"/>
    <x v="0"/>
    <n v="3.8516130999999998E-4"/>
    <x v="0"/>
  </r>
  <r>
    <n v="47"/>
    <n v="0"/>
    <n v="1"/>
    <n v="3"/>
    <n v="1"/>
    <n v="5"/>
    <n v="0"/>
    <n v="41"/>
    <n v="3"/>
    <n v="2"/>
    <n v="3"/>
    <n v="2950"/>
    <n v="1642"/>
    <n v="1308"/>
    <n v="0.8"/>
    <n v="4740"/>
    <n v="83"/>
    <n v="0.69399999999999995"/>
    <n v="0.55700000000000005"/>
    <n v="1.7468E-4"/>
    <n v="0.99983"/>
    <s v="16.013712682779076"/>
    <s v="84.09401083479764"/>
    <s v="20.50342996345951"/>
    <s v="2.586524949014773"/>
    <n v="768498258"/>
    <x v="0"/>
    <n v="3.2101269999999999E-4"/>
    <x v="0"/>
  </r>
  <r>
    <n v="51"/>
    <n v="0"/>
    <n v="2"/>
    <n v="3"/>
    <n v="1"/>
    <n v="4"/>
    <n v="0"/>
    <n v="33"/>
    <n v="2"/>
    <n v="1"/>
    <n v="3"/>
    <n v="5625"/>
    <n v="1640"/>
    <n v="3985"/>
    <n v="0.89300000000000002"/>
    <n v="7890"/>
    <n v="75"/>
    <n v="0.875"/>
    <n v="0.29199999999999998"/>
    <s v="9.0056e-05"/>
    <n v="0.99990999999999997"/>
    <s v="77.06469788836776"/>
    <s v="19.32441544921526"/>
    <n v="70.050828737450999"/>
    <s v="8.982707810640933"/>
    <n v="712570458"/>
    <x v="0"/>
    <n v="5.8715616000000004E-4"/>
    <x v="0"/>
  </r>
  <r>
    <n v="58"/>
    <n v="0"/>
    <n v="1"/>
    <n v="5"/>
    <n v="2"/>
    <n v="4"/>
    <n v="0"/>
    <n v="43"/>
    <n v="4"/>
    <n v="4"/>
    <n v="2"/>
    <n v="3382"/>
    <n v="1446"/>
    <n v="1936"/>
    <n v="0.70499999999999996"/>
    <n v="4854"/>
    <n v="74"/>
    <n v="0.68200000000000005"/>
    <n v="0.42799999999999999"/>
    <n v="2.0979000000000001E-4"/>
    <n v="0.99978999999999996"/>
    <s v="25.257611108300843"/>
    <s v="25.765776863853727"/>
    <s v="54.87039390877695"/>
    <s v="13.992505574164758"/>
    <n v="779961408"/>
    <x v="0"/>
    <n v="3.2101269999999999E-4"/>
    <x v="0"/>
  </r>
  <r>
    <n v="59"/>
    <n v="1"/>
    <n v="1"/>
    <n v="0"/>
    <n v="1"/>
    <n v="0"/>
    <n v="0"/>
    <n v="50"/>
    <n v="1"/>
    <n v="5"/>
    <n v="4"/>
    <n v="15796"/>
    <n v="812"/>
    <n v="14984"/>
    <n v="0.71899999999999997"/>
    <n v="1339"/>
    <n v="23"/>
    <n v="0.15"/>
    <n v="5.0999999999999997E-2"/>
    <n v="0.99809999999999999"/>
    <n v="1.8967400000000001E-3"/>
    <s v="0.6846090714069166"/>
    <s v="7.563542885734915"/>
    <s v="55.74399036053779"/>
    <s v="10.607074022408462"/>
    <n v="720610008"/>
    <x v="1"/>
    <n v="0.99695219999999996"/>
    <x v="1"/>
  </r>
  <r>
    <n v="56"/>
    <n v="0"/>
    <n v="1"/>
    <n v="6"/>
    <n v="1"/>
    <n v="4"/>
    <n v="0"/>
    <n v="45"/>
    <n v="4"/>
    <n v="1"/>
    <n v="2"/>
    <n v="3132"/>
    <n v="2230"/>
    <n v="902"/>
    <n v="0.78"/>
    <n v="4412"/>
    <n v="73"/>
    <n v="0.65900000000000003"/>
    <n v="0.71199999999999997"/>
    <s v="5.6825e-05"/>
    <n v="0.99994000000000005"/>
    <s v="7.376949419256299"/>
    <s v="3.1395660917213557"/>
    <n v="8.4973334797220197"/>
    <s v="15.150995870885694"/>
    <n v="712244733"/>
    <x v="0"/>
    <n v="3.2101269999999999E-4"/>
    <x v="0"/>
  </r>
  <r>
    <n v="40"/>
    <n v="1"/>
    <n v="2"/>
    <n v="0"/>
    <n v="2"/>
    <n v="3"/>
    <n v="0"/>
    <n v="36"/>
    <n v="5"/>
    <n v="1"/>
    <n v="4"/>
    <n v="14544"/>
    <n v="0"/>
    <n v="14544"/>
    <n v="0.76800000000000002"/>
    <n v="4064"/>
    <n v="92"/>
    <n v="0.76900000000000002"/>
    <n v="0"/>
    <n v="1.5364999999999999E-4"/>
    <n v="0.99985000000000002"/>
    <s v="56.106511380571085"/>
    <s v="29.30189378411614"/>
    <s v="59.07542428872586"/>
    <s v="1.2339899533852314"/>
    <n v="714283458"/>
    <x v="0"/>
    <n v="6.9517245999999998E-4"/>
    <x v="0"/>
  </r>
  <r>
    <n v="43"/>
    <n v="0"/>
    <n v="3"/>
    <n v="3"/>
    <n v="2"/>
    <n v="4"/>
    <n v="0"/>
    <n v="36"/>
    <n v="3"/>
    <n v="3"/>
    <n v="2"/>
    <n v="1438.3"/>
    <n v="0"/>
    <n v="1438.3"/>
    <n v="0.68899999999999995"/>
    <n v="4401"/>
    <n v="73"/>
    <n v="0.69799999999999995"/>
    <n v="0"/>
    <n v="1.8144999999999999E-4"/>
    <n v="0.99982000000000004"/>
    <s v="16.69422544600353"/>
    <s v="30.316058905425923"/>
    <s v="41.26472822504316"/>
    <s v="19.952586381906706"/>
    <n v="715281933"/>
    <x v="0"/>
    <n v="6.9517245999999998E-4"/>
    <x v="0"/>
  </r>
  <r>
    <n v="56"/>
    <n v="1"/>
    <n v="3"/>
    <n v="2"/>
    <n v="2"/>
    <n v="2"/>
    <n v="0"/>
    <n v="36"/>
    <n v="2"/>
    <n v="2"/>
    <n v="3"/>
    <n v="4742"/>
    <n v="855"/>
    <n v="3887"/>
    <n v="0.63500000000000001"/>
    <n v="870"/>
    <n v="24"/>
    <n v="0.5"/>
    <n v="0.18"/>
    <n v="0.99499000000000004"/>
    <n v="5.0099999999999997E-3"/>
    <s v="4.511081319755782"/>
    <n v="47.067184596585498"/>
    <s v="48.38917186883906"/>
    <s v="3.8630471861537794"/>
    <n v="778388358"/>
    <x v="1"/>
    <n v="0.99745030000000001"/>
    <x v="1"/>
  </r>
  <r>
    <n v="53"/>
    <n v="0"/>
    <n v="1"/>
    <n v="0"/>
    <n v="1"/>
    <n v="5"/>
    <n v="0"/>
    <n v="40"/>
    <n v="3"/>
    <n v="2"/>
    <n v="1"/>
    <n v="4941"/>
    <n v="1867"/>
    <n v="3074"/>
    <n v="0.73"/>
    <n v="5104"/>
    <n v="87"/>
    <n v="0.85099999999999998"/>
    <n v="0.378"/>
    <s v="6.2639e-05"/>
    <n v="0.99994000000000005"/>
    <s v="15.075560886826766"/>
    <s v="37.01913557012345"/>
    <s v="23.25751399885972"/>
    <s v="24.62923753539092"/>
    <n v="720644883"/>
    <x v="0"/>
    <n v="3.2101269999999999E-4"/>
    <x v="0"/>
  </r>
  <r>
    <n v="62"/>
    <n v="0"/>
    <n v="0"/>
    <n v="6"/>
    <n v="1"/>
    <n v="1"/>
    <n v="0"/>
    <n v="36"/>
    <n v="4"/>
    <n v="2"/>
    <n v="2"/>
    <n v="2964"/>
    <n v="2400"/>
    <n v="564"/>
    <n v="1.296"/>
    <n v="1557"/>
    <n v="25"/>
    <n v="1.778"/>
    <n v="0.81"/>
    <n v="1.0736E-4"/>
    <n v="0.99988999999999995"/>
    <n v="3.5660089123120202"/>
    <s v="17.17241619743251"/>
    <s v="39.881356575642485"/>
    <s v="15.945648295885883"/>
    <n v="719315508"/>
    <x v="0"/>
    <n v="9.8706899999999992E-4"/>
    <x v="0"/>
  </r>
  <r>
    <n v="48"/>
    <n v="0"/>
    <n v="3"/>
    <n v="3"/>
    <n v="0"/>
    <n v="1"/>
    <n v="0"/>
    <n v="40"/>
    <n v="3"/>
    <n v="1"/>
    <n v="3"/>
    <n v="2405"/>
    <n v="1410"/>
    <n v="995"/>
    <n v="0.86599999999999999"/>
    <n v="4421"/>
    <n v="79"/>
    <n v="0.88100000000000001"/>
    <n v="0.58599999999999997"/>
    <s v="9.3448e-05"/>
    <n v="0.99990999999999997"/>
    <s v="25.446242318629583"/>
    <s v="7.774381975692343"/>
    <s v="3.593536016204411"/>
    <s v="15.23259737963322"/>
    <n v="717534108"/>
    <x v="0"/>
    <n v="3.2101269999999999E-4"/>
    <x v="0"/>
  </r>
  <r>
    <n v="46"/>
    <n v="0"/>
    <n v="3"/>
    <n v="3"/>
    <n v="2"/>
    <n v="5"/>
    <n v="0"/>
    <n v="34"/>
    <n v="4"/>
    <n v="3"/>
    <n v="3"/>
    <n v="29543"/>
    <n v="1164"/>
    <n v="28379"/>
    <n v="0.71699999999999997"/>
    <n v="1015"/>
    <n v="27"/>
    <n v="0.35"/>
    <n v="3.9E-2"/>
    <n v="0.99673"/>
    <n v="3.2652800000000002E-3"/>
    <s v="25.746043692322395"/>
    <s v="25.074846660145333"/>
    <s v="135.43389440008994"/>
    <n v="8.7913388744469501"/>
    <n v="712196508"/>
    <x v="1"/>
    <n v="0.9955581"/>
    <x v="1"/>
  </r>
  <r>
    <n v="46"/>
    <n v="0"/>
    <n v="2"/>
    <n v="2"/>
    <n v="1"/>
    <n v="5"/>
    <n v="0"/>
    <n v="36"/>
    <n v="6"/>
    <n v="2"/>
    <n v="1"/>
    <n v="5547"/>
    <n v="0"/>
    <n v="5547"/>
    <n v="0.85"/>
    <n v="4585"/>
    <n v="79"/>
    <n v="0.79500000000000004"/>
    <n v="0"/>
    <s v="6.864e-05"/>
    <n v="0.99992999999999999"/>
    <s v="29.71384443619628"/>
    <s v="36.05286391454617"/>
    <s v="54.552648343394615"/>
    <s v="5.555121719397141"/>
    <n v="719947533"/>
    <x v="0"/>
    <n v="7.1049936000000004E-4"/>
    <x v="0"/>
  </r>
  <r>
    <n v="39"/>
    <n v="1"/>
    <n v="2"/>
    <n v="3"/>
    <n v="1"/>
    <n v="1"/>
    <n v="0"/>
    <n v="30"/>
    <n v="5"/>
    <n v="3"/>
    <n v="3"/>
    <n v="2220"/>
    <n v="0"/>
    <n v="2220"/>
    <n v="0.872"/>
    <n v="2859"/>
    <n v="55"/>
    <n v="0.83299999999999996"/>
    <n v="0"/>
    <n v="0.99661"/>
    <n v="3.3878799999999998E-3"/>
    <s v="15.011163118827868"/>
    <s v="22.691920437666493"/>
    <s v="10.535264603620996"/>
    <s v="4.631739214214434"/>
    <n v="789481233"/>
    <x v="1"/>
    <n v="0.99617540000000004"/>
    <x v="1"/>
  </r>
  <r>
    <n v="38"/>
    <n v="0"/>
    <n v="1"/>
    <n v="2"/>
    <n v="1"/>
    <n v="5"/>
    <n v="0"/>
    <n v="31"/>
    <n v="3"/>
    <n v="1"/>
    <n v="3"/>
    <n v="7234"/>
    <n v="0"/>
    <n v="7234"/>
    <n v="0.89900000000000002"/>
    <n v="5198"/>
    <n v="75"/>
    <n v="1.083"/>
    <n v="0"/>
    <s v="8.6952e-05"/>
    <n v="0.99990999999999997"/>
    <s v="20.680091979073246"/>
    <n v="30.222360131191799"/>
    <s v="74.50486960115914"/>
    <s v="19.71289649572205"/>
    <n v="745853283"/>
    <x v="0"/>
    <n v="7.4699510000000001E-4"/>
    <x v="0"/>
  </r>
  <r>
    <n v="54"/>
    <n v="1"/>
    <n v="1"/>
    <n v="5"/>
    <n v="2"/>
    <n v="2"/>
    <n v="0"/>
    <n v="48"/>
    <n v="5"/>
    <n v="2"/>
    <n v="3"/>
    <n v="14948"/>
    <n v="2158"/>
    <n v="12790"/>
    <n v="0.84399999999999997"/>
    <n v="3094"/>
    <n v="56"/>
    <n v="1"/>
    <n v="0.14399999999999999"/>
    <n v="1.8474999999999999E-4"/>
    <n v="0.99982000000000004"/>
    <s v="10.856217963268085"/>
    <s v="28.427192361795267"/>
    <s v="244.39232563870956"/>
    <s v="0.7331960719215281"/>
    <n v="768196008"/>
    <x v="0"/>
    <n v="5.0233139999999999E-4"/>
    <x v="0"/>
  </r>
  <r>
    <n v="37"/>
    <n v="0"/>
    <n v="4"/>
    <n v="3"/>
    <n v="2"/>
    <n v="1"/>
    <n v="0"/>
    <n v="36"/>
    <n v="5"/>
    <n v="3"/>
    <n v="1"/>
    <n v="3093"/>
    <n v="2517"/>
    <n v="576"/>
    <n v="0.85499999999999998"/>
    <n v="1371"/>
    <n v="23"/>
    <n v="0.91700000000000004"/>
    <n v="0.81399999999999995"/>
    <n v="1.106E-4"/>
    <n v="0.99988999999999995"/>
    <s v="17.395021475526942"/>
    <s v="28.68192683825683"/>
    <s v="31.949542399746605"/>
    <s v="13.769988687322256"/>
    <n v="709682658"/>
    <x v="0"/>
    <n v="1.0254878999999999E-3"/>
    <x v="0"/>
  </r>
  <r>
    <n v="48"/>
    <n v="0"/>
    <n v="4"/>
    <n v="0"/>
    <n v="1"/>
    <n v="4"/>
    <n v="0"/>
    <n v="36"/>
    <n v="6"/>
    <n v="1"/>
    <n v="4"/>
    <n v="2464"/>
    <n v="1867"/>
    <n v="597"/>
    <n v="0.6"/>
    <n v="1219"/>
    <n v="35"/>
    <n v="1.333"/>
    <n v="0.75800000000000001"/>
    <n v="1.6113999999999999E-4"/>
    <n v="0.99983999999999995"/>
    <s v="5.764696590297753"/>
    <s v="61.683877187321805"/>
    <s v="98.24624829774282"/>
    <s v="12.107703170952975"/>
    <n v="714974658"/>
    <x v="0"/>
    <n v="9.8706899999999992E-4"/>
    <x v="0"/>
  </r>
  <r>
    <n v="47"/>
    <n v="1"/>
    <n v="3"/>
    <n v="5"/>
    <n v="0"/>
    <n v="2"/>
    <n v="0"/>
    <n v="41"/>
    <n v="2"/>
    <n v="3"/>
    <n v="3"/>
    <n v="1943"/>
    <n v="0"/>
    <n v="1943"/>
    <n v="0.49399999999999999"/>
    <n v="5108"/>
    <n v="81"/>
    <n v="0.88400000000000001"/>
    <n v="0"/>
    <n v="3.2275000000000001E-4"/>
    <n v="0.99968000000000001"/>
    <s v="72.45414310762092"/>
    <s v="13.947485043258933"/>
    <s v="2.4796464340594127"/>
    <s v="2.5008300113086417"/>
    <n v="789613083"/>
    <x v="0"/>
    <n v="6.9517245999999998E-4"/>
    <x v="0"/>
  </r>
  <r>
    <n v="38"/>
    <n v="1"/>
    <n v="2"/>
    <n v="3"/>
    <n v="1"/>
    <n v="0"/>
    <n v="0"/>
    <n v="29"/>
    <n v="4"/>
    <n v="1"/>
    <n v="2"/>
    <n v="2818"/>
    <n v="1656"/>
    <n v="1162"/>
    <n v="1.4039999999999999"/>
    <n v="2916"/>
    <n v="45"/>
    <n v="0.95699999999999996"/>
    <n v="0.58799999999999997"/>
    <s v="5.3542e-05"/>
    <n v="0.99995000000000001"/>
    <s v="22.183230216176263"/>
    <s v="3.482593373646123"/>
    <s v="40.45321663030518"/>
    <s v="11.112441290661216"/>
    <n v="710449983"/>
    <x v="0"/>
    <n v="9.7467419999999999E-4"/>
    <x v="0"/>
  </r>
  <r>
    <n v="39"/>
    <n v="1"/>
    <n v="2"/>
    <n v="2"/>
    <n v="1"/>
    <n v="3"/>
    <n v="0"/>
    <n v="21"/>
    <n v="5"/>
    <n v="3"/>
    <n v="3"/>
    <n v="3281"/>
    <n v="1272"/>
    <n v="2009"/>
    <n v="0.79900000000000004"/>
    <n v="2006"/>
    <n v="34"/>
    <n v="0.54500000000000004"/>
    <n v="0.38800000000000001"/>
    <n v="3.0250999999999998E-4"/>
    <n v="0.99970000000000003"/>
    <s v="26.74867456304744"/>
    <s v="17.98320986939175"/>
    <s v="58.06404851637878"/>
    <n v="4.2253856854024302E-2"/>
    <n v="779498058"/>
    <x v="0"/>
    <n v="1.174137E-3"/>
    <x v="0"/>
  </r>
  <r>
    <n v="43"/>
    <n v="0"/>
    <n v="2"/>
    <n v="2"/>
    <n v="1"/>
    <n v="4"/>
    <n v="0"/>
    <n v="35"/>
    <n v="3"/>
    <n v="1"/>
    <n v="3"/>
    <n v="4092"/>
    <n v="622"/>
    <n v="3470"/>
    <n v="0.77500000000000002"/>
    <n v="5001"/>
    <n v="88"/>
    <n v="0.49199999999999999"/>
    <n v="0.152"/>
    <s v="9.2637e-05"/>
    <n v="0.99990999999999997"/>
    <s v="46.94337092942347"/>
    <s v="63.91656527169663"/>
    <s v="5.024428581072493"/>
    <s v="8.253196374407596"/>
    <n v="714259533"/>
    <x v="0"/>
    <n v="6.0676899999999995E-4"/>
    <x v="0"/>
  </r>
  <r>
    <n v="52"/>
    <n v="0"/>
    <n v="2"/>
    <n v="0"/>
    <n v="0"/>
    <n v="4"/>
    <n v="0"/>
    <n v="45"/>
    <n v="4"/>
    <n v="2"/>
    <n v="3"/>
    <n v="1438.3"/>
    <n v="0"/>
    <n v="1438.3"/>
    <n v="0.74399999999999999"/>
    <n v="4737"/>
    <n v="80"/>
    <n v="0.81799999999999995"/>
    <n v="0"/>
    <n v="1.8611999999999999E-4"/>
    <n v="0.99980999999999998"/>
    <n v="2.8602190985201998"/>
    <s v="12.15525591833367"/>
    <s v="78.42897993553534"/>
    <s v="30.169366840468037"/>
    <n v="714252933"/>
    <x v="0"/>
    <n v="6.9517245999999998E-4"/>
    <x v="0"/>
  </r>
  <r>
    <n v="52"/>
    <n v="0"/>
    <n v="4"/>
    <n v="0"/>
    <n v="3"/>
    <n v="4"/>
    <n v="0"/>
    <n v="39"/>
    <n v="6"/>
    <n v="3"/>
    <n v="1"/>
    <n v="2035"/>
    <n v="1343"/>
    <n v="692"/>
    <n v="0.83499999999999996"/>
    <n v="4643"/>
    <n v="86"/>
    <n v="0.68600000000000005"/>
    <n v="0.66"/>
    <n v="1.1061E-4"/>
    <n v="0.99988999999999995"/>
    <s v="6.008191208711585"/>
    <s v="6.014950912385067"/>
    <n v="75.643827786552606"/>
    <s v="25.21368041680921"/>
    <n v="708427908"/>
    <x v="0"/>
    <n v="3.2101269999999999E-4"/>
    <x v="0"/>
  </r>
  <r>
    <n v="36"/>
    <n v="1"/>
    <n v="1"/>
    <n v="2"/>
    <n v="2"/>
    <n v="2"/>
    <n v="0"/>
    <n v="36"/>
    <n v="3"/>
    <n v="3"/>
    <n v="4"/>
    <n v="2601"/>
    <n v="1817"/>
    <n v="784"/>
    <n v="0.66300000000000003"/>
    <n v="2542"/>
    <n v="67"/>
    <n v="0.67500000000000004"/>
    <n v="0.69899999999999995"/>
    <n v="4.8434999999999998E-4"/>
    <n v="0.99951999999999996"/>
    <s v="5.761373986690195"/>
    <s v="3.462761686892967"/>
    <s v="11.447704658973873"/>
    <s v="1.563077568359399"/>
    <n v="709085358"/>
    <x v="0"/>
    <n v="3.9451056999999999E-4"/>
    <x v="0"/>
  </r>
  <r>
    <n v="55"/>
    <n v="1"/>
    <n v="2"/>
    <n v="0"/>
    <n v="2"/>
    <n v="0"/>
    <n v="3"/>
    <n v="42"/>
    <n v="2"/>
    <n v="3"/>
    <n v="2"/>
    <n v="34516"/>
    <n v="1527"/>
    <n v="32989"/>
    <n v="0.52600000000000002"/>
    <n v="1268"/>
    <n v="42"/>
    <n v="0.35499999999999998"/>
    <n v="4.3999999999999997E-2"/>
    <n v="1.5801000000000001E-4"/>
    <n v="0.99983999999999995"/>
    <s v="4.271863368678911"/>
    <s v="7.662963768990023"/>
    <s v="23.604474080605424"/>
    <s v="8.998087311717375"/>
    <n v="771075258"/>
    <x v="0"/>
    <n v="1.6436559E-3"/>
    <x v="0"/>
  </r>
  <r>
    <n v="43"/>
    <n v="0"/>
    <n v="3"/>
    <n v="6"/>
    <n v="2"/>
    <n v="1"/>
    <n v="0"/>
    <n v="34"/>
    <n v="5"/>
    <n v="3"/>
    <n v="4"/>
    <n v="2656"/>
    <n v="1166"/>
    <n v="1490"/>
    <n v="0.58599999999999997"/>
    <n v="4171"/>
    <n v="80"/>
    <n v="0.81799999999999995"/>
    <n v="0.439"/>
    <n v="5.8850999999999999E-4"/>
    <n v="0.99941000000000002"/>
    <s v="26.905397513514885"/>
    <s v="22.03220031075032"/>
    <s v="120.06205618395488"/>
    <s v="2.9762498428336377"/>
    <n v="717176508"/>
    <x v="0"/>
    <n v="3.2101269999999999E-4"/>
    <x v="0"/>
  </r>
  <r>
    <n v="57"/>
    <n v="1"/>
    <n v="1"/>
    <n v="4"/>
    <n v="3"/>
    <n v="3"/>
    <n v="0"/>
    <n v="36"/>
    <n v="4"/>
    <n v="3"/>
    <n v="3"/>
    <n v="23714"/>
    <n v="0"/>
    <n v="23714"/>
    <n v="0.98099999999999998"/>
    <n v="8463"/>
    <n v="62"/>
    <n v="0.82399999999999995"/>
    <n v="0"/>
    <n v="0.99702000000000002"/>
    <n v="2.98315E-3"/>
    <s v="0.2256599685946431"/>
    <n v="62.6119934350981"/>
    <n v="23.069012351054599"/>
    <s v="1.1483692528267853"/>
    <n v="715076358"/>
    <x v="1"/>
    <n v="0.9954307"/>
    <x v="1"/>
  </r>
  <r>
    <n v="50"/>
    <n v="1"/>
    <n v="1"/>
    <n v="2"/>
    <n v="0"/>
    <n v="2"/>
    <n v="0"/>
    <n v="44"/>
    <n v="3"/>
    <n v="4"/>
    <n v="3"/>
    <n v="7050"/>
    <n v="1008"/>
    <n v="6042"/>
    <n v="0.63900000000000001"/>
    <n v="2176"/>
    <n v="39"/>
    <n v="0.56000000000000005"/>
    <n v="0.14299999999999999"/>
    <n v="0.99709999999999999"/>
    <n v="2.90471E-3"/>
    <s v="24.251422914230837"/>
    <s v="29.17327440897896"/>
    <s v="17.623866341856722"/>
    <s v="6.078537550146808"/>
    <n v="773667708"/>
    <x v="1"/>
    <n v="0.99531069999999999"/>
    <x v="1"/>
  </r>
  <r>
    <n v="41"/>
    <n v="1"/>
    <n v="4"/>
    <n v="2"/>
    <n v="3"/>
    <n v="3"/>
    <n v="0"/>
    <n v="31"/>
    <n v="3"/>
    <n v="3"/>
    <n v="2"/>
    <n v="19782"/>
    <n v="868"/>
    <n v="18914"/>
    <n v="0.80800000000000005"/>
    <n v="2535"/>
    <n v="44"/>
    <n v="0.46700000000000003"/>
    <n v="4.3999999999999997E-2"/>
    <n v="0.99473"/>
    <n v="5.2700000000000004E-3"/>
    <s v="34.68122313110984"/>
    <s v="51.13228846449013"/>
    <s v="28.11079015725873"/>
    <s v="1.3069268679657449"/>
    <n v="720592533"/>
    <x v="1"/>
    <n v="0.99732023000000003"/>
    <x v="1"/>
  </r>
  <r>
    <n v="47"/>
    <n v="1"/>
    <n v="2"/>
    <n v="5"/>
    <n v="1"/>
    <n v="2"/>
    <n v="0"/>
    <n v="32"/>
    <n v="1"/>
    <n v="3"/>
    <n v="6"/>
    <n v="1789"/>
    <n v="0"/>
    <n v="1789"/>
    <n v="0.63700000000000001"/>
    <n v="2784"/>
    <n v="49"/>
    <n v="0.58099999999999996"/>
    <n v="0"/>
    <n v="0.99938000000000005"/>
    <n v="6.198E-4"/>
    <s v="9.637676119829608"/>
    <s v="20.856259121308813"/>
    <s v="11.044289661832616"/>
    <s v="2.251450361972981"/>
    <n v="720243933"/>
    <x v="1"/>
    <n v="0.99755559999999999"/>
    <x v="1"/>
  </r>
  <r>
    <n v="60"/>
    <n v="0"/>
    <n v="1"/>
    <n v="0"/>
    <n v="2"/>
    <n v="1"/>
    <n v="0"/>
    <n v="50"/>
    <n v="5"/>
    <n v="1"/>
    <n v="3"/>
    <n v="1438.3"/>
    <n v="0"/>
    <n v="1438.3"/>
    <n v="0.57799999999999996"/>
    <n v="4148"/>
    <n v="84"/>
    <n v="0.71399999999999997"/>
    <n v="0"/>
    <s v="8.4537e-05"/>
    <n v="0.99992000000000003"/>
    <s v="24.42762602691697"/>
    <s v="23.53927025872148"/>
    <n v="86.095991742976693"/>
    <s v="8.420937830289311"/>
    <n v="709857033"/>
    <x v="0"/>
    <n v="6.9517245999999998E-4"/>
    <x v="0"/>
  </r>
  <r>
    <n v="49"/>
    <n v="1"/>
    <n v="2"/>
    <n v="6"/>
    <n v="1"/>
    <n v="0"/>
    <n v="0"/>
    <n v="36"/>
    <n v="4"/>
    <n v="2"/>
    <n v="0"/>
    <n v="19763"/>
    <n v="2517"/>
    <n v="17246"/>
    <n v="0.66400000000000003"/>
    <n v="1414"/>
    <n v="35"/>
    <n v="0.25"/>
    <n v="0.127"/>
    <s v="4.6151e-05"/>
    <n v="0.99995000000000001"/>
    <n v="51.424842889315798"/>
    <s v="134.65009202052468"/>
    <n v="32.668021202181002"/>
    <s v="3.067702089864655"/>
    <n v="712813458"/>
    <x v="0"/>
    <n v="1.2315542E-3"/>
    <x v="0"/>
  </r>
  <r>
    <n v="36"/>
    <n v="1"/>
    <n v="2"/>
    <n v="0"/>
    <n v="1"/>
    <n v="1"/>
    <n v="0"/>
    <n v="36"/>
    <n v="4"/>
    <n v="3"/>
    <n v="1"/>
    <n v="3877"/>
    <n v="1495"/>
    <n v="2382"/>
    <n v="0.78300000000000003"/>
    <n v="1942"/>
    <n v="42"/>
    <n v="0.75"/>
    <n v="0.38600000000000001"/>
    <n v="1.0546E-4"/>
    <n v="0.99988999999999995"/>
    <s v="25.96725862784496"/>
    <s v="83.87943199092257"/>
    <s v="0.4337331517923817"/>
    <s v="21.397477002184637"/>
    <n v="714397983"/>
    <x v="0"/>
    <n v="1.1451696999999999E-3"/>
    <x v="0"/>
  </r>
  <r>
    <n v="50"/>
    <n v="1"/>
    <n v="2"/>
    <n v="2"/>
    <n v="1"/>
    <n v="3"/>
    <n v="0"/>
    <n v="44"/>
    <n v="3"/>
    <n v="3"/>
    <n v="0"/>
    <n v="4589"/>
    <n v="0"/>
    <n v="4589"/>
    <n v="0.84499999999999997"/>
    <n v="1590"/>
    <n v="37"/>
    <n v="0.37"/>
    <n v="0"/>
    <s v="6.6354e-05"/>
    <n v="0.99992999999999999"/>
    <s v="36.93600426835464"/>
    <s v="6.331522366561672"/>
    <s v="89.87511444250761"/>
    <s v="4.753573680074931"/>
    <n v="767695083"/>
    <x v="0"/>
    <n v="4.5874009999999996E-3"/>
    <x v="0"/>
  </r>
  <r>
    <n v="37"/>
    <n v="1"/>
    <n v="1"/>
    <n v="3"/>
    <n v="1"/>
    <n v="1"/>
    <n v="0"/>
    <n v="28"/>
    <n v="3"/>
    <n v="4"/>
    <n v="2"/>
    <n v="3601"/>
    <n v="1236"/>
    <n v="2365"/>
    <n v="0.72599999999999998"/>
    <n v="1802"/>
    <n v="34"/>
    <n v="0.47799999999999998"/>
    <n v="0.34300000000000003"/>
    <n v="1.9835E-4"/>
    <n v="0.99980000000000002"/>
    <s v="18.71238008045299"/>
    <s v="48.73003050710332"/>
    <s v="40.70347505054333"/>
    <s v="10.566359258375426"/>
    <n v="708913233"/>
    <x v="0"/>
    <n v="1.232702E-3"/>
    <x v="0"/>
  </r>
  <r>
    <n v="55"/>
    <n v="0"/>
    <n v="0"/>
    <n v="2"/>
    <n v="1"/>
    <n v="4"/>
    <n v="0"/>
    <n v="36"/>
    <n v="6"/>
    <n v="2"/>
    <n v="4"/>
    <n v="3615"/>
    <n v="1699"/>
    <n v="1916"/>
    <n v="0.57599999999999996"/>
    <n v="1967"/>
    <n v="40"/>
    <n v="0.53800000000000003"/>
    <n v="0.47"/>
    <n v="2.8024000000000001E-4"/>
    <n v="0.99972000000000005"/>
    <s v="45.55220542357572"/>
    <s v="1.6557792777396458"/>
    <s v="64.81029185424732"/>
    <s v="3.706888462583541"/>
    <n v="714051033"/>
    <x v="0"/>
    <n v="1.174137E-3"/>
    <x v="0"/>
  </r>
  <r>
    <n v="41"/>
    <n v="0"/>
    <n v="5"/>
    <n v="6"/>
    <n v="1"/>
    <n v="1"/>
    <n v="0"/>
    <n v="30"/>
    <n v="5"/>
    <n v="2"/>
    <n v="3"/>
    <n v="1588"/>
    <n v="0"/>
    <n v="1588"/>
    <n v="0.63400000000000001"/>
    <n v="2561"/>
    <n v="61"/>
    <n v="0.64900000000000002"/>
    <n v="0"/>
    <n v="0.99541999999999997"/>
    <n v="4.5811899999999997E-3"/>
    <s v="4.711995233140458"/>
    <s v="25.07007978784228"/>
    <s v="15.50621947606266"/>
    <s v="11.403386975911191"/>
    <n v="787529583"/>
    <x v="1"/>
    <n v="0.99387484999999998"/>
    <x v="1"/>
  </r>
  <r>
    <n v="52"/>
    <n v="0"/>
    <n v="1"/>
    <n v="5"/>
    <n v="2"/>
    <n v="4"/>
    <n v="0"/>
    <n v="36"/>
    <n v="2"/>
    <n v="2"/>
    <n v="1"/>
    <n v="3244"/>
    <n v="1855"/>
    <n v="1389"/>
    <n v="0.7"/>
    <n v="8087"/>
    <n v="95"/>
    <n v="0.79200000000000004"/>
    <n v="0.57199999999999995"/>
    <s v="6.6245e-05"/>
    <n v="0.99992999999999999"/>
    <s v="32.07678375565055"/>
    <s v="24.92785926756922"/>
    <s v="19.207280538862893"/>
    <s v="4.878189279967827"/>
    <n v="711577458"/>
    <x v="0"/>
    <n v="3.6856539999999998E-4"/>
    <x v="0"/>
  </r>
  <r>
    <n v="40"/>
    <n v="0"/>
    <n v="4"/>
    <n v="4"/>
    <n v="2"/>
    <n v="1"/>
    <n v="0"/>
    <n v="31"/>
    <n v="4"/>
    <n v="2"/>
    <n v="1"/>
    <n v="2383"/>
    <n v="1828"/>
    <n v="555"/>
    <n v="0.81399999999999995"/>
    <n v="4759"/>
    <n v="75"/>
    <n v="0.74399999999999999"/>
    <n v="0.76700000000000002"/>
    <s v="8.4706e-05"/>
    <n v="0.99992000000000003"/>
    <s v="16.609557097577984"/>
    <s v="11.099615331960983"/>
    <s v="43.114324944531205"/>
    <s v="16.899227027957167"/>
    <n v="721317333"/>
    <x v="0"/>
    <n v="3.2101269999999999E-4"/>
    <x v="0"/>
  </r>
  <r>
    <n v="56"/>
    <n v="1"/>
    <n v="3"/>
    <n v="2"/>
    <n v="1"/>
    <n v="3"/>
    <n v="0"/>
    <n v="50"/>
    <n v="3"/>
    <n v="3"/>
    <n v="3"/>
    <n v="8022"/>
    <n v="1372"/>
    <n v="6650"/>
    <n v="0.89600000000000002"/>
    <n v="1794"/>
    <n v="31"/>
    <n v="1.385"/>
    <n v="0.17100000000000001"/>
    <n v="3.1389999999999999E-4"/>
    <n v="0.99968999999999997"/>
    <s v="18.86039291670057"/>
    <n v="21.909881720315301"/>
    <s v="83.24747403445295"/>
    <s v="8.823850029951297"/>
    <n v="802276683"/>
    <x v="0"/>
    <n v="1.0249399E-3"/>
    <x v="0"/>
  </r>
  <r>
    <n v="46"/>
    <n v="0"/>
    <n v="2"/>
    <n v="2"/>
    <n v="1"/>
    <n v="4"/>
    <n v="0"/>
    <n v="40"/>
    <n v="6"/>
    <n v="4"/>
    <n v="2"/>
    <n v="1438.3"/>
    <n v="510"/>
    <n v="928.3"/>
    <n v="0.71099999999999997"/>
    <n v="3399"/>
    <n v="66"/>
    <n v="0.78400000000000003"/>
    <n v="0.35499999999999998"/>
    <n v="2.1738000000000001E-4"/>
    <n v="0.99978"/>
    <s v="75.26700139055778"/>
    <s v="25.44653447200689"/>
    <s v="125.5741675575682"/>
    <n v="1.16219868742097"/>
    <n v="798786333"/>
    <x v="0"/>
    <n v="6.7355180000000005E-4"/>
    <x v="0"/>
  </r>
  <r>
    <n v="45"/>
    <n v="0"/>
    <n v="4"/>
    <n v="6"/>
    <n v="1"/>
    <n v="4"/>
    <n v="0"/>
    <n v="36"/>
    <n v="5"/>
    <n v="1"/>
    <n v="1"/>
    <n v="7924"/>
    <n v="1896"/>
    <n v="6028"/>
    <n v="1.161"/>
    <n v="3270"/>
    <n v="58"/>
    <n v="0.93300000000000005"/>
    <n v="0.23899999999999999"/>
    <s v="3.8289e-05"/>
    <n v="0.99995999999999996"/>
    <s v="14.334859161695514"/>
    <s v="19.05506397507301"/>
    <s v="26.17063348893217"/>
    <s v="5.778598985986118"/>
    <n v="718500633"/>
    <x v="0"/>
    <n v="4.0212742000000001E-4"/>
    <x v="0"/>
  </r>
  <r>
    <n v="52"/>
    <n v="0"/>
    <n v="0"/>
    <n v="1"/>
    <n v="2"/>
    <n v="4"/>
    <n v="0"/>
    <n v="36"/>
    <n v="2"/>
    <n v="2"/>
    <n v="3"/>
    <n v="1438.3"/>
    <n v="978"/>
    <n v="460.3"/>
    <n v="0.77300000000000002"/>
    <n v="947"/>
    <n v="33"/>
    <n v="0.57099999999999995"/>
    <n v="0.68"/>
    <n v="0.99580999999999997"/>
    <n v="4.1881100000000001E-3"/>
    <s v="10.474715694466331"/>
    <s v="26.53006243923447"/>
    <s v="80.90488728423715"/>
    <s v="29.10740337958063"/>
    <n v="715366083"/>
    <x v="1"/>
    <n v="0.99619484000000003"/>
    <x v="1"/>
  </r>
  <r>
    <n v="54"/>
    <n v="0"/>
    <n v="4"/>
    <n v="4"/>
    <n v="3"/>
    <n v="4"/>
    <n v="0"/>
    <n v="44"/>
    <n v="5"/>
    <n v="3"/>
    <n v="3"/>
    <n v="2440"/>
    <n v="503"/>
    <n v="1937"/>
    <n v="0.41499999999999998"/>
    <n v="2334"/>
    <n v="51"/>
    <n v="0.59399999999999997"/>
    <n v="0.20599999999999999"/>
    <n v="0.99733000000000005"/>
    <n v="2.6707200000000001E-3"/>
    <s v="41.83405033346406"/>
    <s v="13.32758512417941"/>
    <s v="7.216273606543518"/>
    <s v="6.913254925513057"/>
    <n v="714266883"/>
    <x v="1"/>
    <n v="0.99819880000000005"/>
    <x v="1"/>
  </r>
  <r>
    <n v="46"/>
    <n v="0"/>
    <n v="2"/>
    <n v="5"/>
    <n v="1"/>
    <n v="5"/>
    <n v="0"/>
    <n v="40"/>
    <n v="3"/>
    <n v="2"/>
    <n v="2"/>
    <n v="6083"/>
    <n v="1716"/>
    <n v="4367"/>
    <n v="0.61799999999999999"/>
    <n v="4528"/>
    <n v="86"/>
    <n v="0.755"/>
    <n v="0.28199999999999997"/>
    <n v="1.1703E-4"/>
    <n v="0.99987999999999999"/>
    <s v="8.218989513786907"/>
    <s v="45.05380853665957"/>
    <s v="18.19745865075092"/>
    <s v="4.473510689891402"/>
    <n v="796145133"/>
    <x v="0"/>
    <n v="3.2101269999999999E-4"/>
    <x v="0"/>
  </r>
  <r>
    <n v="41"/>
    <n v="0"/>
    <n v="3"/>
    <n v="2"/>
    <n v="1"/>
    <n v="5"/>
    <n v="0"/>
    <n v="33"/>
    <n v="5"/>
    <n v="3"/>
    <n v="0"/>
    <n v="15292"/>
    <n v="1325"/>
    <n v="13967"/>
    <n v="1.008"/>
    <n v="5120"/>
    <n v="74"/>
    <n v="0.80500000000000005"/>
    <n v="8.6999999999999994E-2"/>
    <s v="6.8853e-05"/>
    <n v="0.99992999999999999"/>
    <s v="32.63221193601545"/>
    <s v="1.9942250943112727"/>
    <s v="102.04073248258652"/>
    <s v="0.3715018948068846"/>
    <n v="718048608"/>
    <x v="0"/>
    <n v="3.4719318999999998E-4"/>
    <x v="0"/>
  </r>
  <r>
    <n v="44"/>
    <n v="1"/>
    <n v="3"/>
    <n v="2"/>
    <n v="1"/>
    <n v="2"/>
    <n v="0"/>
    <n v="36"/>
    <n v="1"/>
    <n v="2"/>
    <n v="3"/>
    <n v="3384"/>
    <n v="799"/>
    <n v="2585"/>
    <n v="0.73699999999999999"/>
    <n v="13152"/>
    <n v="100"/>
    <n v="0.754"/>
    <n v="0.23599999999999999"/>
    <n v="1.9864000000000001E-4"/>
    <n v="0.99980000000000002"/>
    <s v="53.25165121003502"/>
    <s v="38.11959383935152"/>
    <s v="6.644077182353922"/>
    <s v="12.172632428043412"/>
    <n v="713810658"/>
    <x v="0"/>
    <n v="5.6749790000000001E-4"/>
    <x v="0"/>
  </r>
  <r>
    <n v="58"/>
    <n v="1"/>
    <n v="2"/>
    <n v="3"/>
    <n v="2"/>
    <n v="2"/>
    <n v="3"/>
    <n v="49"/>
    <n v="4"/>
    <n v="3"/>
    <n v="3"/>
    <n v="30186"/>
    <n v="0"/>
    <n v="30186"/>
    <n v="0.60599999999999998"/>
    <n v="4070"/>
    <n v="74"/>
    <n v="0.57399999999999995"/>
    <n v="0"/>
    <n v="2.6572999999999999E-4"/>
    <n v="0.99973000000000001"/>
    <n v="4.72090570315538E-2"/>
    <s v="10.760535317759963"/>
    <s v="23.70716252218427"/>
    <s v="2.718214361849768"/>
    <n v="714708183"/>
    <x v="0"/>
    <n v="7.387203E-4"/>
    <x v="0"/>
  </r>
  <r>
    <n v="45"/>
    <n v="1"/>
    <n v="4"/>
    <n v="2"/>
    <n v="2"/>
    <n v="2"/>
    <n v="3"/>
    <n v="36"/>
    <n v="2"/>
    <n v="3"/>
    <n v="4"/>
    <n v="28564"/>
    <n v="2517"/>
    <n v="26047"/>
    <n v="0.71099999999999997"/>
    <n v="14875"/>
    <n v="107"/>
    <n v="0.78300000000000003"/>
    <n v="8.7999999999999995E-2"/>
    <n v="4.8899000000000002E-4"/>
    <n v="0.99951000000000001"/>
    <s v="28.687600055200782"/>
    <n v="39.098089563027003"/>
    <s v="52.979832446219554"/>
    <s v="2.982765285065812"/>
    <n v="715090008"/>
    <x v="0"/>
    <n v="3.8527976999999999E-4"/>
    <x v="0"/>
  </r>
  <r>
    <n v="49"/>
    <n v="0"/>
    <n v="4"/>
    <n v="2"/>
    <n v="1"/>
    <n v="1"/>
    <n v="0"/>
    <n v="41"/>
    <n v="5"/>
    <n v="1"/>
    <n v="2"/>
    <n v="6250"/>
    <n v="644"/>
    <n v="5606"/>
    <n v="1.06"/>
    <n v="2433"/>
    <n v="41"/>
    <n v="1.1579999999999999"/>
    <n v="0.10299999999999999"/>
    <s v="5.7762e-05"/>
    <n v="0.99994000000000005"/>
    <s v="17.285194965594865"/>
    <n v="7.7706734305670198"/>
    <s v="14.435053414422727"/>
    <n v="0.72387263591440598"/>
    <n v="708151008"/>
    <x v="0"/>
    <n v="2.3443374999999999E-3"/>
    <x v="0"/>
  </r>
  <r>
    <n v="62"/>
    <n v="0"/>
    <n v="1"/>
    <n v="0"/>
    <n v="0"/>
    <n v="4"/>
    <n v="0"/>
    <n v="51"/>
    <n v="1"/>
    <n v="3"/>
    <n v="3"/>
    <n v="4049"/>
    <n v="1685"/>
    <n v="2364"/>
    <n v="0.59699999999999998"/>
    <n v="3908"/>
    <n v="80"/>
    <n v="0.70199999999999996"/>
    <n v="0.41599999999999998"/>
    <n v="2.7607E-4"/>
    <n v="0.99972000000000005"/>
    <s v="44.369656240890095"/>
    <s v="61.40004802147354"/>
    <s v="141.45486841079648"/>
    <s v="4.751650738666569"/>
    <n v="710090133"/>
    <x v="0"/>
    <n v="3.2101269999999999E-4"/>
    <x v="0"/>
  </r>
  <r>
    <n v="41"/>
    <n v="0"/>
    <n v="3"/>
    <n v="2"/>
    <n v="2"/>
    <n v="4"/>
    <n v="3"/>
    <n v="30"/>
    <n v="2"/>
    <n v="1"/>
    <n v="1"/>
    <n v="11463"/>
    <n v="0"/>
    <n v="11463"/>
    <n v="0.90800000000000003"/>
    <n v="14511"/>
    <n v="105"/>
    <n v="0.72099999999999997"/>
    <n v="0"/>
    <s v="3.1141e-05"/>
    <n v="0.99997000000000003"/>
    <s v="1.655936723881178"/>
    <s v="13.786891658486404"/>
    <s v="14.416196693467429"/>
    <s v="21.02851171177162"/>
    <n v="708123033"/>
    <x v="0"/>
    <n v="8.064217E-4"/>
    <x v="0"/>
  </r>
  <r>
    <n v="53"/>
    <n v="0"/>
    <n v="2"/>
    <n v="3"/>
    <n v="1"/>
    <n v="4"/>
    <n v="0"/>
    <n v="36"/>
    <n v="2"/>
    <n v="3"/>
    <n v="2"/>
    <n v="2156"/>
    <n v="1198"/>
    <n v="958"/>
    <n v="0.50700000000000001"/>
    <n v="5092"/>
    <n v="95"/>
    <n v="0.75900000000000001"/>
    <n v="0.55600000000000005"/>
    <n v="1.7485999999999999E-4"/>
    <n v="0.99983"/>
    <s v="69.91563513096914"/>
    <s v="43.104385853954966"/>
    <s v="22.334769758203745"/>
    <s v="1.6967227437979868"/>
    <n v="709082808"/>
    <x v="0"/>
    <n v="3.2101269999999999E-4"/>
    <x v="0"/>
  </r>
  <r>
    <n v="42"/>
    <n v="0"/>
    <n v="2"/>
    <n v="6"/>
    <n v="1"/>
    <n v="4"/>
    <n v="0"/>
    <n v="29"/>
    <n v="5"/>
    <n v="3"/>
    <n v="4"/>
    <n v="3200"/>
    <n v="1733"/>
    <n v="1467"/>
    <n v="0.90900000000000003"/>
    <n v="5026"/>
    <n v="79"/>
    <n v="0.83699999999999997"/>
    <n v="0.54200000000000004"/>
    <n v="5.6716000000000004E-4"/>
    <n v="0.99943000000000004"/>
    <s v="25.70042092767373"/>
    <s v="11.555868221890004"/>
    <s v="46.56222635102736"/>
    <s v="9.893926946573576"/>
    <n v="719829633"/>
    <x v="0"/>
    <n v="3.221314E-4"/>
    <x v="0"/>
  </r>
  <r>
    <n v="38"/>
    <n v="1"/>
    <n v="2"/>
    <n v="5"/>
    <n v="2"/>
    <n v="3"/>
    <n v="0"/>
    <n v="33"/>
    <n v="1"/>
    <n v="4"/>
    <n v="4"/>
    <n v="32938"/>
    <n v="2089"/>
    <n v="30849"/>
    <n v="0.72"/>
    <n v="1137"/>
    <n v="26"/>
    <n v="0.23799999999999999"/>
    <n v="6.3E-2"/>
    <n v="0.99843999999999999"/>
    <n v="1.55634E-3"/>
    <s v="27.289759969989788"/>
    <n v="45.692391732650897"/>
    <s v="80.29256394964091"/>
    <s v="2.057980718976485"/>
    <n v="819610908"/>
    <x v="1"/>
    <n v="0.99500469999999996"/>
    <x v="1"/>
  </r>
  <r>
    <n v="59"/>
    <n v="1"/>
    <n v="0"/>
    <n v="6"/>
    <n v="1"/>
    <n v="4"/>
    <n v="0"/>
    <n v="51"/>
    <n v="5"/>
    <n v="3"/>
    <n v="4"/>
    <n v="1570"/>
    <n v="1028"/>
    <n v="542"/>
    <n v="0.74199999999999999"/>
    <n v="1430"/>
    <n v="28"/>
    <n v="1.333"/>
    <n v="0.65500000000000003"/>
    <n v="4.8673E-4"/>
    <n v="0.99951000000000001"/>
    <s v="18.76703317117529"/>
    <s v="2.913562662004708"/>
    <s v="19.22723015738729"/>
    <s v="14.752809077171966"/>
    <n v="788259558"/>
    <x v="0"/>
    <n v="9.8706899999999992E-4"/>
    <x v="0"/>
  </r>
  <r>
    <n v="39"/>
    <n v="1"/>
    <n v="3"/>
    <n v="2"/>
    <n v="2"/>
    <n v="0"/>
    <n v="0"/>
    <n v="36"/>
    <n v="4"/>
    <n v="2"/>
    <n v="2"/>
    <n v="34516"/>
    <n v="0"/>
    <n v="34516"/>
    <n v="0.754"/>
    <n v="3572"/>
    <n v="55"/>
    <n v="0.66700000000000004"/>
    <n v="0"/>
    <n v="1.1811000000000001E-4"/>
    <n v="0.99987999999999999"/>
    <s v="1.4089863381217664"/>
    <s v="102.3458770257531"/>
    <s v="62.639663791447255"/>
    <s v="5.5167433862852135"/>
    <n v="716636808"/>
    <x v="0"/>
    <n v="1.4145458E-3"/>
    <x v="0"/>
  </r>
  <r>
    <n v="54"/>
    <n v="0"/>
    <n v="1"/>
    <n v="6"/>
    <n v="1"/>
    <n v="1"/>
    <n v="0"/>
    <n v="49"/>
    <n v="4"/>
    <n v="3"/>
    <n v="6"/>
    <n v="2471"/>
    <n v="0"/>
    <n v="2471"/>
    <n v="0.72199999999999998"/>
    <n v="2519"/>
    <n v="35"/>
    <n v="0.52200000000000002"/>
    <n v="0"/>
    <n v="0.99938000000000005"/>
    <n v="6.1766999999999996E-4"/>
    <s v="78.09530860230156"/>
    <s v="26.261517984633333"/>
    <s v="9.174746440580227"/>
    <s v="2.274976716763805"/>
    <n v="808903308"/>
    <x v="1"/>
    <n v="0.9979905"/>
    <x v="1"/>
  </r>
  <r>
    <n v="42"/>
    <n v="1"/>
    <n v="2"/>
    <n v="6"/>
    <n v="2"/>
    <n v="0"/>
    <n v="1"/>
    <n v="37"/>
    <n v="5"/>
    <n v="2"/>
    <n v="2"/>
    <n v="34516"/>
    <n v="1230"/>
    <n v="33286"/>
    <n v="0.72"/>
    <n v="3260"/>
    <n v="63"/>
    <n v="1.1000000000000001"/>
    <n v="3.5999999999999997E-2"/>
    <n v="1.4414000000000001E-4"/>
    <n v="0.99985999999999997"/>
    <s v="40.83085249813524"/>
    <s v="6.1909440868455725"/>
    <n v="38.425976248449601"/>
    <n v="9.0141965061910606E-2"/>
    <n v="816084333"/>
    <x v="0"/>
    <n v="3.8724514999999998E-4"/>
    <x v="0"/>
  </r>
  <r>
    <n v="50"/>
    <n v="0"/>
    <n v="0"/>
    <n v="2"/>
    <n v="2"/>
    <n v="4"/>
    <n v="0"/>
    <n v="41"/>
    <n v="2"/>
    <n v="3"/>
    <n v="1"/>
    <n v="3423"/>
    <n v="0"/>
    <n v="3423"/>
    <n v="0.505"/>
    <n v="2229"/>
    <n v="45"/>
    <n v="0.40600000000000003"/>
    <n v="0"/>
    <n v="0.98936999999999997"/>
    <n v="1.0630000000000001E-2"/>
    <s v="18.877837291235416"/>
    <s v="59.62619081777364"/>
    <s v="22.592245768198723"/>
    <s v="6.035654248508732"/>
    <n v="713512308"/>
    <x v="1"/>
    <n v="0.99876772999999996"/>
    <x v="1"/>
  </r>
  <r>
    <n v="30"/>
    <n v="0"/>
    <n v="0"/>
    <n v="2"/>
    <n v="1"/>
    <n v="4"/>
    <n v="0"/>
    <n v="23"/>
    <n v="5"/>
    <n v="2"/>
    <n v="3"/>
    <n v="2498"/>
    <n v="1632"/>
    <n v="866"/>
    <n v="0.71199999999999997"/>
    <n v="2048"/>
    <n v="35"/>
    <n v="1.1879999999999999"/>
    <n v="0.65300000000000002"/>
    <n v="1.6427999999999999E-4"/>
    <n v="0.99983999999999995"/>
    <s v="50.27729324635106"/>
    <s v="2.6792080200770725"/>
    <s v="44.77784593625472"/>
    <s v="24.695069358873837"/>
    <n v="719452308"/>
    <x v="0"/>
    <n v="1.1511369E-3"/>
    <x v="0"/>
  </r>
  <r>
    <n v="40"/>
    <n v="1"/>
    <n v="4"/>
    <n v="2"/>
    <n v="2"/>
    <n v="3"/>
    <n v="0"/>
    <n v="29"/>
    <n v="5"/>
    <n v="1"/>
    <n v="2"/>
    <n v="14315"/>
    <n v="690"/>
    <n v="13625"/>
    <n v="1.32"/>
    <n v="2603"/>
    <n v="56"/>
    <n v="0.80600000000000005"/>
    <n v="4.8000000000000001E-2"/>
    <s v="5.7762e-05"/>
    <n v="0.99994000000000005"/>
    <s v="5.922864362460727"/>
    <s v="15.670616035563686"/>
    <s v="19.27785555118755"/>
    <s v="4.106556940423199"/>
    <n v="772031733"/>
    <x v="0"/>
    <n v="9.0917730000000005E-4"/>
    <x v="0"/>
  </r>
  <r>
    <n v="40"/>
    <n v="0"/>
    <n v="4"/>
    <n v="6"/>
    <n v="1"/>
    <n v="1"/>
    <n v="0"/>
    <n v="30"/>
    <n v="5"/>
    <n v="2"/>
    <n v="2"/>
    <n v="2166"/>
    <n v="1465"/>
    <n v="701"/>
    <n v="0.85699999999999998"/>
    <n v="5097"/>
    <n v="82"/>
    <n v="0.67300000000000004"/>
    <n v="0.67600000000000005"/>
    <n v="1.3121000000000001E-4"/>
    <n v="0.99987000000000004"/>
    <s v="11.248509490140478"/>
    <s v="90.59334651785342"/>
    <s v="111.61699900939963"/>
    <s v="1.9672731652887263"/>
    <n v="717166383"/>
    <x v="0"/>
    <n v="3.2101269999999999E-4"/>
    <x v="0"/>
  </r>
  <r>
    <n v="54"/>
    <n v="1"/>
    <n v="3"/>
    <n v="1"/>
    <n v="1"/>
    <n v="0"/>
    <n v="0"/>
    <n v="41"/>
    <n v="3"/>
    <n v="3"/>
    <n v="0"/>
    <n v="21592"/>
    <n v="1676"/>
    <n v="19916"/>
    <n v="1.097"/>
    <n v="1873"/>
    <n v="52"/>
    <n v="0.52900000000000003"/>
    <n v="7.8E-2"/>
    <s v="9.9638e-05"/>
    <n v="0.99990000000000001"/>
    <s v="9.710442126482356"/>
    <s v="4.197737555107572"/>
    <n v="84.8629325435125"/>
    <s v="22.245768069457338"/>
    <n v="780466533"/>
    <x v="0"/>
    <n v="9.1092574000000001E-4"/>
    <x v="0"/>
  </r>
  <r>
    <n v="45"/>
    <n v="0"/>
    <n v="4"/>
    <n v="2"/>
    <n v="3"/>
    <n v="4"/>
    <n v="0"/>
    <n v="38"/>
    <n v="2"/>
    <n v="2"/>
    <n v="1"/>
    <n v="2396"/>
    <n v="887"/>
    <n v="1509"/>
    <n v="0.60399999999999998"/>
    <n v="7480"/>
    <n v="84"/>
    <n v="0.78700000000000003"/>
    <n v="0.37"/>
    <s v="7.1987e-05"/>
    <n v="0.99992999999999999"/>
    <s v="71.83206184190198"/>
    <s v="35.482899723296505"/>
    <s v="115.90408172880764"/>
    <s v="4.5002860634975415"/>
    <n v="757863258"/>
    <x v="0"/>
    <n v="4.8407677000000002E-4"/>
    <x v="0"/>
  </r>
  <r>
    <n v="57"/>
    <n v="1"/>
    <n v="2"/>
    <n v="2"/>
    <n v="1"/>
    <n v="3"/>
    <n v="0"/>
    <n v="40"/>
    <n v="6"/>
    <n v="3"/>
    <n v="4"/>
    <n v="17925"/>
    <n v="1909"/>
    <n v="16016"/>
    <n v="0.71199999999999997"/>
    <n v="17498"/>
    <n v="111"/>
    <n v="0.82"/>
    <n v="0.106"/>
    <n v="5.1599999999999997E-4"/>
    <n v="0.99948000000000004"/>
    <s v="39.850515970597904"/>
    <s v="21.10574853788748"/>
    <s v="25.263746310132262"/>
    <s v="3.627344085469516"/>
    <n v="712503408"/>
    <x v="0"/>
    <n v="3.4656386999999997E-4"/>
    <x v="0"/>
  </r>
  <r>
    <n v="41"/>
    <n v="1"/>
    <n v="2"/>
    <n v="3"/>
    <n v="2"/>
    <n v="3"/>
    <n v="0"/>
    <n v="28"/>
    <n v="4"/>
    <n v="3"/>
    <n v="0"/>
    <n v="27756"/>
    <n v="1789"/>
    <n v="25967"/>
    <n v="0.75"/>
    <n v="994"/>
    <n v="24"/>
    <n v="0.84599999999999997"/>
    <n v="6.4000000000000001E-2"/>
    <s v="6.4505e-05"/>
    <n v="0.99994000000000005"/>
    <s v="27.01371433884314"/>
    <s v="22.18834727613361"/>
    <s v="139.20611110155937"/>
    <s v="6.779105257801182"/>
    <n v="713137233"/>
    <x v="0"/>
    <n v="1.1872624E-3"/>
    <x v="0"/>
  </r>
  <r>
    <n v="44"/>
    <n v="1"/>
    <n v="4"/>
    <n v="6"/>
    <n v="3"/>
    <n v="3"/>
    <n v="0"/>
    <n v="37"/>
    <n v="5"/>
    <n v="1"/>
    <n v="2"/>
    <n v="4234"/>
    <n v="972"/>
    <n v="3262"/>
    <n v="1.7070000000000001"/>
    <n v="1348"/>
    <n v="27"/>
    <n v="1.7"/>
    <n v="0.23"/>
    <s v="6.3492e-05"/>
    <n v="0.99994000000000005"/>
    <s v="8.737696328884653"/>
    <s v="25.87132737042853"/>
    <s v="24.91447643159653"/>
    <s v="5.552571765759291"/>
    <n v="714885258"/>
    <x v="0"/>
    <n v="1.2152762E-3"/>
    <x v="0"/>
  </r>
  <r>
    <n v="45"/>
    <n v="1"/>
    <n v="3"/>
    <n v="2"/>
    <n v="3"/>
    <n v="3"/>
    <n v="0"/>
    <n v="28"/>
    <n v="5"/>
    <n v="3"/>
    <n v="1"/>
    <n v="31743"/>
    <n v="1332"/>
    <n v="30411"/>
    <n v="0.66500000000000004"/>
    <n v="4293"/>
    <n v="73"/>
    <n v="0.622"/>
    <n v="4.2000000000000003E-2"/>
    <n v="1.1256000000000001E-4"/>
    <n v="0.99988999999999995"/>
    <s v="43.74571809842747"/>
    <s v="22.272775311375447"/>
    <s v="75.41738160643435"/>
    <s v="23.842633292278883"/>
    <n v="710644158"/>
    <x v="0"/>
    <n v="3.6634394000000002E-4"/>
    <x v="0"/>
  </r>
  <r>
    <n v="48"/>
    <n v="0"/>
    <n v="1"/>
    <n v="1"/>
    <n v="1"/>
    <n v="4"/>
    <n v="0"/>
    <n v="43"/>
    <n v="2"/>
    <n v="3"/>
    <n v="1"/>
    <n v="2559"/>
    <n v="1514"/>
    <n v="1045"/>
    <n v="0.56999999999999995"/>
    <n v="4117"/>
    <n v="69"/>
    <n v="0.64300000000000002"/>
    <n v="0.59199999999999997"/>
    <n v="1.4734000000000001E-4"/>
    <n v="0.99985000000000002"/>
    <s v="10.411620514953276"/>
    <s v="37.15268654070741"/>
    <s v="52.020181199205965"/>
    <s v="9.419440718676364"/>
    <n v="816613158"/>
    <x v="0"/>
    <n v="3.2914013999999999E-4"/>
    <x v="0"/>
  </r>
  <r>
    <n v="56"/>
    <n v="0"/>
    <n v="4"/>
    <n v="1"/>
    <n v="2"/>
    <n v="1"/>
    <n v="0"/>
    <n v="44"/>
    <n v="4"/>
    <n v="2"/>
    <n v="3"/>
    <n v="3455"/>
    <n v="1385"/>
    <n v="2070"/>
    <n v="0.77300000000000002"/>
    <n v="4925"/>
    <n v="82"/>
    <n v="0.745"/>
    <n v="0.40100000000000002"/>
    <n v="2.9051000000000001E-4"/>
    <n v="0.99970999999999999"/>
    <s v="8.318719822705424"/>
    <s v="20.329642866945747"/>
    <s v="27.25663027833326"/>
    <s v="26.625486824289236"/>
    <n v="712569408"/>
    <x v="0"/>
    <n v="3.2101269999999999E-4"/>
    <x v="0"/>
  </r>
  <r>
    <n v="46"/>
    <n v="1"/>
    <n v="2"/>
    <n v="6"/>
    <n v="0"/>
    <n v="2"/>
    <n v="0"/>
    <n v="37"/>
    <n v="6"/>
    <n v="1"/>
    <n v="1"/>
    <n v="2695"/>
    <n v="1657"/>
    <n v="1038"/>
    <n v="0.81299999999999994"/>
    <n v="4068"/>
    <n v="53"/>
    <n v="0.96299999999999997"/>
    <n v="0.61499999999999999"/>
    <s v="3.6508e-05"/>
    <n v="0.99995999999999996"/>
    <s v="30.615577980873503"/>
    <s v="15.068242172622536"/>
    <n v="0.24671289425290299"/>
    <s v="5.842819134442296"/>
    <n v="711443808"/>
    <x v="0"/>
    <n v="6.6858219999999999E-4"/>
    <x v="0"/>
  </r>
  <r>
    <n v="47"/>
    <n v="0"/>
    <n v="3"/>
    <n v="2"/>
    <n v="1"/>
    <n v="5"/>
    <n v="0"/>
    <n v="36"/>
    <n v="3"/>
    <n v="3"/>
    <n v="1"/>
    <n v="5590"/>
    <n v="0"/>
    <n v="5590"/>
    <n v="0.01"/>
    <n v="1507"/>
    <n v="32"/>
    <n v="0"/>
    <n v="0"/>
    <n v="0.99119999999999997"/>
    <n v="8.8000000000000005E-3"/>
    <s v="29.545039354986883"/>
    <s v="9.605551223358766"/>
    <s v="36.21374029262496"/>
    <s v="6.477879987179829"/>
    <n v="708108333"/>
    <x v="1"/>
    <n v="0.99860470000000001"/>
    <x v="1"/>
  </r>
  <r>
    <n v="53"/>
    <n v="0"/>
    <n v="1"/>
    <n v="2"/>
    <n v="2"/>
    <n v="4"/>
    <n v="0"/>
    <n v="43"/>
    <n v="6"/>
    <n v="3"/>
    <n v="2"/>
    <n v="2172"/>
    <n v="644"/>
    <n v="1528"/>
    <n v="0.67300000000000004"/>
    <n v="4657"/>
    <n v="82"/>
    <n v="0.90700000000000003"/>
    <n v="0.29699999999999999"/>
    <n v="1.6882999999999999E-4"/>
    <n v="0.99983"/>
    <s v="25.28228887411481"/>
    <s v="47.19493295046128"/>
    <s v="5.610538818033638"/>
    <s v="12.007943029876316"/>
    <n v="780019908"/>
    <x v="0"/>
    <n v="5.4489190000000002E-4"/>
    <x v="0"/>
  </r>
  <r>
    <n v="58"/>
    <n v="0"/>
    <n v="3"/>
    <n v="1"/>
    <n v="1"/>
    <n v="4"/>
    <n v="0"/>
    <n v="47"/>
    <n v="1"/>
    <n v="3"/>
    <n v="3"/>
    <n v="1517"/>
    <n v="920"/>
    <n v="597"/>
    <n v="0.82499999999999996"/>
    <n v="5067"/>
    <n v="69"/>
    <n v="0.86499999999999999"/>
    <n v="0.60599999999999998"/>
    <n v="4.5419999999999998E-4"/>
    <n v="0.99955000000000005"/>
    <s v="15.603448774161771"/>
    <s v="18.525025318552736"/>
    <s v="124.22616887428391"/>
    <s v="16.985645541298933"/>
    <n v="718590183"/>
    <x v="0"/>
    <n v="4.0989029999999999E-4"/>
    <x v="0"/>
  </r>
  <r>
    <n v="49"/>
    <n v="1"/>
    <n v="3"/>
    <n v="0"/>
    <n v="0"/>
    <n v="3"/>
    <n v="0"/>
    <n v="38"/>
    <n v="2"/>
    <n v="3"/>
    <n v="3"/>
    <n v="9959"/>
    <n v="1143"/>
    <n v="8816"/>
    <n v="0.66100000000000003"/>
    <n v="7300"/>
    <n v="77"/>
    <n v="0.63800000000000001"/>
    <n v="0.115"/>
    <n v="3.0519E-4"/>
    <n v="0.99968999999999997"/>
    <s v="3.103350379747825"/>
    <s v="12.32830040899704"/>
    <s v="3.751632199126417"/>
    <s v="14.052036375128594"/>
    <n v="708219108"/>
    <x v="0"/>
    <n v="5.7260033999999998E-4"/>
    <x v="0"/>
  </r>
  <r>
    <n v="38"/>
    <n v="1"/>
    <n v="3"/>
    <n v="2"/>
    <n v="2"/>
    <n v="0"/>
    <n v="0"/>
    <n v="29"/>
    <n v="4"/>
    <n v="3"/>
    <n v="0"/>
    <n v="9703"/>
    <n v="941"/>
    <n v="8762"/>
    <n v="0.72099999999999997"/>
    <n v="4190"/>
    <n v="81"/>
    <n v="1.0249999999999999"/>
    <n v="9.7000000000000003E-2"/>
    <s v="6.8853e-05"/>
    <n v="0.99992999999999999"/>
    <s v="28.835769367871208"/>
    <s v="25.51558282806984"/>
    <s v="54.21854239005671"/>
    <n v="4.3480908276905996"/>
    <n v="714721608"/>
    <x v="0"/>
    <n v="3.9522952000000002E-4"/>
    <x v="0"/>
  </r>
  <r>
    <n v="43"/>
    <n v="0"/>
    <n v="3"/>
    <n v="3"/>
    <n v="1"/>
    <n v="4"/>
    <n v="0"/>
    <n v="36"/>
    <n v="2"/>
    <n v="3"/>
    <n v="0"/>
    <n v="7350"/>
    <n v="1360"/>
    <n v="5990"/>
    <n v="0.74399999999999999"/>
    <n v="7679"/>
    <n v="64"/>
    <n v="0.68400000000000005"/>
    <n v="0.185"/>
    <s v="6.6935e-05"/>
    <n v="0.99992999999999999"/>
    <s v="30.383792379339766"/>
    <s v="29.061106286079003"/>
    <s v="47.44611428910605"/>
    <s v="4.100980570137168"/>
    <n v="713208033"/>
    <x v="0"/>
    <n v="5.7218869999999997E-4"/>
    <x v="0"/>
  </r>
  <r>
    <n v="36"/>
    <n v="0"/>
    <n v="1"/>
    <n v="2"/>
    <n v="1"/>
    <n v="1"/>
    <n v="0"/>
    <n v="36"/>
    <n v="5"/>
    <n v="1"/>
    <n v="3"/>
    <n v="3635"/>
    <n v="1617"/>
    <n v="2018"/>
    <n v="0.82799999999999996"/>
    <n v="4045"/>
    <n v="62"/>
    <n v="1.0669999999999999"/>
    <n v="0.44500000000000001"/>
    <s v="8.6952e-05"/>
    <n v="0.99990999999999997"/>
    <s v="8.139922709838372"/>
    <s v="22.587100201389752"/>
    <s v="41.08892225881575"/>
    <s v="25.416507400884004"/>
    <n v="717123858"/>
    <x v="0"/>
    <n v="3.479205E-4"/>
    <x v="0"/>
  </r>
  <r>
    <n v="44"/>
    <n v="1"/>
    <n v="2"/>
    <n v="2"/>
    <n v="0"/>
    <n v="0"/>
    <n v="0"/>
    <n v="36"/>
    <n v="5"/>
    <n v="2"/>
    <n v="0"/>
    <n v="24016"/>
    <n v="0"/>
    <n v="24016"/>
    <n v="0.748"/>
    <n v="3693"/>
    <n v="62"/>
    <n v="0.72199999999999998"/>
    <n v="0"/>
    <s v="4.1986e-05"/>
    <n v="0.99995999999999996"/>
    <s v="17.338361141074714"/>
    <n v="66.820894641750797"/>
    <s v="35.79757359402151"/>
    <s v="4.3980209670957695"/>
    <n v="715491483"/>
    <x v="0"/>
    <n v="8.1245880000000001E-4"/>
    <x v="0"/>
  </r>
  <r>
    <n v="38"/>
    <n v="1"/>
    <n v="1"/>
    <n v="3"/>
    <n v="2"/>
    <n v="0"/>
    <n v="0"/>
    <n v="30"/>
    <n v="2"/>
    <n v="1"/>
    <n v="1"/>
    <n v="27712"/>
    <n v="2130"/>
    <n v="25582"/>
    <n v="0.65400000000000003"/>
    <n v="7399"/>
    <n v="91"/>
    <n v="0.71699999999999997"/>
    <n v="7.6999999999999999E-2"/>
    <s v="3.0307e-05"/>
    <n v="0.99997000000000003"/>
    <s v="25.47183197542396"/>
    <s v="18.92926484255141"/>
    <s v="74.59450739540327"/>
    <s v="2.2813084943588344"/>
    <n v="712580958"/>
    <x v="0"/>
    <n v="3.8905455999999999E-4"/>
    <x v="0"/>
  </r>
  <r>
    <n v="48"/>
    <n v="0"/>
    <n v="4"/>
    <n v="2"/>
    <n v="2"/>
    <n v="4"/>
    <n v="2"/>
    <n v="37"/>
    <n v="5"/>
    <n v="3"/>
    <n v="4"/>
    <n v="15987"/>
    <n v="0"/>
    <n v="15987"/>
    <n v="0.82699999999999996"/>
    <n v="7681"/>
    <n v="71"/>
    <n v="0.69"/>
    <n v="0"/>
    <n v="0.99894000000000005"/>
    <n v="1.0619500000000001E-3"/>
    <s v="21.575030306273064"/>
    <s v="20.21523810655258"/>
    <n v="97.662355810950302"/>
    <s v="0.7582308558178528"/>
    <n v="709319658"/>
    <x v="1"/>
    <n v="0.99370840000000005"/>
    <x v="1"/>
  </r>
  <r>
    <n v="49"/>
    <n v="0"/>
    <n v="2"/>
    <n v="5"/>
    <n v="2"/>
    <n v="4"/>
    <n v="0"/>
    <n v="37"/>
    <n v="5"/>
    <n v="1"/>
    <n v="4"/>
    <n v="2934"/>
    <n v="2381"/>
    <n v="553"/>
    <n v="0.76200000000000001"/>
    <n v="3396"/>
    <n v="64"/>
    <n v="0.77800000000000002"/>
    <n v="0.81200000000000006"/>
    <n v="1.6249E-4"/>
    <n v="0.99983999999999995"/>
    <n v="45.211648104731402"/>
    <s v="51.96088161082709"/>
    <s v="169.90929656151997"/>
    <s v="1.424255835610558"/>
    <n v="717961458"/>
    <x v="0"/>
    <n v="3.3750320000000002E-4"/>
    <x v="0"/>
  </r>
  <r>
    <n v="49"/>
    <n v="1"/>
    <n v="1"/>
    <n v="2"/>
    <n v="2"/>
    <n v="0"/>
    <n v="0"/>
    <n v="36"/>
    <n v="6"/>
    <n v="2"/>
    <n v="4"/>
    <n v="26723"/>
    <n v="0"/>
    <n v="26723"/>
    <n v="0.71599999999999997"/>
    <n v="2138"/>
    <n v="43"/>
    <n v="0.59299999999999997"/>
    <n v="0"/>
    <n v="0.99675000000000002"/>
    <n v="3.25077E-3"/>
    <s v="2.1554959024506277"/>
    <s v="16.543828939374464"/>
    <s v="4.989981637001614"/>
    <s v="8.672579522342097"/>
    <n v="717368208"/>
    <x v="1"/>
    <n v="0.99837339999999997"/>
    <x v="1"/>
  </r>
  <r>
    <n v="49"/>
    <n v="1"/>
    <n v="4"/>
    <n v="3"/>
    <n v="2"/>
    <n v="2"/>
    <n v="0"/>
    <n v="30"/>
    <n v="6"/>
    <n v="3"/>
    <n v="3"/>
    <n v="18418"/>
    <n v="0"/>
    <n v="18418"/>
    <n v="0.91800000000000004"/>
    <n v="9980"/>
    <n v="68"/>
    <n v="0.74399999999999999"/>
    <n v="0"/>
    <n v="0.99677000000000004"/>
    <n v="3.2308599999999999E-3"/>
    <s v="7.656076162816504"/>
    <s v="45.62742970038201"/>
    <n v="68.452801273307003"/>
    <s v="5.937686468384804"/>
    <n v="712036383"/>
    <x v="1"/>
    <n v="0.9954307"/>
    <x v="1"/>
  </r>
  <r>
    <n v="32"/>
    <n v="1"/>
    <n v="1"/>
    <n v="3"/>
    <n v="1"/>
    <n v="1"/>
    <n v="0"/>
    <n v="18"/>
    <n v="4"/>
    <n v="1"/>
    <n v="4"/>
    <n v="4583"/>
    <n v="1586"/>
    <n v="2997"/>
    <n v="0.82799999999999996"/>
    <n v="2395"/>
    <n v="57"/>
    <n v="0.78100000000000003"/>
    <n v="0.34599999999999997"/>
    <n v="1.4421E-4"/>
    <n v="0.99985999999999997"/>
    <n v="0.44434840739815901"/>
    <n v="58.359895718462496"/>
    <s v="22.37923952486106"/>
    <n v="8.4430789363602496"/>
    <n v="780251658"/>
    <x v="0"/>
    <n v="5.4921950000000005E-4"/>
    <x v="0"/>
  </r>
  <r>
    <n v="58"/>
    <n v="0"/>
    <n v="2"/>
    <n v="0"/>
    <n v="2"/>
    <n v="4"/>
    <n v="0"/>
    <n v="36"/>
    <n v="6"/>
    <n v="4"/>
    <n v="0"/>
    <n v="2212"/>
    <n v="1902"/>
    <n v="310"/>
    <n v="0.69099999999999995"/>
    <n v="4976"/>
    <n v="79"/>
    <n v="0.97499999999999998"/>
    <n v="0.86"/>
    <s v="7.7964e-05"/>
    <n v="0.99992000000000003"/>
    <s v="29.62771436522212"/>
    <s v="28.400342391042297"/>
    <s v="16.259534852190953"/>
    <s v="4.1730662183839735"/>
    <n v="714557583"/>
    <x v="0"/>
    <n v="3.2101269999999999E-4"/>
    <x v="0"/>
  </r>
  <r>
    <n v="44"/>
    <n v="1"/>
    <n v="4"/>
    <n v="0"/>
    <n v="1"/>
    <n v="2"/>
    <n v="0"/>
    <n v="28"/>
    <n v="4"/>
    <n v="2"/>
    <n v="2"/>
    <n v="2748"/>
    <n v="878"/>
    <n v="1870"/>
    <n v="0.63300000000000001"/>
    <n v="3383"/>
    <n v="67"/>
    <n v="0.55800000000000005"/>
    <n v="0.32"/>
    <n v="1.1605E-4"/>
    <n v="0.99987999999999999"/>
    <s v="23.338887280621584"/>
    <s v="45.01026708271581"/>
    <s v="10.18073547281248"/>
    <n v="9.33412887571955"/>
    <n v="794528283"/>
    <x v="0"/>
    <n v="4.3230187E-4"/>
    <x v="0"/>
  </r>
  <r>
    <n v="45"/>
    <n v="0"/>
    <n v="2"/>
    <n v="2"/>
    <n v="3"/>
    <n v="4"/>
    <n v="0"/>
    <n v="28"/>
    <n v="6"/>
    <n v="2"/>
    <n v="3"/>
    <n v="3136"/>
    <n v="2253"/>
    <n v="883"/>
    <n v="0.72199999999999998"/>
    <n v="4674"/>
    <n v="67"/>
    <n v="0.76300000000000001"/>
    <n v="0.71799999999999997"/>
    <n v="1.9143E-4"/>
    <n v="0.99980999999999998"/>
    <s v="7.176994506840997"/>
    <s v="38.79171922747058"/>
    <s v="41.99586148318928"/>
    <s v="6.218613577784818"/>
    <n v="709134333"/>
    <x v="0"/>
    <n v="3.2101269999999999E-4"/>
    <x v="0"/>
  </r>
  <r>
    <n v="58"/>
    <n v="1"/>
    <n v="2"/>
    <n v="5"/>
    <n v="2"/>
    <n v="0"/>
    <n v="0"/>
    <n v="46"/>
    <n v="2"/>
    <n v="3"/>
    <n v="4"/>
    <n v="16163"/>
    <n v="0"/>
    <n v="16163"/>
    <n v="0.54200000000000004"/>
    <n v="2171"/>
    <n v="48"/>
    <n v="0.77800000000000002"/>
    <n v="0"/>
    <n v="0.99812000000000001"/>
    <n v="1.8803100000000001E-3"/>
    <s v="15.721367608504783"/>
    <s v="28.450159161341123"/>
    <s v="44.38593901987775"/>
    <s v="6.826609207089995"/>
    <n v="720427683"/>
    <x v="1"/>
    <n v="0.99808806000000005"/>
    <x v="1"/>
  </r>
  <r>
    <n v="30"/>
    <n v="1"/>
    <n v="2"/>
    <n v="4"/>
    <n v="2"/>
    <n v="1"/>
    <n v="0"/>
    <n v="16"/>
    <n v="5"/>
    <n v="3"/>
    <n v="5"/>
    <n v="4533"/>
    <n v="1977"/>
    <n v="2556"/>
    <n v="0.66400000000000003"/>
    <n v="2679"/>
    <n v="69"/>
    <n v="0.60499999999999998"/>
    <n v="0.436"/>
    <n v="1.0502E-3"/>
    <n v="0.99895"/>
    <s v="4.853771989821229"/>
    <s v="36.81985266681394"/>
    <s v="47.22513506022259"/>
    <n v="8.2544080689659101"/>
    <n v="720706008"/>
    <x v="0"/>
    <n v="3.0320534E-2"/>
    <x v="0"/>
  </r>
  <r>
    <n v="55"/>
    <n v="0"/>
    <n v="2"/>
    <n v="3"/>
    <n v="1"/>
    <n v="4"/>
    <n v="0"/>
    <n v="36"/>
    <n v="5"/>
    <n v="1"/>
    <n v="4"/>
    <n v="1994"/>
    <n v="1175"/>
    <n v="819"/>
    <n v="0.79400000000000004"/>
    <n v="4455"/>
    <n v="82"/>
    <n v="0.54700000000000004"/>
    <n v="0.58899999999999997"/>
    <n v="1.5363E-4"/>
    <n v="0.99985000000000002"/>
    <n v="39.448887861678202"/>
    <s v="32.65323429321282"/>
    <s v="40.21947539612852"/>
    <s v="3.604044294111072"/>
    <n v="712575708"/>
    <x v="0"/>
    <n v="3.2914013999999999E-4"/>
    <x v="0"/>
  </r>
  <r>
    <n v="42"/>
    <n v="0"/>
    <n v="3"/>
    <n v="1"/>
    <n v="1"/>
    <n v="1"/>
    <n v="0"/>
    <n v="36"/>
    <n v="4"/>
    <n v="4"/>
    <n v="3"/>
    <n v="4142"/>
    <n v="688"/>
    <n v="3454"/>
    <n v="0.71699999999999997"/>
    <n v="4512"/>
    <n v="81"/>
    <n v="0.97599999999999998"/>
    <n v="0.16600000000000001"/>
    <n v="5.4887999999999996E-4"/>
    <n v="0.99944999999999995"/>
    <s v="42.83658579532904"/>
    <s v="7.904410152251555"/>
    <s v="13.272751446423314"/>
    <s v="3.767980295075308"/>
    <n v="717395733"/>
    <x v="0"/>
    <n v="5.4489190000000002E-4"/>
    <x v="0"/>
  </r>
  <r>
    <n v="55"/>
    <n v="0"/>
    <n v="2"/>
    <n v="0"/>
    <n v="1"/>
    <n v="1"/>
    <n v="0"/>
    <n v="45"/>
    <n v="2"/>
    <n v="3"/>
    <n v="3"/>
    <n v="2985"/>
    <n v="1651"/>
    <n v="1334"/>
    <n v="0.69299999999999995"/>
    <n v="14187"/>
    <n v="103"/>
    <n v="0.873"/>
    <n v="0.55300000000000005"/>
    <n v="2.9410999999999999E-4"/>
    <n v="0.99970999999999999"/>
    <s v="13.14580578364382"/>
    <s v="14.09980370125593"/>
    <s v="51.796856369494805"/>
    <s v="24.55085523452772"/>
    <n v="711822933"/>
    <x v="0"/>
    <n v="3.4656386999999997E-4"/>
    <x v="0"/>
  </r>
  <r>
    <n v="52"/>
    <n v="0"/>
    <n v="3"/>
    <n v="6"/>
    <n v="1"/>
    <n v="4"/>
    <n v="0"/>
    <n v="41"/>
    <n v="6"/>
    <n v="3"/>
    <n v="2"/>
    <n v="2622"/>
    <n v="1549"/>
    <n v="1073"/>
    <n v="1.321"/>
    <n v="1878"/>
    <n v="30"/>
    <n v="1.143"/>
    <n v="0.59099999999999997"/>
    <n v="2.0515999999999999E-4"/>
    <n v="0.99978999999999996"/>
    <s v="30.33217838514696"/>
    <s v="98.58117473895956"/>
    <n v="31.526780786535799"/>
    <s v="11.17468865862624"/>
    <n v="720756708"/>
    <x v="0"/>
    <n v="9.5900599999999999E-4"/>
    <x v="0"/>
  </r>
  <r>
    <n v="46"/>
    <n v="1"/>
    <n v="3"/>
    <n v="2"/>
    <n v="0"/>
    <n v="3"/>
    <n v="0"/>
    <n v="36"/>
    <n v="5"/>
    <n v="1"/>
    <n v="1"/>
    <n v="3210"/>
    <n v="2081"/>
    <n v="1129"/>
    <n v="0.61499999999999999"/>
    <n v="3962"/>
    <n v="62"/>
    <n v="0.93799999999999994"/>
    <n v="0.64800000000000002"/>
    <s v="3.4465e-05"/>
    <n v="0.99997000000000003"/>
    <s v="41.12012449878545"/>
    <s v="41.19773533412819"/>
    <s v="96.49485239520084"/>
    <s v="28.337585467116487"/>
    <n v="714992733"/>
    <x v="0"/>
    <n v="3.479205E-4"/>
    <x v="0"/>
  </r>
  <r>
    <n v="43"/>
    <n v="1"/>
    <n v="2"/>
    <n v="6"/>
    <n v="2"/>
    <n v="1"/>
    <n v="0"/>
    <n v="36"/>
    <n v="4"/>
    <n v="4"/>
    <n v="1"/>
    <n v="8406"/>
    <n v="0"/>
    <n v="8406"/>
    <n v="0.74299999999999999"/>
    <n v="3820"/>
    <n v="75"/>
    <n v="0.63"/>
    <n v="0"/>
    <n v="1.4410000000000001E-4"/>
    <n v="0.99985999999999997"/>
    <s v="56.638180907623465"/>
    <s v="31.327657354257585"/>
    <s v="82.51866588301212"/>
    <s v="2.001541131161768"/>
    <n v="716381808"/>
    <x v="0"/>
    <n v="7.1276520000000004E-4"/>
    <x v="0"/>
  </r>
  <r>
    <n v="49"/>
    <n v="0"/>
    <n v="4"/>
    <n v="2"/>
    <n v="1"/>
    <n v="1"/>
    <n v="0"/>
    <n v="38"/>
    <n v="4"/>
    <n v="2"/>
    <n v="1"/>
    <n v="12836"/>
    <n v="1034"/>
    <n v="11802"/>
    <n v="0.66300000000000003"/>
    <n v="2519"/>
    <n v="53"/>
    <n v="0.47199999999999998"/>
    <n v="8.1000000000000003E-2"/>
    <s v="7.1987e-05"/>
    <n v="0.99992999999999999"/>
    <s v="16.193002031588737"/>
    <n v="65.535430311221802"/>
    <s v="135.70065416814995"/>
    <n v="11.8207030083561"/>
    <n v="708119658"/>
    <x v="0"/>
    <n v="1.0527895999999999E-3"/>
    <x v="0"/>
  </r>
  <r>
    <n v="58"/>
    <n v="0"/>
    <n v="2"/>
    <n v="3"/>
    <n v="0"/>
    <n v="5"/>
    <n v="1"/>
    <n v="36"/>
    <n v="5"/>
    <n v="4"/>
    <n v="3"/>
    <n v="34516"/>
    <n v="1864"/>
    <n v="32652"/>
    <n v="0.66400000000000003"/>
    <n v="3595"/>
    <n v="52"/>
    <n v="0.73299999999999998"/>
    <n v="5.3999999999999999E-2"/>
    <n v="4.0944000000000001E-4"/>
    <n v="0.99958999999999998"/>
    <s v="11.281961007889697"/>
    <s v="27.697465899633947"/>
    <s v="22.547541869104855"/>
    <n v="9.5236219556842201"/>
    <n v="715252383"/>
    <x v="0"/>
    <n v="8.5165649999999996E-4"/>
    <x v="0"/>
  </r>
  <r>
    <n v="56"/>
    <n v="0"/>
    <n v="1"/>
    <n v="3"/>
    <n v="1"/>
    <n v="5"/>
    <n v="0"/>
    <n v="42"/>
    <n v="5"/>
    <n v="2"/>
    <n v="3"/>
    <n v="3674"/>
    <n v="2517"/>
    <n v="1157"/>
    <n v="0.85399999999999998"/>
    <n v="2608"/>
    <n v="45"/>
    <n v="0.73099999999999998"/>
    <n v="0.68500000000000005"/>
    <n v="0.99431000000000003"/>
    <n v="5.6899999999999997E-3"/>
    <s v="28.90380591122413"/>
    <s v="23.454313989544406"/>
    <n v="0.40703726283234698"/>
    <s v="2.8919850467765724"/>
    <n v="720711483"/>
    <x v="1"/>
    <n v="0.99523925999999996"/>
    <x v="1"/>
  </r>
  <r>
    <n v="48"/>
    <n v="0"/>
    <n v="4"/>
    <n v="6"/>
    <n v="1"/>
    <n v="4"/>
    <n v="0"/>
    <n v="36"/>
    <n v="4"/>
    <n v="3"/>
    <n v="3"/>
    <n v="2740"/>
    <n v="2425"/>
    <n v="315"/>
    <n v="0.81599999999999995"/>
    <n v="2431"/>
    <n v="46"/>
    <n v="0.39400000000000002"/>
    <n v="0.88500000000000001"/>
    <n v="0.99714000000000003"/>
    <n v="2.8584499999999998E-3"/>
    <s v="2.8608479494059758"/>
    <s v="13.825443583743128"/>
    <s v="43.69822447395127"/>
    <s v="8.982962577881995"/>
    <n v="720742083"/>
    <x v="1"/>
    <n v="0.99584656999999999"/>
    <x v="1"/>
  </r>
  <r>
    <n v="52"/>
    <n v="0"/>
    <n v="2"/>
    <n v="2"/>
    <n v="1"/>
    <n v="5"/>
    <n v="0"/>
    <n v="36"/>
    <n v="5"/>
    <n v="3"/>
    <n v="1"/>
    <n v="5905"/>
    <n v="2248"/>
    <n v="3657"/>
    <n v="0.72799999999999998"/>
    <n v="4042"/>
    <n v="80"/>
    <n v="0.86"/>
    <n v="0.38100000000000001"/>
    <n v="1.0848E-4"/>
    <n v="0.99988999999999995"/>
    <s v="2.394168435386004"/>
    <s v="5.440394754771438"/>
    <s v="104.54895362985194"/>
    <s v="4.362409979261965"/>
    <n v="712342833"/>
    <x v="0"/>
    <n v="3.2101269999999999E-4"/>
    <x v="0"/>
  </r>
  <r>
    <n v="53"/>
    <n v="1"/>
    <n v="3"/>
    <n v="5"/>
    <n v="2"/>
    <n v="2"/>
    <n v="0"/>
    <n v="36"/>
    <n v="6"/>
    <n v="2"/>
    <n v="2"/>
    <n v="6836"/>
    <n v="1607"/>
    <n v="5229"/>
    <n v="0.52400000000000002"/>
    <n v="4421"/>
    <n v="74"/>
    <n v="0.54200000000000004"/>
    <n v="0.23499999999999999"/>
    <n v="1.2144E-4"/>
    <n v="0.99987999999999999"/>
    <s v="10.53493649369424"/>
    <s v="52.90370502012882"/>
    <s v="82.13403836998197"/>
    <s v="2.7151156536181538"/>
    <n v="708588408"/>
    <x v="0"/>
    <n v="3.2914013999999999E-4"/>
    <x v="0"/>
  </r>
  <r>
    <n v="45"/>
    <n v="0"/>
    <n v="5"/>
    <n v="6"/>
    <n v="0"/>
    <n v="1"/>
    <n v="0"/>
    <n v="33"/>
    <n v="2"/>
    <n v="2"/>
    <n v="3"/>
    <n v="1438.3"/>
    <n v="0"/>
    <n v="1438.3"/>
    <n v="0.73899999999999999"/>
    <n v="5346"/>
    <n v="84"/>
    <n v="0.78700000000000003"/>
    <n v="0"/>
    <n v="2.1724E-4"/>
    <n v="0.99978"/>
    <n v="6.1306087811820102"/>
    <s v="62.06369035039862"/>
    <s v="76.99653692928614"/>
    <s v="5.793958099907751"/>
    <n v="719922558"/>
    <x v="0"/>
    <n v="7.9231150000000003E-4"/>
    <x v="0"/>
  </r>
  <r>
    <n v="40"/>
    <n v="1"/>
    <n v="1"/>
    <n v="2"/>
    <n v="1"/>
    <n v="1"/>
    <n v="0"/>
    <n v="23"/>
    <n v="6"/>
    <n v="3"/>
    <n v="2"/>
    <n v="6990"/>
    <n v="1378"/>
    <n v="5612"/>
    <n v="0.73"/>
    <n v="1479"/>
    <n v="29"/>
    <n v="0.61099999999999999"/>
    <n v="0.19700000000000001"/>
    <n v="1.6882999999999999E-4"/>
    <n v="0.99983"/>
    <s v="30.23200196567126"/>
    <s v="19.077002828940287"/>
    <s v="88.30269378620093"/>
    <s v="6.022470422179058"/>
    <n v="779656908"/>
    <x v="0"/>
    <n v="1.0598798E-3"/>
    <x v="0"/>
  </r>
  <r>
    <n v="48"/>
    <n v="1"/>
    <n v="3"/>
    <n v="3"/>
    <n v="1"/>
    <n v="2"/>
    <n v="0"/>
    <n v="36"/>
    <n v="1"/>
    <n v="2"/>
    <n v="5"/>
    <n v="8431"/>
    <n v="0"/>
    <n v="8431"/>
    <n v="0.222"/>
    <n v="5189"/>
    <n v="57"/>
    <n v="0.35699999999999998"/>
    <n v="0"/>
    <n v="0.99824999999999997"/>
    <n v="1.7505299999999999E-3"/>
    <s v="12.602746051717512"/>
    <s v="66.86596642078744"/>
    <s v="31.762266428645408"/>
    <s v="7.791318154586119"/>
    <n v="717774333"/>
    <x v="1"/>
    <n v="0.99275935000000004"/>
    <x v="1"/>
  </r>
  <r>
    <n v="46"/>
    <n v="1"/>
    <n v="4"/>
    <n v="1"/>
    <n v="1"/>
    <n v="3"/>
    <n v="0"/>
    <n v="39"/>
    <n v="3"/>
    <n v="3"/>
    <n v="1"/>
    <n v="5106"/>
    <n v="1539"/>
    <n v="3567"/>
    <n v="0.90700000000000003"/>
    <n v="3784"/>
    <n v="74"/>
    <n v="0.60899999999999999"/>
    <n v="0.30099999999999999"/>
    <n v="1.6463E-4"/>
    <n v="0.99983999999999995"/>
    <s v="10.351669484933463"/>
    <s v="19.436774174666965"/>
    <s v="96.68908511740406"/>
    <s v="26.909684752180496"/>
    <n v="765824058"/>
    <x v="0"/>
    <n v="3.4605444000000002E-4"/>
    <x v="0"/>
  </r>
  <r>
    <n v="38"/>
    <n v="0"/>
    <n v="1"/>
    <n v="2"/>
    <n v="1"/>
    <n v="4"/>
    <n v="0"/>
    <n v="29"/>
    <n v="3"/>
    <n v="3"/>
    <n v="4"/>
    <n v="1438.3"/>
    <n v="0"/>
    <n v="1438.3"/>
    <n v="0.50800000000000001"/>
    <n v="2139"/>
    <n v="47"/>
    <n v="0.56699999999999995"/>
    <n v="0"/>
    <n v="0.99794000000000005"/>
    <n v="2.05937E-3"/>
    <s v="17.238566433355658"/>
    <s v="64.29753968081513"/>
    <s v="98.76740363549624"/>
    <s v="12.400515389591964"/>
    <n v="710533233"/>
    <x v="1"/>
    <n v="0.99841880000000005"/>
    <x v="1"/>
  </r>
  <r>
    <n v="44"/>
    <n v="0"/>
    <n v="1"/>
    <n v="0"/>
    <n v="1"/>
    <n v="4"/>
    <n v="0"/>
    <n v="36"/>
    <n v="6"/>
    <n v="3"/>
    <n v="3"/>
    <n v="3052"/>
    <n v="0"/>
    <n v="3052"/>
    <n v="0.86799999999999999"/>
    <n v="2598"/>
    <n v="47"/>
    <n v="0.46899999999999997"/>
    <n v="0"/>
    <n v="0.99639"/>
    <n v="3.6082499999999999E-3"/>
    <s v="21.559702044889253"/>
    <s v="71.72672344516086"/>
    <n v="65.828930729750198"/>
    <s v="15.29851938224772"/>
    <n v="715497558"/>
    <x v="1"/>
    <n v="0.99873226999999998"/>
    <x v="1"/>
  </r>
  <r>
    <n v="52"/>
    <n v="1"/>
    <n v="5"/>
    <n v="2"/>
    <n v="2"/>
    <n v="3"/>
    <n v="0"/>
    <n v="47"/>
    <n v="3"/>
    <n v="1"/>
    <n v="1"/>
    <n v="2047"/>
    <n v="665"/>
    <n v="1382"/>
    <n v="0.60499999999999998"/>
    <n v="3452"/>
    <n v="66"/>
    <n v="0.69199999999999995"/>
    <n v="0.32500000000000001"/>
    <s v="3.429e-05"/>
    <n v="0.99997000000000003"/>
    <s v="7.878127845619461"/>
    <s v="25.944180866382048"/>
    <s v="92.75368021579108"/>
    <s v="3.1916417455335235"/>
    <n v="821150958"/>
    <x v="0"/>
    <n v="5.4489190000000002E-4"/>
    <x v="0"/>
  </r>
  <r>
    <n v="47"/>
    <n v="0"/>
    <n v="3"/>
    <n v="1"/>
    <n v="3"/>
    <n v="5"/>
    <n v="0"/>
    <n v="38"/>
    <n v="1"/>
    <n v="3"/>
    <n v="2"/>
    <n v="4072"/>
    <n v="1594"/>
    <n v="2478"/>
    <n v="0.67800000000000005"/>
    <n v="4317"/>
    <n v="83"/>
    <n v="0.88600000000000001"/>
    <n v="0.39100000000000001"/>
    <n v="2.7008000000000002E-4"/>
    <n v="0.99973000000000001"/>
    <s v="2.893237368878072"/>
    <s v="49.93943431942965"/>
    <s v="81.44719443678166"/>
    <s v="28.023680367303715"/>
    <n v="720589008"/>
    <x v="0"/>
    <n v="3.2101269999999999E-4"/>
    <x v="0"/>
  </r>
  <r>
    <n v="55"/>
    <n v="0"/>
    <n v="2"/>
    <n v="0"/>
    <n v="2"/>
    <n v="4"/>
    <n v="0"/>
    <n v="36"/>
    <n v="5"/>
    <n v="2"/>
    <n v="3"/>
    <n v="5719"/>
    <n v="892"/>
    <n v="4827"/>
    <n v="0.58899999999999997"/>
    <n v="3403"/>
    <n v="68"/>
    <n v="0.41699999999999998"/>
    <n v="0.156"/>
    <n v="1.8611999999999999E-4"/>
    <n v="0.99980999999999998"/>
    <s v="8.476000829267587"/>
    <s v="5.613457464240133"/>
    <s v="43.53867305663773"/>
    <s v="7.045957227118093"/>
    <n v="715480983"/>
    <x v="0"/>
    <n v="4.6951483999999998E-4"/>
    <x v="0"/>
  </r>
  <r>
    <n v="49"/>
    <n v="0"/>
    <n v="4"/>
    <n v="3"/>
    <n v="1"/>
    <n v="4"/>
    <n v="0"/>
    <n v="43"/>
    <n v="5"/>
    <n v="3"/>
    <n v="4"/>
    <n v="2574"/>
    <n v="1555"/>
    <n v="1019"/>
    <n v="0.58299999999999996"/>
    <n v="4134"/>
    <n v="62"/>
    <n v="0.55000000000000004"/>
    <n v="0.60399999999999998"/>
    <n v="5.2607999999999995E-4"/>
    <n v="0.99946999999999997"/>
    <s v="6.5408684660005605"/>
    <s v="44.27154581788351"/>
    <s v="19.245011510670743"/>
    <s v="4.146727921302922"/>
    <n v="769330908"/>
    <x v="0"/>
    <n v="3.5672840999999999E-4"/>
    <x v="0"/>
  </r>
  <r>
    <n v="54"/>
    <n v="0"/>
    <n v="3"/>
    <n v="3"/>
    <n v="1"/>
    <n v="4"/>
    <n v="0"/>
    <n v="36"/>
    <n v="2"/>
    <n v="2"/>
    <n v="1"/>
    <n v="5642"/>
    <n v="541"/>
    <n v="5101"/>
    <n v="0.74199999999999999"/>
    <n v="4633"/>
    <n v="84"/>
    <n v="0.68"/>
    <n v="9.6000000000000002E-2"/>
    <s v="6.9242e-05"/>
    <n v="0.99992999999999999"/>
    <s v="75.35585903422191"/>
    <s v="76.64652309109144"/>
    <s v="10.294784644451676"/>
    <s v="9.547408995500698"/>
    <n v="719202708"/>
    <x v="0"/>
    <n v="6.2459736000000004E-4"/>
    <x v="0"/>
  </r>
  <r>
    <n v="40"/>
    <n v="1"/>
    <n v="3"/>
    <n v="5"/>
    <n v="1"/>
    <n v="3"/>
    <n v="0"/>
    <n v="34"/>
    <n v="4"/>
    <n v="3"/>
    <n v="2"/>
    <n v="14840"/>
    <n v="2043"/>
    <n v="12797"/>
    <n v="0.77800000000000002"/>
    <n v="16256"/>
    <n v="111"/>
    <n v="0.85"/>
    <n v="0.13800000000000001"/>
    <n v="1.9191E-4"/>
    <n v="0.99980999999999998"/>
    <s v="7.908785947565215"/>
    <s v="6.325598635160159"/>
    <s v="8.688169860063265"/>
    <s v="3.5260143996867104"/>
    <n v="797641683"/>
    <x v="0"/>
    <n v="3.4656386999999997E-4"/>
    <x v="0"/>
  </r>
  <r>
    <n v="56"/>
    <n v="0"/>
    <n v="1"/>
    <n v="3"/>
    <n v="3"/>
    <n v="1"/>
    <n v="0"/>
    <n v="36"/>
    <n v="2"/>
    <n v="1"/>
    <n v="3"/>
    <n v="8331"/>
    <n v="0"/>
    <n v="8331"/>
    <n v="0.70499999999999996"/>
    <n v="14324"/>
    <n v="103"/>
    <n v="0.68899999999999995"/>
    <n v="0"/>
    <s v="8.453e-05"/>
    <n v="0.99992000000000003"/>
    <s v="3.6616058595429504"/>
    <s v="17.59680168984861"/>
    <s v="132.9858040279466"/>
    <s v="7.899928010775209"/>
    <n v="713895633"/>
    <x v="0"/>
    <n v="7.5047980000000002E-4"/>
    <x v="0"/>
  </r>
  <r>
    <n v="45"/>
    <n v="1"/>
    <n v="3"/>
    <n v="6"/>
    <n v="2"/>
    <n v="2"/>
    <n v="0"/>
    <n v="35"/>
    <n v="6"/>
    <n v="2"/>
    <n v="1"/>
    <n v="18004"/>
    <n v="2517"/>
    <n v="15487"/>
    <n v="0.56899999999999995"/>
    <n v="2030"/>
    <n v="45"/>
    <n v="0.45200000000000001"/>
    <n v="0.14000000000000001"/>
    <n v="0.98738999999999999"/>
    <n v="1.261E-2"/>
    <s v="18.99176573779102"/>
    <s v="21.116533521136738"/>
    <s v="23.48612426304787"/>
    <s v="11.96365804420913"/>
    <n v="772466508"/>
    <x v="1"/>
    <n v="0.9955427"/>
    <x v="1"/>
  </r>
  <r>
    <n v="49"/>
    <n v="0"/>
    <n v="1"/>
    <n v="2"/>
    <n v="1"/>
    <n v="4"/>
    <n v="0"/>
    <n v="43"/>
    <n v="5"/>
    <n v="3"/>
    <n v="3"/>
    <n v="1938"/>
    <n v="0"/>
    <n v="1938"/>
    <n v="0.61199999999999999"/>
    <n v="2870"/>
    <n v="49"/>
    <n v="0.75"/>
    <n v="0"/>
    <n v="0.99648999999999999"/>
    <n v="3.5083800000000002E-3"/>
    <s v="23.157502234637917"/>
    <s v="5.077588774428385"/>
    <s v="96.85116311145946"/>
    <s v="31.76976717529793"/>
    <n v="784895358"/>
    <x v="1"/>
    <n v="0.99808145000000004"/>
    <x v="1"/>
  </r>
  <r>
    <n v="27"/>
    <n v="0"/>
    <n v="0"/>
    <n v="2"/>
    <n v="1"/>
    <n v="4"/>
    <n v="0"/>
    <n v="36"/>
    <n v="3"/>
    <n v="2"/>
    <n v="2"/>
    <n v="1674"/>
    <n v="752"/>
    <n v="922"/>
    <n v="0.96299999999999997"/>
    <n v="4513"/>
    <n v="57"/>
    <n v="0.96599999999999997"/>
    <n v="0.44900000000000001"/>
    <s v="9.7673e-05"/>
    <n v="0.99990000000000001"/>
    <s v="1.5729556909291431"/>
    <s v="35.35948187102225"/>
    <n v="41.465488467128303"/>
    <s v="23.70872403791657"/>
    <n v="717381183"/>
    <x v="0"/>
    <n v="7.5207743999999995E-4"/>
    <x v="0"/>
  </r>
  <r>
    <n v="59"/>
    <n v="0"/>
    <n v="1"/>
    <n v="2"/>
    <n v="1"/>
    <n v="5"/>
    <n v="0"/>
    <n v="52"/>
    <n v="2"/>
    <n v="3"/>
    <n v="3"/>
    <n v="10133"/>
    <n v="1417"/>
    <n v="8716"/>
    <n v="0.38300000000000001"/>
    <n v="1068"/>
    <n v="20"/>
    <n v="0.81799999999999995"/>
    <n v="0.14000000000000001"/>
    <n v="2.8394999999999999E-4"/>
    <n v="0.99972000000000005"/>
    <n v="14.1733990121036"/>
    <s v="42.44987495071323"/>
    <s v="33.38679212092689"/>
    <s v="3.999755770989834"/>
    <n v="755420433"/>
    <x v="0"/>
    <n v="1.3272067000000001E-3"/>
    <x v="0"/>
  </r>
  <r>
    <n v="59"/>
    <n v="1"/>
    <n v="1"/>
    <n v="1"/>
    <n v="2"/>
    <n v="2"/>
    <n v="0"/>
    <n v="53"/>
    <n v="3"/>
    <n v="2"/>
    <n v="2"/>
    <n v="9055"/>
    <n v="1560"/>
    <n v="7495"/>
    <n v="0.69599999999999995"/>
    <n v="1755"/>
    <n v="45"/>
    <n v="0.8"/>
    <n v="0.17199999999999999"/>
    <n v="1.5459999999999999E-4"/>
    <n v="0.99985000000000002"/>
    <s v="2.2994027907999537"/>
    <s v="30.218556714930862"/>
    <s v="118.00375403698987"/>
    <s v="9.005637526020735"/>
    <n v="769095558"/>
    <x v="0"/>
    <n v="1.0249399E-3"/>
    <x v="0"/>
  </r>
  <r>
    <n v="56"/>
    <n v="0"/>
    <n v="1"/>
    <n v="2"/>
    <n v="2"/>
    <n v="4"/>
    <n v="0"/>
    <n v="50"/>
    <n v="4"/>
    <n v="1"/>
    <n v="4"/>
    <n v="3688"/>
    <n v="606"/>
    <n v="3082"/>
    <n v="0.56999999999999995"/>
    <n v="14596"/>
    <n v="120"/>
    <n v="0.79100000000000004"/>
    <n v="0.16400000000000001"/>
    <n v="1.4834000000000001E-4"/>
    <n v="0.99985000000000002"/>
    <s v="35.65811793074782"/>
    <s v="47.69196307021793"/>
    <s v="81.63697231159605"/>
    <s v="4.054370221640622"/>
    <n v="713899383"/>
    <x v="0"/>
    <n v="6.0852729999999998E-4"/>
    <x v="0"/>
  </r>
  <r>
    <n v="41"/>
    <n v="1"/>
    <n v="2"/>
    <n v="3"/>
    <n v="2"/>
    <n v="3"/>
    <n v="0"/>
    <n v="29"/>
    <n v="6"/>
    <n v="3"/>
    <n v="4"/>
    <n v="28422"/>
    <n v="1258"/>
    <n v="27164"/>
    <n v="0.67200000000000004"/>
    <n v="4841"/>
    <n v="80"/>
    <n v="0.6"/>
    <n v="4.3999999999999997E-2"/>
    <n v="5.0162999999999998E-4"/>
    <n v="0.99950000000000006"/>
    <s v="17.662382948088066"/>
    <s v="8.773846518644259"/>
    <s v="158.6234976571764"/>
    <s v="8.147316627587562"/>
    <n v="709719333"/>
    <x v="0"/>
    <n v="3.6634394000000002E-4"/>
    <x v="0"/>
  </r>
  <r>
    <n v="38"/>
    <n v="1"/>
    <n v="2"/>
    <n v="6"/>
    <n v="2"/>
    <n v="3"/>
    <n v="0"/>
    <n v="28"/>
    <n v="4"/>
    <n v="3"/>
    <n v="2"/>
    <n v="20241"/>
    <n v="1203"/>
    <n v="19038"/>
    <n v="0.66"/>
    <n v="1102"/>
    <n v="31"/>
    <n v="0.63200000000000001"/>
    <n v="5.8999999999999997E-2"/>
    <n v="1.9771E-4"/>
    <n v="0.99980000000000002"/>
    <s v="21.652662414209765"/>
    <s v="26.574954463046485"/>
    <s v="211.45711727596583"/>
    <n v="0.87710577454053396"/>
    <n v="712689333"/>
    <x v="0"/>
    <n v="1.1795807E-3"/>
    <x v="0"/>
  </r>
  <r>
    <n v="39"/>
    <n v="0"/>
    <n v="2"/>
    <n v="2"/>
    <n v="2"/>
    <n v="1"/>
    <n v="0"/>
    <n v="28"/>
    <n v="3"/>
    <n v="1"/>
    <n v="1"/>
    <n v="7093"/>
    <n v="2517"/>
    <n v="4576"/>
    <n v="0.745"/>
    <n v="13937"/>
    <n v="120"/>
    <n v="0.84599999999999997"/>
    <n v="0.35499999999999998"/>
    <s v="3.3214e-05"/>
    <n v="0.99997000000000003"/>
    <n v="22.961623883089398"/>
    <s v="118.75317499851116"/>
    <s v="63.68727641739409"/>
    <s v="12.03342868163819"/>
    <n v="718805733"/>
    <x v="0"/>
    <n v="3.7453471999999999E-4"/>
    <x v="0"/>
  </r>
  <r>
    <n v="32"/>
    <n v="1"/>
    <n v="0"/>
    <n v="0"/>
    <n v="2"/>
    <n v="2"/>
    <n v="0"/>
    <n v="24"/>
    <n v="3"/>
    <n v="2"/>
    <n v="3"/>
    <n v="4097"/>
    <n v="0"/>
    <n v="4097"/>
    <n v="0.83599999999999997"/>
    <n v="8376"/>
    <n v="64"/>
    <n v="0.68400000000000005"/>
    <n v="0"/>
    <n v="0.99378"/>
    <n v="6.2199999999999998E-3"/>
    <s v="26.07180657630289"/>
    <s v="41.97237271130341"/>
    <s v="3.937699795386586"/>
    <s v="4.772511624316529"/>
    <n v="713318733"/>
    <x v="1"/>
    <n v="0.99520869999999995"/>
    <x v="1"/>
  </r>
  <r>
    <n v="42"/>
    <n v="1"/>
    <n v="3"/>
    <n v="6"/>
    <n v="1"/>
    <n v="3"/>
    <n v="0"/>
    <n v="32"/>
    <n v="2"/>
    <n v="1"/>
    <n v="3"/>
    <n v="7537"/>
    <n v="1239"/>
    <n v="6298"/>
    <n v="0.85399999999999998"/>
    <n v="7613"/>
    <n v="90"/>
    <n v="0.57899999999999996"/>
    <n v="0.16400000000000001"/>
    <n v="1.0566E-4"/>
    <n v="0.99988999999999995"/>
    <s v="36.75638181385045"/>
    <s v="58.96775931908712"/>
    <s v="5.043667568948424"/>
    <s v="1.0452907376081588"/>
    <n v="713428833"/>
    <x v="0"/>
    <n v="3.7789578000000003E-4"/>
    <x v="0"/>
  </r>
  <r>
    <n v="37"/>
    <n v="0"/>
    <n v="1"/>
    <n v="0"/>
    <n v="2"/>
    <n v="5"/>
    <n v="0"/>
    <n v="20"/>
    <n v="3"/>
    <n v="2"/>
    <n v="5"/>
    <n v="9466"/>
    <n v="0"/>
    <n v="9466"/>
    <n v="0.81799999999999995"/>
    <n v="2503"/>
    <n v="70"/>
    <n v="0.48899999999999999"/>
    <n v="0"/>
    <n v="5.1561E-4"/>
    <n v="0.99948000000000004"/>
    <s v="17.11275907594689"/>
    <s v="12.017566930600983"/>
    <s v="14.015626127323658"/>
    <s v="12.551533119115858"/>
    <n v="788810658"/>
    <x v="0"/>
    <n v="9.9817029999999993E-4"/>
    <x v="0"/>
  </r>
  <r>
    <n v="45"/>
    <n v="1"/>
    <n v="3"/>
    <n v="4"/>
    <n v="0"/>
    <n v="2"/>
    <n v="0"/>
    <n v="37"/>
    <n v="6"/>
    <n v="3"/>
    <n v="3"/>
    <n v="2751"/>
    <n v="2432"/>
    <n v="319"/>
    <n v="0.90500000000000003"/>
    <n v="4453"/>
    <n v="75"/>
    <n v="0.92300000000000004"/>
    <n v="0.88400000000000001"/>
    <n v="3.6935000000000001E-4"/>
    <n v="0.99963000000000002"/>
    <s v="10.106898034809117"/>
    <s v="91.52254990518948"/>
    <s v="19.618486751951732"/>
    <s v="8.494647569990727"/>
    <n v="711052308"/>
    <x v="0"/>
    <n v="3.221314E-4"/>
    <x v="0"/>
  </r>
  <r>
    <n v="41"/>
    <n v="1"/>
    <n v="2"/>
    <n v="2"/>
    <n v="2"/>
    <n v="2"/>
    <n v="0"/>
    <n v="36"/>
    <n v="3"/>
    <n v="2"/>
    <n v="1"/>
    <n v="2238"/>
    <n v="0"/>
    <n v="2238"/>
    <n v="0.45200000000000001"/>
    <n v="2063"/>
    <n v="42"/>
    <n v="0.5"/>
    <n v="0"/>
    <n v="0.98563999999999996"/>
    <n v="1.436E-2"/>
    <s v="10.795112538692727"/>
    <s v="74.92418912005552"/>
    <s v="12.34272266092787"/>
    <s v="12.668859574549575"/>
    <n v="714089658"/>
    <x v="1"/>
    <n v="0.99876772999999996"/>
    <x v="1"/>
  </r>
  <r>
    <n v="62"/>
    <n v="0"/>
    <n v="0"/>
    <n v="2"/>
    <n v="2"/>
    <n v="5"/>
    <n v="0"/>
    <n v="45"/>
    <n v="2"/>
    <n v="2"/>
    <n v="3"/>
    <n v="10503"/>
    <n v="0"/>
    <n v="10503"/>
    <n v="0.88600000000000001"/>
    <n v="4755"/>
    <n v="88"/>
    <n v="0.72499999999999998"/>
    <n v="0"/>
    <n v="1.6427999999999999E-4"/>
    <n v="0.99983999999999995"/>
    <s v="24.006982208906013"/>
    <s v="29.91627542124968"/>
    <s v="66.26712994511738"/>
    <s v="12.317991131964726"/>
    <n v="788813658"/>
    <x v="0"/>
    <n v="7.4699510000000001E-4"/>
    <x v="0"/>
  </r>
  <r>
    <n v="39"/>
    <n v="0"/>
    <n v="1"/>
    <n v="6"/>
    <n v="2"/>
    <n v="4"/>
    <n v="0"/>
    <n v="28"/>
    <n v="3"/>
    <n v="2"/>
    <n v="1"/>
    <n v="1438.3"/>
    <n v="0"/>
    <n v="1438.3"/>
    <n v="0.79900000000000004"/>
    <n v="4173"/>
    <n v="82"/>
    <n v="0.64"/>
    <n v="0"/>
    <s v="7.0819e-05"/>
    <n v="0.99992999999999999"/>
    <s v="16.77167999896795"/>
    <s v="26.925005074678296"/>
    <s v="24.45540015539821"/>
    <s v="10.404401019138554"/>
    <n v="708621408"/>
    <x v="0"/>
    <n v="7.1276520000000004E-4"/>
    <x v="0"/>
  </r>
  <r>
    <n v="59"/>
    <n v="1"/>
    <n v="0"/>
    <n v="5"/>
    <n v="2"/>
    <n v="2"/>
    <n v="0"/>
    <n v="48"/>
    <n v="5"/>
    <n v="1"/>
    <n v="3"/>
    <n v="4906"/>
    <n v="1302"/>
    <n v="3604"/>
    <n v="0.86199999999999999"/>
    <n v="4833"/>
    <n v="80"/>
    <n v="0.90500000000000003"/>
    <n v="0.26500000000000001"/>
    <s v="8.1736e-05"/>
    <n v="0.99992000000000003"/>
    <s v="15.82547776002097"/>
    <s v="37.53390789167718"/>
    <s v="93.55471913899731"/>
    <s v="7.369316837386735"/>
    <n v="718924983"/>
    <x v="0"/>
    <n v="3.2101269999999999E-4"/>
    <x v="0"/>
  </r>
  <r>
    <n v="39"/>
    <n v="0"/>
    <n v="1"/>
    <n v="2"/>
    <n v="2"/>
    <n v="4"/>
    <n v="3"/>
    <n v="30"/>
    <n v="5"/>
    <n v="2"/>
    <n v="2"/>
    <n v="10190"/>
    <n v="891"/>
    <n v="9299"/>
    <n v="0.67800000000000005"/>
    <n v="3768"/>
    <n v="59"/>
    <n v="0.96699999999999997"/>
    <n v="8.6999999999999994E-2"/>
    <s v="9.6533e-05"/>
    <n v="0.99990000000000001"/>
    <s v="57.349770461202816"/>
    <s v="18.67026814019313"/>
    <s v="29.679773057362773"/>
    <s v="2.0217758878853624"/>
    <n v="717181833"/>
    <x v="0"/>
    <n v="5.2039994999999995E-4"/>
    <x v="0"/>
  </r>
  <r>
    <n v="53"/>
    <n v="1"/>
    <n v="1"/>
    <n v="2"/>
    <n v="2"/>
    <n v="3"/>
    <n v="0"/>
    <n v="43"/>
    <n v="4"/>
    <n v="2"/>
    <n v="3"/>
    <n v="11909"/>
    <n v="1018"/>
    <n v="10891"/>
    <n v="1.006"/>
    <n v="1938"/>
    <n v="53"/>
    <n v="0.65600000000000003"/>
    <n v="8.5000000000000006E-2"/>
    <n v="1.7969000000000001E-4"/>
    <n v="0.99982000000000004"/>
    <s v="10.613744416025837"/>
    <s v="50.75688113928574"/>
    <s v="13.472905863820378"/>
    <n v="3.2524315272149197E-2"/>
    <n v="789413958"/>
    <x v="0"/>
    <n v="7.8326480000000004E-4"/>
    <x v="0"/>
  </r>
  <r>
    <n v="42"/>
    <n v="0"/>
    <n v="4"/>
    <n v="2"/>
    <n v="1"/>
    <n v="5"/>
    <n v="0"/>
    <n v="31"/>
    <n v="3"/>
    <n v="2"/>
    <n v="1"/>
    <n v="6751"/>
    <n v="1192"/>
    <n v="5559"/>
    <n v="0.77600000000000002"/>
    <n v="7921"/>
    <n v="93"/>
    <n v="0.55000000000000004"/>
    <n v="0.17699999999999999"/>
    <s v="7.1987e-05"/>
    <n v="0.99992999999999999"/>
    <s v="5.961789955282844"/>
    <s v="30.44725313030296"/>
    <s v="48.58374239240417"/>
    <s v="2.5046208032272776"/>
    <n v="712760208"/>
    <x v="0"/>
    <n v="3.7789578000000003E-4"/>
    <x v="0"/>
  </r>
  <r>
    <n v="48"/>
    <n v="0"/>
    <n v="2"/>
    <n v="1"/>
    <n v="1"/>
    <n v="1"/>
    <n v="0"/>
    <n v="34"/>
    <n v="3"/>
    <n v="1"/>
    <n v="4"/>
    <n v="5069"/>
    <n v="1843"/>
    <n v="3226"/>
    <n v="0.82599999999999996"/>
    <n v="4055"/>
    <n v="66"/>
    <n v="0.69199999999999995"/>
    <n v="0.36399999999999999"/>
    <n v="2.2869000000000001E-4"/>
    <n v="0.99977000000000005"/>
    <s v="43.44188076838235"/>
    <s v="58.45938072013132"/>
    <s v="14.072146746730688"/>
    <s v="4.482296486198721"/>
    <n v="720175008"/>
    <x v="0"/>
    <n v="3.2101269999999999E-4"/>
    <x v="0"/>
  </r>
  <r>
    <n v="43"/>
    <n v="1"/>
    <n v="4"/>
    <n v="2"/>
    <n v="0"/>
    <n v="3"/>
    <n v="0"/>
    <n v="36"/>
    <n v="5"/>
    <n v="1"/>
    <n v="1"/>
    <n v="19188"/>
    <n v="1622"/>
    <n v="17566"/>
    <n v="0.75"/>
    <n v="4282"/>
    <n v="52"/>
    <n v="0.92600000000000005"/>
    <n v="8.5000000000000006E-2"/>
    <s v="3.4833e-05"/>
    <n v="0.99997000000000003"/>
    <s v="55.61930649065487"/>
    <n v="9.8775787827746697"/>
    <s v="80.33031669520426"/>
    <s v="7.017897274450509"/>
    <n v="717490008"/>
    <x v="0"/>
    <n v="7.5161290000000001E-4"/>
    <x v="0"/>
  </r>
  <r>
    <n v="60"/>
    <n v="1"/>
    <n v="1"/>
    <n v="3"/>
    <n v="1"/>
    <n v="4"/>
    <n v="0"/>
    <n v="55"/>
    <n v="5"/>
    <n v="1"/>
    <n v="4"/>
    <n v="2661"/>
    <n v="1466"/>
    <n v="1195"/>
    <n v="0.63100000000000001"/>
    <n v="1354"/>
    <n v="25"/>
    <n v="0.316"/>
    <n v="0.55100000000000005"/>
    <n v="1.4421E-4"/>
    <n v="0.99985999999999997"/>
    <s v="27.44812855580305"/>
    <s v="52.96951386367377"/>
    <s v="32.915118837259826"/>
    <s v="0.1720870357716599"/>
    <n v="813573333"/>
    <x v="0"/>
    <n v="1.1982243E-3"/>
    <x v="0"/>
  </r>
  <r>
    <n v="45"/>
    <n v="1"/>
    <n v="3"/>
    <n v="4"/>
    <n v="1"/>
    <n v="1"/>
    <n v="0"/>
    <n v="30"/>
    <n v="2"/>
    <n v="2"/>
    <n v="2"/>
    <n v="3821"/>
    <n v="1673"/>
    <n v="2148"/>
    <n v="0.86899999999999999"/>
    <n v="15005"/>
    <n v="89"/>
    <n v="0.71199999999999997"/>
    <n v="0.438"/>
    <n v="1.3897000000000001E-4"/>
    <n v="0.99985999999999997"/>
    <s v="9.893748082278758"/>
    <s v="17.473152176229302"/>
    <s v="86.68166537463216"/>
    <s v="0.4231460280129299"/>
    <n v="713398158"/>
    <x v="0"/>
    <n v="3.4656386999999997E-4"/>
    <x v="0"/>
  </r>
  <r>
    <n v="43"/>
    <n v="1"/>
    <n v="2"/>
    <n v="3"/>
    <n v="2"/>
    <n v="3"/>
    <n v="0"/>
    <n v="36"/>
    <n v="6"/>
    <n v="2"/>
    <n v="0"/>
    <n v="14418"/>
    <n v="0"/>
    <n v="14418"/>
    <n v="1.0429999999999999"/>
    <n v="3880"/>
    <n v="68"/>
    <n v="0.7"/>
    <n v="0"/>
    <s v="4.0816e-05"/>
    <n v="0.99995999999999996"/>
    <s v="22.497610257650823"/>
    <s v="32.75809123140844"/>
    <s v="5.324299884179845"/>
    <s v="4.477091857530782"/>
    <n v="712444533"/>
    <x v="0"/>
    <n v="8.0553500000000002E-4"/>
    <x v="0"/>
  </r>
  <r>
    <n v="39"/>
    <n v="0"/>
    <n v="3"/>
    <n v="5"/>
    <n v="2"/>
    <n v="5"/>
    <n v="0"/>
    <n v="27"/>
    <n v="6"/>
    <n v="2"/>
    <n v="1"/>
    <n v="5363"/>
    <n v="0"/>
    <n v="5363"/>
    <n v="0.67"/>
    <n v="4121"/>
    <n v="78"/>
    <n v="0.625"/>
    <n v="0"/>
    <s v="7.3235e-05"/>
    <n v="0.99992999999999999"/>
    <s v="7.962396738412958"/>
    <s v="3.8297260599509686"/>
    <s v="144.32668426240485"/>
    <s v="5.679793664333343"/>
    <n v="709166883"/>
    <x v="0"/>
    <n v="7.1276520000000004E-4"/>
    <x v="0"/>
  </r>
  <r>
    <n v="61"/>
    <n v="0"/>
    <n v="1"/>
    <n v="6"/>
    <n v="1"/>
    <n v="5"/>
    <n v="0"/>
    <n v="47"/>
    <n v="4"/>
    <n v="2"/>
    <n v="3"/>
    <n v="1438.3"/>
    <n v="0"/>
    <n v="1438.3"/>
    <n v="1.337"/>
    <n v="1449"/>
    <n v="27"/>
    <n v="1.4550000000000001"/>
    <n v="0"/>
    <n v="1.9751E-4"/>
    <n v="0.99980000000000002"/>
    <s v="29.884694577221893"/>
    <s v="8.309808835977371"/>
    <s v="38.96251266484772"/>
    <s v="3.6292867536077953"/>
    <n v="721057758"/>
    <x v="0"/>
    <n v="3.1488503E-3"/>
    <x v="0"/>
  </r>
  <r>
    <n v="53"/>
    <n v="0"/>
    <n v="4"/>
    <n v="1"/>
    <n v="1"/>
    <n v="4"/>
    <n v="0"/>
    <n v="37"/>
    <n v="6"/>
    <n v="2"/>
    <n v="2"/>
    <n v="3719"/>
    <n v="2517"/>
    <n v="1202"/>
    <n v="0.66600000000000004"/>
    <n v="2587"/>
    <n v="43"/>
    <n v="0.53600000000000003"/>
    <n v="0.67700000000000005"/>
    <n v="0.99424999999999997"/>
    <n v="5.7499999999999999E-3"/>
    <s v="22.81402724518109"/>
    <s v="19.043745209988423"/>
    <n v="85.787784742718898"/>
    <s v="0.3490288809341694"/>
    <n v="718311933"/>
    <x v="1"/>
    <n v="0.99573529999999999"/>
    <x v="1"/>
  </r>
  <r>
    <n v="46"/>
    <n v="0"/>
    <n v="2"/>
    <n v="2"/>
    <n v="2"/>
    <n v="5"/>
    <n v="0"/>
    <n v="36"/>
    <n v="3"/>
    <n v="3"/>
    <n v="3"/>
    <n v="2418"/>
    <n v="1106"/>
    <n v="1312"/>
    <n v="0.96299999999999997"/>
    <n v="3541"/>
    <n v="64"/>
    <n v="0.88200000000000001"/>
    <n v="0.45700000000000002"/>
    <n v="3.0250999999999998E-4"/>
    <n v="0.99970000000000003"/>
    <s v="22.486049412918724"/>
    <s v="2.822908217434801"/>
    <s v="30.15590296801119"/>
    <s v="19.10190746639076"/>
    <n v="717659883"/>
    <x v="0"/>
    <n v="3.3055364999999998E-4"/>
    <x v="0"/>
  </r>
  <r>
    <n v="41"/>
    <n v="1"/>
    <n v="4"/>
    <n v="5"/>
    <n v="2"/>
    <n v="1"/>
    <n v="0"/>
    <n v="36"/>
    <n v="4"/>
    <n v="3"/>
    <n v="4"/>
    <n v="3636"/>
    <n v="1884"/>
    <n v="1752"/>
    <n v="0.92400000000000004"/>
    <n v="4254"/>
    <n v="79"/>
    <n v="0.49099999999999999"/>
    <n v="0.51800000000000002"/>
    <n v="5.5639999999999997E-4"/>
    <n v="0.99944"/>
    <s v="27.80621757095433"/>
    <s v="60.55197646145487"/>
    <s v="4.439426765148545"/>
    <s v="6.2225018575288535"/>
    <n v="715153158"/>
    <x v="0"/>
    <n v="3.5872155999999998E-4"/>
    <x v="0"/>
  </r>
  <r>
    <n v="52"/>
    <n v="1"/>
    <n v="2"/>
    <n v="3"/>
    <n v="2"/>
    <n v="1"/>
    <n v="0"/>
    <n v="36"/>
    <n v="3"/>
    <n v="1"/>
    <n v="3"/>
    <n v="1470"/>
    <n v="0"/>
    <n v="1470"/>
    <n v="0.64"/>
    <n v="4095"/>
    <n v="63"/>
    <n v="0.75"/>
    <n v="0"/>
    <s v="9.0056e-05"/>
    <n v="0.99990999999999997"/>
    <s v="18.28005197239368"/>
    <s v="55.369308686019934"/>
    <s v="13.729185195926044"/>
    <s v="27.701928269941757"/>
    <n v="716156508"/>
    <x v="0"/>
    <n v="8.1245880000000001E-4"/>
    <x v="0"/>
  </r>
  <r>
    <n v="59"/>
    <n v="0"/>
    <n v="0"/>
    <n v="2"/>
    <n v="1"/>
    <n v="4"/>
    <n v="0"/>
    <n v="48"/>
    <n v="3"/>
    <n v="3"/>
    <n v="4"/>
    <n v="1661"/>
    <n v="0"/>
    <n v="1661"/>
    <n v="0.67200000000000004"/>
    <n v="4338"/>
    <n v="77"/>
    <n v="0.92500000000000004"/>
    <n v="0"/>
    <n v="4.4282000000000002E-4"/>
    <n v="0.99956"/>
    <s v="2.9129006698380104"/>
    <s v="31.50809314323832"/>
    <n v="71.454890611185704"/>
    <s v="13.36176247541765"/>
    <n v="710779083"/>
    <x v="0"/>
    <n v="6.9517245999999998E-4"/>
    <x v="0"/>
  </r>
  <r>
    <n v="38"/>
    <n v="0"/>
    <n v="1"/>
    <n v="4"/>
    <n v="2"/>
    <n v="4"/>
    <n v="0"/>
    <n v="33"/>
    <n v="4"/>
    <n v="2"/>
    <n v="1"/>
    <n v="2256"/>
    <n v="0"/>
    <n v="2256"/>
    <n v="0.71299999999999997"/>
    <n v="4587"/>
    <n v="92"/>
    <n v="0.878"/>
    <n v="0"/>
    <s v="7.5811e-05"/>
    <n v="0.99992000000000003"/>
    <s v="42.65705171731353"/>
    <s v="28.187328959650632"/>
    <s v="47.97383762423264"/>
    <s v="11.531041946081194"/>
    <n v="810789708"/>
    <x v="0"/>
    <n v="6.9517245999999998E-4"/>
    <x v="0"/>
  </r>
  <r>
    <n v="58"/>
    <n v="1"/>
    <n v="3"/>
    <n v="2"/>
    <n v="1"/>
    <n v="0"/>
    <n v="0"/>
    <n v="47"/>
    <n v="3"/>
    <n v="1"/>
    <n v="2"/>
    <n v="27088"/>
    <n v="0"/>
    <n v="27088"/>
    <n v="0.58099999999999996"/>
    <n v="1135"/>
    <n v="24"/>
    <n v="0.84599999999999997"/>
    <n v="0"/>
    <s v="5.7151e-05"/>
    <n v="0.99994000000000005"/>
    <s v="25.641653856226693"/>
    <s v="19.82618549190382"/>
    <s v="114.40652588621086"/>
    <s v="6.824486095429398"/>
    <n v="789198708"/>
    <x v="0"/>
    <n v="3.6584084999999999E-3"/>
    <x v="0"/>
  </r>
  <r>
    <n v="31"/>
    <n v="1"/>
    <n v="2"/>
    <n v="5"/>
    <n v="1"/>
    <n v="4"/>
    <n v="0"/>
    <n v="18"/>
    <n v="3"/>
    <n v="2"/>
    <n v="4"/>
    <n v="1438.3"/>
    <n v="0"/>
    <n v="1438.3"/>
    <n v="1.5609999999999999"/>
    <n v="2789"/>
    <n v="50"/>
    <n v="1.083"/>
    <n v="0"/>
    <n v="3.3576999999999999E-4"/>
    <n v="0.99965999999999999"/>
    <s v="34.998683982870105"/>
    <s v="46.64294578289256"/>
    <s v="42.58831910460651"/>
    <s v="5.831007138862569"/>
    <n v="709633533"/>
    <x v="0"/>
    <n v="2.5101329999999999E-3"/>
    <x v="0"/>
  </r>
  <r>
    <n v="50"/>
    <n v="0"/>
    <n v="4"/>
    <n v="2"/>
    <n v="2"/>
    <n v="4"/>
    <n v="0"/>
    <n v="37"/>
    <n v="1"/>
    <n v="2"/>
    <n v="3"/>
    <n v="3699"/>
    <n v="913"/>
    <n v="2786"/>
    <n v="0.86599999999999999"/>
    <n v="7297"/>
    <n v="71"/>
    <n v="0.69"/>
    <n v="0.247"/>
    <n v="0.99504000000000004"/>
    <n v="4.9552399999999996E-3"/>
    <s v="17.85262682412437"/>
    <s v="30.03503366800858"/>
    <s v="73.94668465167007"/>
    <s v="12.56073597367235"/>
    <n v="710878308"/>
    <x v="1"/>
    <n v="0.9910561"/>
    <x v="1"/>
  </r>
  <r>
    <n v="50"/>
    <n v="0"/>
    <n v="1"/>
    <n v="1"/>
    <n v="1"/>
    <n v="5"/>
    <n v="0"/>
    <n v="40"/>
    <n v="3"/>
    <n v="3"/>
    <n v="1"/>
    <n v="2492"/>
    <n v="1410"/>
    <n v="1082"/>
    <n v="0.83499999999999996"/>
    <n v="4374"/>
    <n v="75"/>
    <n v="0.97399999999999998"/>
    <n v="0.56599999999999995"/>
    <n v="1.4734000000000001E-4"/>
    <n v="0.99985000000000002"/>
    <s v="10.78458935428329"/>
    <s v="28.115303132174496"/>
    <s v="13.967245821398508"/>
    <s v="6.604189109734327"/>
    <n v="715466133"/>
    <x v="0"/>
    <n v="3.2101269999999999E-4"/>
    <x v="0"/>
  </r>
  <r>
    <n v="34"/>
    <n v="1"/>
    <n v="2"/>
    <n v="5"/>
    <n v="2"/>
    <n v="3"/>
    <n v="0"/>
    <n v="36"/>
    <n v="3"/>
    <n v="2"/>
    <n v="0"/>
    <n v="12182"/>
    <n v="1136"/>
    <n v="11046"/>
    <n v="0.753"/>
    <n v="2295"/>
    <n v="63"/>
    <n v="0.5"/>
    <n v="9.2999999999999999E-2"/>
    <s v="4.317e-05"/>
    <n v="0.99995999999999996"/>
    <s v="11.008353155800403"/>
    <s v="28.939453330568146"/>
    <s v="37.37248593062976"/>
    <s v="1.0194513268233494"/>
    <n v="711644508"/>
    <x v="0"/>
    <n v="4.6810557000000002E-4"/>
    <x v="0"/>
  </r>
  <r>
    <n v="50"/>
    <n v="0"/>
    <n v="3"/>
    <n v="2"/>
    <n v="0"/>
    <n v="5"/>
    <n v="3"/>
    <n v="45"/>
    <n v="2"/>
    <n v="1"/>
    <n v="2"/>
    <n v="34516"/>
    <n v="2381"/>
    <n v="32135"/>
    <n v="0.748"/>
    <n v="15071"/>
    <n v="103"/>
    <n v="0.71699999999999997"/>
    <n v="6.9000000000000006E-2"/>
    <s v="5.164e-05"/>
    <n v="0.99995000000000001"/>
    <s v="0.1623038949654303"/>
    <n v="4.4495190344661E-3"/>
    <s v="16.11357409096995"/>
    <s v="12.212697918060242"/>
    <n v="811793433"/>
    <x v="0"/>
    <n v="3.8573547000000003E-4"/>
    <x v="0"/>
  </r>
  <r>
    <n v="52"/>
    <n v="0"/>
    <n v="3"/>
    <n v="4"/>
    <n v="2"/>
    <n v="4"/>
    <n v="0"/>
    <n v="45"/>
    <n v="5"/>
    <n v="1"/>
    <n v="3"/>
    <n v="2555"/>
    <n v="1701"/>
    <n v="854"/>
    <n v="1.492"/>
    <n v="3127"/>
    <n v="45"/>
    <n v="1.25"/>
    <n v="0.66600000000000004"/>
    <n v="1.1311000000000001E-4"/>
    <n v="0.99988999999999995"/>
    <s v="41.67289463144961"/>
    <s v="46.24522698497187"/>
    <s v="15.343485713198634"/>
    <s v="4.291248844066852"/>
    <n v="713974533"/>
    <x v="0"/>
    <n v="9.278534E-4"/>
    <x v="0"/>
  </r>
  <r>
    <n v="34"/>
    <n v="0"/>
    <n v="2"/>
    <n v="6"/>
    <n v="2"/>
    <n v="4"/>
    <n v="0"/>
    <n v="29"/>
    <n v="3"/>
    <n v="1"/>
    <n v="0"/>
    <n v="5387"/>
    <n v="795"/>
    <n v="4592"/>
    <n v="0.83699999999999997"/>
    <n v="2596"/>
    <n v="59"/>
    <n v="1.034"/>
    <n v="0.14799999999999999"/>
    <s v="2.2331e-05"/>
    <n v="0.99997999999999998"/>
    <s v="32.14482976063575"/>
    <s v="73.25439457929672"/>
    <s v="75.13471728990167"/>
    <s v="12.148472770594946"/>
    <n v="814489683"/>
    <x v="0"/>
    <n v="7.7505304999999996E-4"/>
    <x v="0"/>
  </r>
  <r>
    <n v="47"/>
    <n v="1"/>
    <n v="3"/>
    <n v="2"/>
    <n v="1"/>
    <n v="3"/>
    <n v="0"/>
    <n v="42"/>
    <n v="6"/>
    <n v="3"/>
    <n v="3"/>
    <n v="13189"/>
    <n v="1205"/>
    <n v="11984"/>
    <n v="0.70799999999999996"/>
    <n v="3821"/>
    <n v="83"/>
    <n v="0.66"/>
    <n v="9.0999999999999998E-2"/>
    <n v="3.1389999999999999E-4"/>
    <n v="0.99968999999999997"/>
    <s v="16.416467434362303"/>
    <s v="29.77438136498869"/>
    <n v="8.1724964548600294"/>
    <s v="6.954733579072376"/>
    <n v="808756458"/>
    <x v="0"/>
    <n v="3.3022385E-4"/>
    <x v="0"/>
  </r>
  <r>
    <n v="46"/>
    <n v="0"/>
    <n v="2"/>
    <n v="5"/>
    <n v="0"/>
    <n v="5"/>
    <n v="0"/>
    <n v="40"/>
    <n v="5"/>
    <n v="2"/>
    <n v="3"/>
    <n v="20080"/>
    <n v="0"/>
    <n v="20080"/>
    <n v="0.56000000000000005"/>
    <n v="4620"/>
    <n v="70"/>
    <n v="0.66700000000000004"/>
    <n v="0"/>
    <n v="1.9683E-4"/>
    <n v="0.99980000000000002"/>
    <s v="26.60590052953666"/>
    <s v="16.614027014371157"/>
    <s v="71.60620837720626"/>
    <s v="5.453008697485999"/>
    <n v="792345258"/>
    <x v="0"/>
    <n v="7.4965424999999997E-4"/>
    <x v="0"/>
  </r>
  <r>
    <n v="49"/>
    <n v="0"/>
    <n v="5"/>
    <n v="3"/>
    <n v="0"/>
    <n v="4"/>
    <n v="0"/>
    <n v="42"/>
    <n v="5"/>
    <n v="2"/>
    <n v="3"/>
    <n v="1972"/>
    <n v="1489"/>
    <n v="483"/>
    <n v="0.69"/>
    <n v="4715"/>
    <n v="66"/>
    <n v="0.65"/>
    <n v="0.755"/>
    <n v="1.9212999999999999E-4"/>
    <n v="0.99980999999999998"/>
    <s v="29.76051539563632"/>
    <s v="48.40252549907079"/>
    <s v="28.659727606363667"/>
    <s v="12.43113557717657"/>
    <n v="713435058"/>
    <x v="0"/>
    <n v="3.2101269999999999E-4"/>
    <x v="0"/>
  </r>
  <r>
    <n v="41"/>
    <n v="1"/>
    <n v="3"/>
    <n v="2"/>
    <n v="0"/>
    <n v="4"/>
    <n v="0"/>
    <n v="23"/>
    <n v="5"/>
    <n v="2"/>
    <n v="4"/>
    <n v="1438.3"/>
    <n v="0"/>
    <n v="1438.3"/>
    <n v="0.73499999999999999"/>
    <n v="4416"/>
    <n v="68"/>
    <n v="0.74399999999999999"/>
    <n v="0"/>
    <n v="3.3886000000000002E-4"/>
    <n v="0.99965999999999999"/>
    <s v="29.47144608285648"/>
    <s v="65.69878458840255"/>
    <s v="70.45286519859044"/>
    <s v="0.2008817624745836"/>
    <n v="711017433"/>
    <x v="0"/>
    <n v="7.4965424999999997E-4"/>
    <x v="0"/>
  </r>
  <r>
    <n v="52"/>
    <n v="1"/>
    <n v="2"/>
    <n v="6"/>
    <n v="2"/>
    <n v="3"/>
    <n v="0"/>
    <n v="47"/>
    <n v="6"/>
    <n v="1"/>
    <n v="3"/>
    <n v="15904"/>
    <n v="1024"/>
    <n v="14880"/>
    <n v="0.36899999999999999"/>
    <n v="1433"/>
    <n v="33"/>
    <n v="0.5"/>
    <n v="6.4000000000000001E-2"/>
    <n v="1.0183000000000001E-4"/>
    <n v="0.99990000000000001"/>
    <s v="31.223428770493783"/>
    <s v="57.609761290616056"/>
    <s v="19.998817049540406"/>
    <s v="4.3929944481738445"/>
    <n v="803957508"/>
    <x v="0"/>
    <n v="1.3335287000000001E-3"/>
    <x v="0"/>
  </r>
  <r>
    <n v="42"/>
    <n v="0"/>
    <n v="5"/>
    <n v="3"/>
    <n v="1"/>
    <n v="4"/>
    <n v="0"/>
    <n v="35"/>
    <n v="5"/>
    <n v="4"/>
    <n v="3"/>
    <n v="1514"/>
    <n v="745"/>
    <n v="769"/>
    <n v="0.69399999999999995"/>
    <n v="4004"/>
    <n v="69"/>
    <n v="0.68300000000000005"/>
    <n v="0.49199999999999999"/>
    <n v="3.6691000000000002E-4"/>
    <n v="0.99963000000000002"/>
    <s v="60.14026475403258"/>
    <s v="35.74685822545201"/>
    <s v="16.093547555211455"/>
    <n v="9.4319130570248504"/>
    <n v="715842183"/>
    <x v="0"/>
    <n v="5.4489190000000002E-4"/>
    <x v="0"/>
  </r>
  <r>
    <n v="39"/>
    <n v="1"/>
    <n v="2"/>
    <n v="5"/>
    <n v="1"/>
    <n v="0"/>
    <n v="3"/>
    <n v="19"/>
    <n v="2"/>
    <n v="1"/>
    <n v="2"/>
    <n v="34516"/>
    <n v="796"/>
    <n v="33720"/>
    <n v="0.84099999999999997"/>
    <n v="7721"/>
    <n v="75"/>
    <n v="0.66700000000000004"/>
    <n v="2.3E-2"/>
    <n v="0.98082999999999998"/>
    <n v="1.917E-2"/>
    <s v="2.9856048349274444"/>
    <s v="83.51821788891769"/>
    <s v="25.16966839008457"/>
    <s v="2.5646402841109155"/>
    <n v="713242383"/>
    <x v="1"/>
    <n v="0.9937184"/>
    <x v="1"/>
  </r>
  <r>
    <n v="57"/>
    <n v="1"/>
    <n v="1"/>
    <n v="0"/>
    <n v="2"/>
    <n v="1"/>
    <n v="0"/>
    <n v="48"/>
    <n v="3"/>
    <n v="1"/>
    <n v="2"/>
    <n v="3539"/>
    <n v="0"/>
    <n v="3539"/>
    <n v="0.78100000000000003"/>
    <n v="1336"/>
    <n v="23"/>
    <n v="0.21099999999999999"/>
    <n v="0"/>
    <s v="5.0261e-05"/>
    <n v="0.99995000000000001"/>
    <s v="28.948637030427875"/>
    <n v="9.3641659241146896E-2"/>
    <s v="33.448325551375895"/>
    <s v="23.164792669552515"/>
    <n v="718768158"/>
    <x v="0"/>
    <n v="4.5874009999999996E-3"/>
    <x v="0"/>
  </r>
  <r>
    <n v="45"/>
    <n v="1"/>
    <n v="5"/>
    <n v="5"/>
    <n v="1"/>
    <n v="3"/>
    <n v="0"/>
    <n v="34"/>
    <n v="2"/>
    <n v="3"/>
    <n v="3"/>
    <n v="3435"/>
    <n v="2517"/>
    <n v="918"/>
    <n v="0.33200000000000002"/>
    <n v="5567"/>
    <n v="51"/>
    <n v="0.54500000000000004"/>
    <n v="0.73299999999999998"/>
    <n v="0.99690000000000001"/>
    <n v="3.10348E-3"/>
    <s v="20.964762491352587"/>
    <s v="28.854402755180576"/>
    <s v="60.87511284060716"/>
    <s v="5.992915429329656"/>
    <n v="716881683"/>
    <x v="1"/>
    <n v="0.99462660000000003"/>
    <x v="1"/>
  </r>
  <r>
    <n v="39"/>
    <n v="0"/>
    <n v="1"/>
    <n v="2"/>
    <n v="1"/>
    <n v="4"/>
    <n v="0"/>
    <n v="34"/>
    <n v="6"/>
    <n v="3"/>
    <n v="5"/>
    <n v="6458"/>
    <n v="1802"/>
    <n v="4656"/>
    <n v="0.92300000000000004"/>
    <n v="2315"/>
    <n v="49"/>
    <n v="0.58099999999999996"/>
    <n v="0.27900000000000003"/>
    <n v="8.3788000000000005E-4"/>
    <n v="0.99916000000000005"/>
    <s v="32.44769383365891"/>
    <s v="26.92703019450605"/>
    <s v="34.07186062923823"/>
    <s v="34.00125838728312"/>
    <n v="816325533"/>
    <x v="0"/>
    <n v="8.0448710000000007E-2"/>
    <x v="0"/>
  </r>
  <r>
    <n v="38"/>
    <n v="0"/>
    <n v="4"/>
    <n v="2"/>
    <n v="1"/>
    <n v="1"/>
    <n v="0"/>
    <n v="22"/>
    <n v="4"/>
    <n v="3"/>
    <n v="4"/>
    <n v="2997"/>
    <n v="1969"/>
    <n v="1028"/>
    <n v="1.2350000000000001"/>
    <n v="2807"/>
    <n v="60"/>
    <n v="0.71399999999999997"/>
    <n v="0.65700000000000003"/>
    <n v="5.4115000000000001E-4"/>
    <n v="0.99946000000000002"/>
    <s v="24.290122080429622"/>
    <s v="45.49317105397827"/>
    <s v="49.85981501759067"/>
    <s v="11.87756471032502"/>
    <n v="779925033"/>
    <x v="0"/>
    <n v="3.9664985000000002E-4"/>
    <x v="0"/>
  </r>
  <r>
    <n v="46"/>
    <n v="0"/>
    <n v="3"/>
    <n v="0"/>
    <n v="2"/>
    <n v="4"/>
    <n v="0"/>
    <n v="41"/>
    <n v="1"/>
    <n v="3"/>
    <n v="2"/>
    <n v="2485"/>
    <n v="861"/>
    <n v="1624"/>
    <n v="0.56599999999999995"/>
    <n v="4728"/>
    <n v="81"/>
    <n v="0.76100000000000001"/>
    <n v="0.34599999999999997"/>
    <n v="1.8145999999999999E-4"/>
    <n v="0.99982000000000004"/>
    <s v="13.66026807430644"/>
    <s v="12.060072969028829"/>
    <s v="60.84476389927509"/>
    <s v="2.046621816147716"/>
    <n v="815789883"/>
    <x v="0"/>
    <n v="4.8967317000000001E-4"/>
    <x v="0"/>
  </r>
  <r>
    <n v="34"/>
    <n v="0"/>
    <n v="2"/>
    <n v="2"/>
    <n v="2"/>
    <n v="4"/>
    <n v="0"/>
    <n v="27"/>
    <n v="4"/>
    <n v="1"/>
    <n v="1"/>
    <n v="1901"/>
    <n v="1176"/>
    <n v="725"/>
    <n v="0.61199999999999999"/>
    <n v="2450"/>
    <n v="52"/>
    <n v="0.85699999999999998"/>
    <n v="0.61899999999999999"/>
    <s v="3.3214e-05"/>
    <n v="0.99997000000000003"/>
    <s v="3.4316577172770417"/>
    <n v="82.0162131632447"/>
    <n v="85.765617862846597"/>
    <s v="27.609438553361844"/>
    <n v="755943033"/>
    <x v="0"/>
    <n v="8.9785940000000001E-4"/>
    <x v="0"/>
  </r>
  <r>
    <n v="46"/>
    <n v="0"/>
    <n v="4"/>
    <n v="2"/>
    <n v="2"/>
    <n v="1"/>
    <n v="0"/>
    <n v="36"/>
    <n v="5"/>
    <n v="3"/>
    <n v="4"/>
    <n v="5913"/>
    <n v="1651"/>
    <n v="4262"/>
    <n v="0.79"/>
    <n v="2404"/>
    <n v="39"/>
    <n v="0.56000000000000005"/>
    <n v="0.27900000000000003"/>
    <n v="0.99816000000000005"/>
    <n v="1.84351E-3"/>
    <s v="47.562089585343045"/>
    <s v="2.6101694654348946"/>
    <s v="17.30493681218472"/>
    <s v="1.8617118093347589"/>
    <n v="789880533"/>
    <x v="1"/>
    <n v="0.99381679999999994"/>
    <x v="1"/>
  </r>
  <r>
    <n v="49"/>
    <n v="0"/>
    <n v="2"/>
    <n v="6"/>
    <n v="1"/>
    <n v="4"/>
    <n v="0"/>
    <n v="41"/>
    <n v="5"/>
    <n v="2"/>
    <n v="2"/>
    <n v="3243"/>
    <n v="0"/>
    <n v="3243"/>
    <n v="0.68500000000000005"/>
    <n v="6059"/>
    <n v="71"/>
    <n v="0.82099999999999995"/>
    <n v="0"/>
    <n v="0.99207000000000001"/>
    <n v="7.9299999999999995E-3"/>
    <s v="0.3922695089443023"/>
    <s v="0.9010617487189994"/>
    <s v="42.51681228194382"/>
    <s v="15.991929455972954"/>
    <n v="708229308"/>
    <x v="1"/>
    <n v="0.99509144000000005"/>
    <x v="1"/>
  </r>
  <r>
    <n v="46"/>
    <n v="0"/>
    <n v="2"/>
    <n v="3"/>
    <n v="1"/>
    <n v="5"/>
    <n v="0"/>
    <n v="39"/>
    <n v="3"/>
    <n v="1"/>
    <n v="2"/>
    <n v="12295"/>
    <n v="1292"/>
    <n v="11003"/>
    <n v="0.53700000000000003"/>
    <n v="4177"/>
    <n v="63"/>
    <n v="0.75"/>
    <n v="0.105"/>
    <s v="5.3542e-05"/>
    <n v="0.99995000000000001"/>
    <s v="22.893923709286938"/>
    <s v="2.985070997382076"/>
    <s v="213.49823222895785"/>
    <s v="25.74179959815042"/>
    <n v="762775908"/>
    <x v="0"/>
    <n v="3.479205E-4"/>
    <x v="0"/>
  </r>
  <r>
    <n v="55"/>
    <n v="1"/>
    <n v="3"/>
    <n v="1"/>
    <n v="2"/>
    <n v="3"/>
    <n v="0"/>
    <n v="35"/>
    <n v="4"/>
    <n v="1"/>
    <n v="3"/>
    <n v="20865"/>
    <n v="0"/>
    <n v="20865"/>
    <n v="0.88100000000000001"/>
    <n v="837"/>
    <n v="25"/>
    <n v="0.66700000000000004"/>
    <n v="0"/>
    <n v="0.99285999999999996"/>
    <n v="7.1399999999999996E-3"/>
    <n v="10.5146030992905"/>
    <s v="68.60251873403232"/>
    <s v="34.964818300970755"/>
    <s v="10.456005479434827"/>
    <n v="719309958"/>
    <x v="1"/>
    <n v="0.99842845999999996"/>
    <x v="1"/>
  </r>
  <r>
    <n v="40"/>
    <n v="1"/>
    <n v="4"/>
    <n v="3"/>
    <n v="3"/>
    <n v="1"/>
    <n v="0"/>
    <n v="32"/>
    <n v="1"/>
    <n v="2"/>
    <n v="3"/>
    <n v="7316"/>
    <n v="1335"/>
    <n v="5981"/>
    <n v="0.56299999999999994"/>
    <n v="1849"/>
    <n v="50"/>
    <n v="0.47099999999999997"/>
    <n v="0.182"/>
    <n v="0.99490000000000001"/>
    <n v="5.1000000000000004E-3"/>
    <s v="0.7457598146174067"/>
    <s v="4.190673810039263"/>
    <s v="17.54821386789635"/>
    <s v="3.5616146696484523"/>
    <n v="709430508"/>
    <x v="1"/>
    <n v="0.99475104000000003"/>
    <x v="1"/>
  </r>
  <r>
    <n v="46"/>
    <n v="0"/>
    <n v="2"/>
    <n v="0"/>
    <n v="1"/>
    <n v="5"/>
    <n v="0"/>
    <n v="27"/>
    <n v="6"/>
    <n v="3"/>
    <n v="3"/>
    <n v="9881"/>
    <n v="1794"/>
    <n v="8087"/>
    <n v="0.58199999999999996"/>
    <n v="4725"/>
    <n v="85"/>
    <n v="0.73499999999999999"/>
    <n v="0.182"/>
    <n v="2.9410999999999999E-4"/>
    <n v="0.99970999999999999"/>
    <s v="20.081848993794797"/>
    <s v="40.379079015553714"/>
    <s v="20.91922941789848"/>
    <s v="7.750669916699836"/>
    <n v="788786208"/>
    <x v="0"/>
    <n v="3.2101269999999999E-4"/>
    <x v="0"/>
  </r>
  <r>
    <n v="38"/>
    <n v="1"/>
    <n v="3"/>
    <n v="3"/>
    <n v="1"/>
    <n v="2"/>
    <n v="0"/>
    <n v="26"/>
    <n v="5"/>
    <n v="4"/>
    <n v="2"/>
    <n v="5824"/>
    <n v="1542"/>
    <n v="4282"/>
    <n v="0.82699999999999996"/>
    <n v="1801"/>
    <n v="44"/>
    <n v="0.57099999999999995"/>
    <n v="0.26500000000000001"/>
    <n v="2.1928E-4"/>
    <n v="0.99978"/>
    <s v="14.660183262209822"/>
    <s v="7.349663751907876"/>
    <s v="204.2421572889447"/>
    <s v="6.658519071556561"/>
    <n v="709185108"/>
    <x v="0"/>
    <n v="1.0598798E-3"/>
    <x v="0"/>
  </r>
  <r>
    <n v="52"/>
    <n v="0"/>
    <n v="4"/>
    <n v="4"/>
    <n v="1"/>
    <n v="4"/>
    <n v="0"/>
    <n v="37"/>
    <n v="6"/>
    <n v="3"/>
    <n v="4"/>
    <n v="1438.3"/>
    <n v="783"/>
    <n v="655.29999999999995"/>
    <n v="0.73299999999999998"/>
    <n v="3464"/>
    <n v="70"/>
    <n v="0.79500000000000004"/>
    <n v="0.54400000000000004"/>
    <n v="6.3670999999999997E-4"/>
    <n v="0.99936000000000003"/>
    <s v="1.0330527140113708"/>
    <s v="27.153451695838545"/>
    <s v="14.26624816528024"/>
    <s v="5.761263863968244"/>
    <n v="712442508"/>
    <x v="0"/>
    <n v="5.5785959999999995E-4"/>
    <x v="0"/>
  </r>
  <r>
    <n v="39"/>
    <n v="1"/>
    <n v="2"/>
    <n v="0"/>
    <n v="1"/>
    <n v="2"/>
    <n v="0"/>
    <n v="31"/>
    <n v="6"/>
    <n v="3"/>
    <n v="2"/>
    <n v="9871"/>
    <n v="1061"/>
    <n v="8810"/>
    <n v="0.54500000000000004"/>
    <n v="1683"/>
    <n v="34"/>
    <n v="0.47799999999999998"/>
    <n v="0.107"/>
    <n v="1.7488000000000001E-4"/>
    <n v="0.99983"/>
    <s v="41.139915437581415"/>
    <s v="23.34069868939288"/>
    <s v="42.49951116997165"/>
    <s v="10.266944556546475"/>
    <n v="710109633"/>
    <x v="0"/>
    <n v="1.1982243E-3"/>
    <x v="0"/>
  </r>
  <r>
    <n v="47"/>
    <n v="0"/>
    <n v="4"/>
    <n v="0"/>
    <n v="2"/>
    <n v="4"/>
    <n v="0"/>
    <n v="37"/>
    <n v="6"/>
    <n v="2"/>
    <n v="2"/>
    <n v="4256"/>
    <n v="1084"/>
    <n v="3172"/>
    <n v="0.63"/>
    <n v="1100"/>
    <n v="29"/>
    <n v="0.38100000000000001"/>
    <n v="0.255"/>
    <n v="1.1605E-4"/>
    <n v="0.99987999999999999"/>
    <s v="5.247158827149025"/>
    <s v="37.456696139188544"/>
    <s v="12.470307218347406"/>
    <s v="7.369996978670405"/>
    <n v="712899333"/>
    <x v="0"/>
    <n v="1.1982243E-3"/>
    <x v="0"/>
  </r>
  <r>
    <n v="57"/>
    <n v="0"/>
    <n v="1"/>
    <n v="3"/>
    <n v="3"/>
    <n v="1"/>
    <n v="0"/>
    <n v="42"/>
    <n v="3"/>
    <n v="1"/>
    <n v="1"/>
    <n v="2542"/>
    <n v="1884"/>
    <n v="658"/>
    <n v="0.71499999999999997"/>
    <n v="4518"/>
    <n v="88"/>
    <n v="1.095"/>
    <n v="0.74099999999999999"/>
    <s v="3.0307e-05"/>
    <n v="0.99997000000000003"/>
    <s v="0.9784631018805698"/>
    <s v="49.913334486427104"/>
    <s v="30.734022807215062"/>
    <s v="3.3678161778835016"/>
    <n v="720328008"/>
    <x v="0"/>
    <n v="3.2101269999999999E-4"/>
    <x v="0"/>
  </r>
  <r>
    <n v="39"/>
    <n v="1"/>
    <n v="2"/>
    <n v="2"/>
    <n v="1"/>
    <n v="3"/>
    <n v="0"/>
    <n v="22"/>
    <n v="5"/>
    <n v="4"/>
    <n v="2"/>
    <n v="5140"/>
    <n v="2517"/>
    <n v="2623"/>
    <n v="0.876"/>
    <n v="1842"/>
    <n v="36"/>
    <n v="0.71399999999999997"/>
    <n v="0.49"/>
    <n v="2.1738000000000001E-4"/>
    <n v="0.99978"/>
    <s v="27.161785808381328"/>
    <s v="62.79451740048507"/>
    <s v="13.440826069966723"/>
    <s v="12.51002902667238"/>
    <n v="708668283"/>
    <x v="0"/>
    <n v="1.0739613999999999E-3"/>
    <x v="0"/>
  </r>
  <r>
    <n v="41"/>
    <n v="0"/>
    <n v="1"/>
    <n v="2"/>
    <n v="2"/>
    <n v="1"/>
    <n v="0"/>
    <n v="28"/>
    <n v="1"/>
    <n v="3"/>
    <n v="1"/>
    <n v="8482"/>
    <n v="585"/>
    <n v="7897"/>
    <n v="0.624"/>
    <n v="4245"/>
    <n v="74"/>
    <n v="0.89700000000000002"/>
    <n v="6.9000000000000006E-2"/>
    <n v="1.0182E-4"/>
    <n v="0.99990000000000001"/>
    <s v="7.946041927781065"/>
    <n v="13.055360960147601"/>
    <s v="177.0083039552796"/>
    <s v="6.958516173229927"/>
    <n v="716009883"/>
    <x v="0"/>
    <n v="6.6494016000000005E-4"/>
    <x v="0"/>
  </r>
  <r>
    <n v="56"/>
    <n v="1"/>
    <n v="1"/>
    <n v="5"/>
    <n v="2"/>
    <n v="2"/>
    <n v="0"/>
    <n v="36"/>
    <n v="6"/>
    <n v="4"/>
    <n v="3"/>
    <n v="15219"/>
    <n v="2281"/>
    <n v="12938"/>
    <n v="0.83199999999999996"/>
    <n v="7625"/>
    <n v="78"/>
    <n v="0.95"/>
    <n v="0.15"/>
    <n v="0.99717"/>
    <n v="2.82527E-3"/>
    <n v="10.067633930143"/>
    <s v="16.298234016741674"/>
    <s v="38.05929267174731"/>
    <s v="7.964823529672011"/>
    <n v="720512433"/>
    <x v="1"/>
    <n v="0.98860709999999996"/>
    <x v="1"/>
  </r>
  <r>
    <n v="50"/>
    <n v="1"/>
    <n v="3"/>
    <n v="3"/>
    <n v="1"/>
    <n v="3"/>
    <n v="0"/>
    <n v="40"/>
    <n v="6"/>
    <n v="2"/>
    <n v="4"/>
    <n v="4514"/>
    <n v="2016"/>
    <n v="2498"/>
    <n v="0.313"/>
    <n v="4107"/>
    <n v="59"/>
    <n v="0.63900000000000001"/>
    <n v="0.44700000000000001"/>
    <n v="3.2941999999999997E-4"/>
    <n v="0.99966999999999995"/>
    <s v="5.775029269923912"/>
    <s v="29.332608983621547"/>
    <s v="66.02791519129157"/>
    <s v="6.999104134019599"/>
    <n v="772607433"/>
    <x v="0"/>
    <n v="3.9492500000000002E-4"/>
    <x v="0"/>
  </r>
  <r>
    <n v="49"/>
    <n v="1"/>
    <n v="4"/>
    <n v="6"/>
    <n v="3"/>
    <n v="3"/>
    <n v="0"/>
    <n v="39"/>
    <n v="2"/>
    <n v="2"/>
    <n v="2"/>
    <n v="2886"/>
    <n v="925"/>
    <n v="1961"/>
    <n v="0.94599999999999995"/>
    <n v="5481"/>
    <n v="58"/>
    <n v="0.75800000000000001"/>
    <n v="0.32100000000000001"/>
    <n v="0.99243999999999999"/>
    <n v="7.5599999999999999E-3"/>
    <s v="10.86923587956413"/>
    <s v="0.8773046700646062"/>
    <s v="100.37128330551016"/>
    <s v="0.8064842842487374"/>
    <n v="780384483"/>
    <x v="1"/>
    <n v="0.99112929999999999"/>
    <x v="1"/>
  </r>
  <r>
    <n v="54"/>
    <n v="0"/>
    <n v="1"/>
    <n v="3"/>
    <n v="1"/>
    <n v="4"/>
    <n v="0"/>
    <n v="41"/>
    <n v="3"/>
    <n v="3"/>
    <n v="2"/>
    <n v="3784"/>
    <n v="2517"/>
    <n v="1267"/>
    <n v="0.64800000000000002"/>
    <n v="15199"/>
    <n v="96"/>
    <n v="0.68400000000000005"/>
    <n v="0.66500000000000004"/>
    <n v="1.6412999999999999E-4"/>
    <n v="0.99983999999999995"/>
    <s v="32.12976673687615"/>
    <s v="20.93003179837982"/>
    <s v="50.83886239638082"/>
    <s v="6.629151067511828"/>
    <n v="779920533"/>
    <x v="0"/>
    <n v="3.7453471999999999E-4"/>
    <x v="0"/>
  </r>
  <r>
    <n v="55"/>
    <n v="1"/>
    <n v="2"/>
    <n v="0"/>
    <n v="0"/>
    <n v="0"/>
    <n v="0"/>
    <n v="45"/>
    <n v="6"/>
    <n v="2"/>
    <n v="1"/>
    <n v="26729"/>
    <n v="1052"/>
    <n v="25677"/>
    <n v="1.034"/>
    <n v="4140"/>
    <n v="69"/>
    <n v="0.81599999999999995"/>
    <n v="3.9E-2"/>
    <s v="6.6734e-05"/>
    <n v="0.99992999999999999"/>
    <s v="3.336692779819423"/>
    <s v="34.788744589577924"/>
    <s v="111.77803651209784"/>
    <s v="1.3323866620551783"/>
    <n v="778282758"/>
    <x v="0"/>
    <n v="3.756586E-4"/>
    <x v="0"/>
  </r>
  <r>
    <n v="54"/>
    <n v="0"/>
    <n v="3"/>
    <n v="2"/>
    <n v="1"/>
    <n v="4"/>
    <n v="0"/>
    <n v="49"/>
    <n v="5"/>
    <n v="2"/>
    <n v="4"/>
    <n v="2031"/>
    <n v="1069"/>
    <n v="962"/>
    <n v="0.87"/>
    <n v="1943"/>
    <n v="47"/>
    <n v="0.621"/>
    <n v="0.52600000000000002"/>
    <n v="3.3886000000000002E-4"/>
    <n v="0.99965999999999999"/>
    <s v="32.41282214352337"/>
    <s v="66.45233376055637"/>
    <n v="6.4469104281441503"/>
    <s v="9.158943535224305"/>
    <n v="811534983"/>
    <x v="0"/>
    <n v="1.174137E-3"/>
    <x v="0"/>
  </r>
  <r>
    <n v="47"/>
    <n v="1"/>
    <n v="3"/>
    <n v="3"/>
    <n v="2"/>
    <n v="2"/>
    <n v="0"/>
    <n v="30"/>
    <n v="5"/>
    <n v="3"/>
    <n v="3"/>
    <n v="18123"/>
    <n v="1775"/>
    <n v="16348"/>
    <n v="0.59299999999999997"/>
    <n v="4259"/>
    <n v="80"/>
    <n v="0.86"/>
    <n v="9.8000000000000004E-2"/>
    <n v="3.0516000000000001E-4"/>
    <n v="0.99968999999999997"/>
    <s v="32.55042100237648"/>
    <s v="32.268085834931625"/>
    <s v="26.700908367926225"/>
    <s v="1.8824078097757693"/>
    <n v="788805108"/>
    <x v="0"/>
    <n v="3.2101269999999999E-4"/>
    <x v="0"/>
  </r>
  <r>
    <n v="53"/>
    <n v="0"/>
    <n v="1"/>
    <n v="2"/>
    <n v="2"/>
    <n v="4"/>
    <n v="0"/>
    <n v="46"/>
    <n v="6"/>
    <n v="4"/>
    <n v="4"/>
    <n v="2266"/>
    <n v="0"/>
    <n v="2266"/>
    <n v="0.56499999999999995"/>
    <n v="3634"/>
    <n v="66"/>
    <n v="0.65"/>
    <n v="0"/>
    <n v="5.8531000000000002E-4"/>
    <n v="0.99941000000000002"/>
    <s v="38.83489458534648"/>
    <s v="37.407970792570445"/>
    <s v="39.31600119412008"/>
    <s v="1.950455489993216"/>
    <n v="714373308"/>
    <x v="0"/>
    <n v="7.4965424999999997E-4"/>
    <x v="0"/>
  </r>
  <r>
    <n v="59"/>
    <n v="1"/>
    <n v="0"/>
    <n v="6"/>
    <n v="3"/>
    <n v="3"/>
    <n v="3"/>
    <n v="40"/>
    <n v="3"/>
    <n v="2"/>
    <n v="3"/>
    <n v="34516"/>
    <n v="1359"/>
    <n v="33157"/>
    <n v="1.327"/>
    <n v="1033"/>
    <n v="26"/>
    <n v="1.3640000000000001"/>
    <n v="3.9E-2"/>
    <n v="1.6316E-4"/>
    <n v="0.99983999999999995"/>
    <s v="17.80424746960303"/>
    <s v="43.24869803166447"/>
    <s v="8.571107513115772"/>
    <s v="12.847121054533618"/>
    <n v="710565408"/>
    <x v="0"/>
    <n v="1.2328046999999999E-3"/>
    <x v="0"/>
  </r>
  <r>
    <n v="41"/>
    <n v="0"/>
    <n v="3"/>
    <n v="3"/>
    <n v="1"/>
    <n v="1"/>
    <n v="0"/>
    <n v="35"/>
    <n v="3"/>
    <n v="3"/>
    <n v="3"/>
    <n v="2644"/>
    <n v="1794"/>
    <n v="850"/>
    <n v="0.86299999999999999"/>
    <n v="4081"/>
    <n v="72"/>
    <n v="0.8"/>
    <n v="0.67900000000000005"/>
    <n v="3.0516000000000001E-4"/>
    <n v="0.99968999999999997"/>
    <s v="11.388528697044812"/>
    <s v="21.84048750795901"/>
    <s v="110.5119659972238"/>
    <s v="1.5958277297801318"/>
    <n v="713019783"/>
    <x v="0"/>
    <n v="3.2101269999999999E-4"/>
    <x v="0"/>
  </r>
  <r>
    <n v="44"/>
    <n v="0"/>
    <n v="4"/>
    <n v="2"/>
    <n v="1"/>
    <n v="1"/>
    <n v="0"/>
    <n v="36"/>
    <n v="6"/>
    <n v="3"/>
    <n v="3"/>
    <n v="1452"/>
    <n v="0"/>
    <n v="1452"/>
    <n v="0.55300000000000005"/>
    <n v="2287"/>
    <n v="42"/>
    <n v="0.5"/>
    <n v="0"/>
    <n v="0.99685999999999997"/>
    <n v="3.1411199999999998E-3"/>
    <s v="8.962611745821851"/>
    <n v="9.9810539890063694"/>
    <s v="11.259859454139486"/>
    <s v="14.87863412743634"/>
    <n v="715487733"/>
    <x v="1"/>
    <n v="0.99873226999999998"/>
    <x v="1"/>
  </r>
  <r>
    <n v="44"/>
    <n v="0"/>
    <n v="2"/>
    <n v="0"/>
    <n v="2"/>
    <n v="4"/>
    <n v="0"/>
    <n v="34"/>
    <n v="3"/>
    <n v="2"/>
    <n v="1"/>
    <n v="2429"/>
    <n v="1687"/>
    <n v="742"/>
    <n v="0.76600000000000001"/>
    <n v="4122"/>
    <n v="74"/>
    <n v="0.85"/>
    <n v="0.69499999999999995"/>
    <s v="6.6734e-05"/>
    <n v="0.99992999999999999"/>
    <s v="66.56794088597029"/>
    <s v="33.681526632031634"/>
    <s v="101.45159137610668"/>
    <s v="0.3219704854026955"/>
    <n v="714012258"/>
    <x v="0"/>
    <n v="3.2101269999999999E-4"/>
    <x v="0"/>
  </r>
  <r>
    <n v="59"/>
    <n v="0"/>
    <n v="1"/>
    <n v="2"/>
    <n v="1"/>
    <n v="4"/>
    <n v="0"/>
    <n v="36"/>
    <n v="3"/>
    <n v="1"/>
    <n v="1"/>
    <n v="2697"/>
    <n v="1410"/>
    <n v="1287"/>
    <n v="0.92500000000000004"/>
    <n v="4489"/>
    <n v="58"/>
    <n v="0.70599999999999996"/>
    <n v="0.52300000000000002"/>
    <s v="3.1176e-05"/>
    <n v="0.99997000000000003"/>
    <s v="4.719226655566868"/>
    <s v="26.127498892302683"/>
    <n v="92.378765851362601"/>
    <s v="1.7792476880556407"/>
    <n v="721175283"/>
    <x v="0"/>
    <n v="3.838057E-4"/>
    <x v="0"/>
  </r>
  <r>
    <n v="47"/>
    <n v="0"/>
    <n v="2"/>
    <n v="6"/>
    <n v="3"/>
    <n v="1"/>
    <n v="0"/>
    <n v="36"/>
    <n v="1"/>
    <n v="3"/>
    <n v="3"/>
    <n v="1811"/>
    <n v="0"/>
    <n v="1811"/>
    <n v="0.61"/>
    <n v="5390"/>
    <n v="87"/>
    <n v="0.77600000000000002"/>
    <n v="0"/>
    <n v="3.3251E-4"/>
    <n v="0.99966999999999995"/>
    <s v="8.592600958992728"/>
    <s v="40.38451531721255"/>
    <s v="45.71415472388863"/>
    <s v="13.055657480170805"/>
    <n v="709459608"/>
    <x v="0"/>
    <n v="7.9231150000000003E-4"/>
    <x v="0"/>
  </r>
  <r>
    <n v="39"/>
    <n v="0"/>
    <n v="2"/>
    <n v="5"/>
    <n v="2"/>
    <n v="4"/>
    <n v="0"/>
    <n v="35"/>
    <n v="5"/>
    <n v="3"/>
    <n v="3"/>
    <n v="9235"/>
    <n v="1479"/>
    <n v="7756"/>
    <n v="0.84299999999999997"/>
    <n v="1537"/>
    <n v="49"/>
    <n v="0.58099999999999996"/>
    <n v="0.16"/>
    <n v="3.1104E-4"/>
    <n v="0.99968999999999997"/>
    <s v="24.65106183107321"/>
    <s v="40.84327871349929"/>
    <s v="52.66184498430561"/>
    <s v="18.230325967537837"/>
    <n v="824805858"/>
    <x v="0"/>
    <n v="8.7463145999999996E-4"/>
    <x v="0"/>
  </r>
  <r>
    <n v="41"/>
    <n v="0"/>
    <n v="3"/>
    <n v="2"/>
    <n v="1"/>
    <n v="1"/>
    <n v="0"/>
    <n v="29"/>
    <n v="5"/>
    <n v="1"/>
    <n v="3"/>
    <n v="1982"/>
    <n v="1068"/>
    <n v="914"/>
    <n v="0.88100000000000001"/>
    <n v="3058"/>
    <n v="58"/>
    <n v="0.871"/>
    <n v="0.53900000000000003"/>
    <s v="9.6126e-05"/>
    <n v="0.99990000000000001"/>
    <s v="13.735494472287314"/>
    <s v="3.534339958888149"/>
    <s v="52.559755464588186"/>
    <s v="2.747950132342366"/>
    <n v="717983058"/>
    <x v="0"/>
    <n v="4.2630089999999999E-4"/>
    <x v="0"/>
  </r>
  <r>
    <n v="41"/>
    <n v="1"/>
    <n v="0"/>
    <n v="3"/>
    <n v="2"/>
    <n v="3"/>
    <n v="0"/>
    <n v="31"/>
    <n v="3"/>
    <n v="5"/>
    <n v="2"/>
    <n v="33472"/>
    <n v="2517"/>
    <n v="30955"/>
    <n v="0.63300000000000001"/>
    <n v="4719"/>
    <n v="70"/>
    <n v="0.66700000000000004"/>
    <n v="7.4999999999999997E-2"/>
    <n v="1.6760000000000001E-4"/>
    <n v="0.99983"/>
    <s v="11.427811470377565"/>
    <s v="16.847367386719775"/>
    <s v="136.00541053580102"/>
    <s v="29.010155428512864"/>
    <n v="772565883"/>
    <x v="0"/>
    <n v="3.7553774999999999E-4"/>
    <x v="0"/>
  </r>
  <r>
    <n v="41"/>
    <n v="1"/>
    <n v="4"/>
    <n v="6"/>
    <n v="1"/>
    <n v="3"/>
    <n v="3"/>
    <n v="31"/>
    <n v="5"/>
    <n v="2"/>
    <n v="2"/>
    <n v="34516"/>
    <n v="1433"/>
    <n v="33083"/>
    <n v="0.75800000000000001"/>
    <n v="2589"/>
    <n v="57"/>
    <n v="0.67600000000000005"/>
    <n v="4.2000000000000003E-2"/>
    <n v="1.1856E-4"/>
    <n v="0.99987999999999999"/>
    <n v="26.7712765053864"/>
    <s v="4.144868797317121"/>
    <s v="24.387670260387782"/>
    <s v="17.37127833023758"/>
    <n v="713853858"/>
    <x v="0"/>
    <n v="6.1128259999999998E-4"/>
    <x v="0"/>
  </r>
  <r>
    <n v="50"/>
    <n v="1"/>
    <n v="0"/>
    <n v="1"/>
    <n v="2"/>
    <n v="3"/>
    <n v="0"/>
    <n v="38"/>
    <n v="5"/>
    <n v="2"/>
    <n v="2"/>
    <n v="3460"/>
    <n v="1881"/>
    <n v="1579"/>
    <n v="0.622"/>
    <n v="1546"/>
    <n v="35"/>
    <n v="1.0589999999999999"/>
    <n v="0.54400000000000004"/>
    <n v="1.4134E-4"/>
    <n v="0.99985999999999997"/>
    <s v="17.650654555564703"/>
    <s v="1.512941315710267"/>
    <s v="31.58744373565259"/>
    <s v="26.64433546677847"/>
    <n v="717295683"/>
    <x v="0"/>
    <n v="9.8706899999999992E-4"/>
    <x v="0"/>
  </r>
  <r>
    <n v="38"/>
    <n v="1"/>
    <n v="2"/>
    <n v="5"/>
    <n v="2"/>
    <n v="3"/>
    <n v="0"/>
    <n v="22"/>
    <n v="2"/>
    <n v="1"/>
    <n v="3"/>
    <n v="34516"/>
    <n v="1595"/>
    <n v="32921"/>
    <n v="0.82399999999999995"/>
    <n v="8871"/>
    <n v="97"/>
    <n v="0.76400000000000001"/>
    <n v="4.5999999999999999E-2"/>
    <s v="9.5249e-05"/>
    <n v="0.99990000000000001"/>
    <s v="3.481469603186689"/>
    <s v="30.850137776246317"/>
    <s v="62.036359747640674"/>
    <s v="5.346197952848408"/>
    <n v="712839633"/>
    <x v="0"/>
    <n v="4.1022256E-4"/>
    <x v="0"/>
  </r>
  <r>
    <n v="53"/>
    <n v="0"/>
    <n v="3"/>
    <n v="6"/>
    <n v="1"/>
    <n v="1"/>
    <n v="0"/>
    <n v="45"/>
    <n v="4"/>
    <n v="3"/>
    <n v="1"/>
    <n v="1972"/>
    <n v="0"/>
    <n v="1972"/>
    <n v="0.76100000000000001"/>
    <n v="5085"/>
    <n v="73"/>
    <n v="0.58699999999999997"/>
    <n v="0"/>
    <n v="1.2373000000000001E-4"/>
    <n v="0.99987999999999999"/>
    <s v="7.333613480672408"/>
    <s v="12.484945701454924"/>
    <s v="80.92533224002221"/>
    <s v="20.62012023556796"/>
    <n v="715581633"/>
    <x v="0"/>
    <n v="7.387203E-4"/>
    <x v="0"/>
  </r>
  <r>
    <n v="41"/>
    <n v="1"/>
    <n v="2"/>
    <n v="5"/>
    <n v="0"/>
    <n v="0"/>
    <n v="0"/>
    <n v="29"/>
    <n v="3"/>
    <n v="2"/>
    <n v="2"/>
    <n v="15911"/>
    <n v="896"/>
    <n v="15015"/>
    <n v="0.95399999999999996"/>
    <n v="1270"/>
    <n v="33"/>
    <n v="0.83299999999999996"/>
    <n v="5.6000000000000001E-2"/>
    <n v="1.1703E-4"/>
    <n v="0.99987999999999999"/>
    <s v="17.467414656993604"/>
    <n v="64.331548459254506"/>
    <s v="33.95652152850538"/>
    <s v="11.85352377432958"/>
    <n v="716804283"/>
    <x v="0"/>
    <n v="1.5469645E-3"/>
    <x v="0"/>
  </r>
  <r>
    <n v="42"/>
    <n v="0"/>
    <n v="3"/>
    <n v="2"/>
    <n v="1"/>
    <n v="4"/>
    <n v="0"/>
    <n v="36"/>
    <n v="4"/>
    <n v="2"/>
    <n v="2"/>
    <n v="2526"/>
    <n v="2048"/>
    <n v="478"/>
    <n v="0.71599999999999997"/>
    <n v="4267"/>
    <n v="72"/>
    <n v="0.8"/>
    <n v="0.81100000000000005"/>
    <n v="1.1811000000000001E-4"/>
    <n v="0.99987999999999999"/>
    <n v="48.329719760471903"/>
    <s v="24.603176438553643"/>
    <n v="97.182945325068999"/>
    <s v="3.5829557118815494"/>
    <n v="711890808"/>
    <x v="0"/>
    <n v="3.2101269999999999E-4"/>
    <x v="0"/>
  </r>
  <r>
    <n v="39"/>
    <n v="1"/>
    <n v="3"/>
    <n v="6"/>
    <n v="1"/>
    <n v="3"/>
    <n v="0"/>
    <n v="33"/>
    <n v="6"/>
    <n v="6"/>
    <n v="4"/>
    <n v="18582"/>
    <n v="794"/>
    <n v="17788"/>
    <n v="0.71699999999999997"/>
    <n v="1836"/>
    <n v="46"/>
    <n v="0.58599999999999997"/>
    <n v="4.2999999999999997E-2"/>
    <n v="4.6462000000000001E-4"/>
    <n v="0.99953999999999998"/>
    <s v="21.141299076542406"/>
    <s v="13.280565239381392"/>
    <n v="6.4151134083254604"/>
    <s v="16.519073114344007"/>
    <n v="783020958"/>
    <x v="0"/>
    <n v="1.9938215E-3"/>
    <x v="0"/>
  </r>
  <r>
    <n v="46"/>
    <n v="0"/>
    <n v="5"/>
    <n v="0"/>
    <n v="0"/>
    <n v="1"/>
    <n v="0"/>
    <n v="38"/>
    <n v="6"/>
    <n v="1"/>
    <n v="3"/>
    <n v="3276"/>
    <n v="1915"/>
    <n v="1361"/>
    <n v="0.67200000000000004"/>
    <n v="4264"/>
    <n v="76"/>
    <n v="0.61699999999999999"/>
    <n v="0.58499999999999996"/>
    <s v="9.2982e-05"/>
    <n v="0.99990999999999997"/>
    <s v="0.7564639965767057"/>
    <s v="18.096417057182546"/>
    <s v="3.603306031096672"/>
    <s v="5.224449632452834"/>
    <n v="713666058"/>
    <x v="0"/>
    <n v="3.2914013999999999E-4"/>
    <x v="0"/>
  </r>
  <r>
    <n v="38"/>
    <n v="0"/>
    <n v="1"/>
    <n v="2"/>
    <n v="1"/>
    <n v="5"/>
    <n v="0"/>
    <n v="29"/>
    <n v="3"/>
    <n v="3"/>
    <n v="3"/>
    <n v="8953"/>
    <n v="0"/>
    <n v="8953"/>
    <n v="0.40300000000000002"/>
    <n v="1982"/>
    <n v="43"/>
    <n v="0.30299999999999999"/>
    <n v="0"/>
    <n v="0.99648999999999999"/>
    <n v="3.5083800000000002E-3"/>
    <s v="42.00266281319018"/>
    <s v="19.99523537860176"/>
    <s v="11.732127186324428"/>
    <s v="14.084641412361655"/>
    <n v="714514008"/>
    <x v="1"/>
    <n v="0.99870276000000002"/>
    <x v="1"/>
  </r>
  <r>
    <n v="54"/>
    <n v="1"/>
    <n v="3"/>
    <n v="2"/>
    <n v="1"/>
    <n v="0"/>
    <n v="0"/>
    <n v="46"/>
    <n v="3"/>
    <n v="1"/>
    <n v="3"/>
    <n v="34516"/>
    <n v="854"/>
    <n v="33662"/>
    <n v="0.92800000000000005"/>
    <n v="1999"/>
    <n v="54"/>
    <n v="0.8"/>
    <n v="2.5000000000000001E-2"/>
    <s v="9.6126e-05"/>
    <n v="0.99990000000000001"/>
    <s v="33.20598486492114"/>
    <s v="6.047402443152738"/>
    <s v="6.600300106895041"/>
    <s v="8.617412450463792"/>
    <n v="709979583"/>
    <x v="0"/>
    <n v="1.0294116E-3"/>
    <x v="0"/>
  </r>
  <r>
    <n v="55"/>
    <n v="0"/>
    <n v="2"/>
    <n v="2"/>
    <n v="0"/>
    <n v="4"/>
    <n v="0"/>
    <n v="50"/>
    <n v="2"/>
    <n v="6"/>
    <n v="3"/>
    <n v="1720"/>
    <n v="0"/>
    <n v="1720"/>
    <n v="0.70699999999999996"/>
    <n v="2719"/>
    <n v="36"/>
    <n v="0.44"/>
    <n v="0"/>
    <n v="0.99582999999999999"/>
    <n v="4.1689700000000001E-3"/>
    <s v="4.873977042353554"/>
    <s v="38.57592601558581"/>
    <n v="80.955445669683996"/>
    <s v="1.3263790865827203"/>
    <n v="809849358"/>
    <x v="1"/>
    <n v="0.99872713999999996"/>
    <x v="1"/>
  </r>
  <r>
    <n v="39"/>
    <n v="1"/>
    <n v="3"/>
    <n v="6"/>
    <n v="2"/>
    <n v="3"/>
    <n v="3"/>
    <n v="36"/>
    <n v="5"/>
    <n v="3"/>
    <n v="2"/>
    <n v="34516"/>
    <n v="1900"/>
    <n v="32616"/>
    <n v="1.002"/>
    <n v="1668"/>
    <n v="36"/>
    <n v="0.71399999999999997"/>
    <n v="5.5E-2"/>
    <n v="1.8537999999999999E-4"/>
    <n v="0.99980999999999998"/>
    <s v="18.24400219532672"/>
    <n v="36.4472853578688"/>
    <n v="87.930837599346503"/>
    <s v="10.746723007591386"/>
    <n v="719568333"/>
    <x v="0"/>
    <n v="1.1504791999999999E-3"/>
    <x v="0"/>
  </r>
  <r>
    <n v="44"/>
    <n v="1"/>
    <n v="0"/>
    <n v="6"/>
    <n v="1"/>
    <n v="1"/>
    <n v="3"/>
    <n v="34"/>
    <n v="2"/>
    <n v="1"/>
    <n v="2"/>
    <n v="22226"/>
    <n v="1864"/>
    <n v="20362"/>
    <n v="0.86399999999999999"/>
    <n v="8753"/>
    <n v="97"/>
    <n v="0.70199999999999996"/>
    <n v="8.4000000000000005E-2"/>
    <s v="4.6941e-05"/>
    <n v="0.99995000000000001"/>
    <s v="36.77723645839762"/>
    <s v="24.510543740992617"/>
    <s v="39.97699883571627"/>
    <s v="1.5476445945770485"/>
    <n v="789304983"/>
    <x v="0"/>
    <n v="3.7913927000000002E-4"/>
    <x v="0"/>
  </r>
  <r>
    <n v="39"/>
    <n v="0"/>
    <n v="1"/>
    <n v="6"/>
    <n v="1"/>
    <n v="4"/>
    <n v="0"/>
    <n v="29"/>
    <n v="6"/>
    <n v="2"/>
    <n v="5"/>
    <n v="2722"/>
    <n v="1592"/>
    <n v="1130"/>
    <n v="1.319"/>
    <n v="3205"/>
    <n v="49"/>
    <n v="0.63300000000000001"/>
    <n v="0.58499999999999996"/>
    <n v="5.8290999999999996E-4"/>
    <n v="0.99941999999999998"/>
    <s v="24.78180472695556"/>
    <s v="59.88909530428566"/>
    <s v="45.84352507941246"/>
    <s v="10.252664928667471"/>
    <n v="716578158"/>
    <x v="0"/>
    <n v="8.0480419999999996E-4"/>
    <x v="0"/>
  </r>
  <r>
    <n v="36"/>
    <n v="0"/>
    <n v="2"/>
    <n v="6"/>
    <n v="1"/>
    <n v="4"/>
    <n v="0"/>
    <n v="29"/>
    <n v="6"/>
    <n v="3"/>
    <n v="4"/>
    <n v="2029"/>
    <n v="1190"/>
    <n v="839"/>
    <n v="0.628"/>
    <n v="1802"/>
    <n v="40"/>
    <n v="0.48099999999999998"/>
    <n v="0.58599999999999997"/>
    <n v="5.6716000000000004E-4"/>
    <n v="0.99943000000000004"/>
    <s v="10.679399827653052"/>
    <s v="3.030046050161156"/>
    <s v="106.74559845211766"/>
    <s v="3.312530338011217"/>
    <n v="758765808"/>
    <x v="0"/>
    <n v="1.1982243E-3"/>
    <x v="0"/>
  </r>
  <r>
    <n v="51"/>
    <n v="0"/>
    <n v="2"/>
    <n v="0"/>
    <n v="2"/>
    <n v="4"/>
    <n v="0"/>
    <n v="36"/>
    <n v="1"/>
    <n v="3"/>
    <n v="2"/>
    <n v="1438.3"/>
    <n v="718"/>
    <n v="720.3"/>
    <n v="0.57099999999999995"/>
    <n v="4447"/>
    <n v="71"/>
    <n v="0.82099999999999995"/>
    <n v="0.499"/>
    <n v="1.7488000000000001E-4"/>
    <n v="0.99983"/>
    <s v="50.93539564192788"/>
    <s v="106.65472015239284"/>
    <n v="40.698591859404203"/>
    <s v="5.861000523151309"/>
    <n v="716262708"/>
    <x v="0"/>
    <n v="5.4489190000000002E-4"/>
    <x v="0"/>
  </r>
  <r>
    <n v="49"/>
    <n v="1"/>
    <n v="3"/>
    <n v="3"/>
    <n v="1"/>
    <n v="3"/>
    <n v="0"/>
    <n v="42"/>
    <n v="4"/>
    <n v="1"/>
    <n v="2"/>
    <n v="10155"/>
    <n v="1805"/>
    <n v="8350"/>
    <n v="0.67300000000000004"/>
    <n v="1685"/>
    <n v="49"/>
    <n v="0.81499999999999995"/>
    <n v="0.17799999999999999"/>
    <s v="5.5559e-05"/>
    <n v="0.99994000000000005"/>
    <s v="18.80201130366892"/>
    <s v="20.359121689061418"/>
    <s v="8.105133782861559"/>
    <s v="4.984887320042477"/>
    <n v="740852733"/>
    <x v="0"/>
    <n v="8.1453624000000005E-4"/>
    <x v="0"/>
  </r>
  <r>
    <n v="57"/>
    <n v="0"/>
    <n v="0"/>
    <n v="5"/>
    <n v="1"/>
    <n v="4"/>
    <n v="0"/>
    <n v="51"/>
    <n v="2"/>
    <n v="3"/>
    <n v="3"/>
    <n v="6996"/>
    <n v="2092"/>
    <n v="4904"/>
    <n v="0.79400000000000004"/>
    <n v="15017"/>
    <n v="120"/>
    <n v="0.76500000000000001"/>
    <n v="0.29899999999999999"/>
    <n v="2.6692000000000003E-4"/>
    <n v="0.99973000000000001"/>
    <n v="7.4433831716260297"/>
    <s v="24.871735316996947"/>
    <s v="104.90036623206196"/>
    <s v="10.815396015404357"/>
    <n v="767414808"/>
    <x v="0"/>
    <n v="3.4656386999999997E-4"/>
    <x v="0"/>
  </r>
  <r>
    <n v="48"/>
    <n v="1"/>
    <n v="3"/>
    <n v="3"/>
    <n v="1"/>
    <n v="2"/>
    <n v="1"/>
    <n v="37"/>
    <n v="6"/>
    <n v="2"/>
    <n v="0"/>
    <n v="34516"/>
    <n v="1948"/>
    <n v="32568"/>
    <n v="0.66600000000000004"/>
    <n v="4539"/>
    <n v="75"/>
    <n v="0.70499999999999996"/>
    <n v="5.6000000000000001E-2"/>
    <s v="4.8796e-05"/>
    <n v="0.99995000000000001"/>
    <n v="14.793139258372699"/>
    <s v="6.748877331766427"/>
    <s v="14.155897360845051"/>
    <s v="17.412321343468243"/>
    <n v="715627833"/>
    <x v="0"/>
    <n v="3.5729867999999997E-4"/>
    <x v="0"/>
  </r>
  <r>
    <n v="34"/>
    <n v="1"/>
    <n v="2"/>
    <n v="3"/>
    <n v="1"/>
    <n v="2"/>
    <n v="0"/>
    <n v="28"/>
    <n v="3"/>
    <n v="3"/>
    <n v="3"/>
    <n v="2853"/>
    <n v="2420"/>
    <n v="433"/>
    <n v="0.85799999999999998"/>
    <n v="1750"/>
    <n v="47"/>
    <n v="0.80800000000000005"/>
    <n v="0.84799999999999998"/>
    <n v="2.9408E-4"/>
    <n v="0.99970999999999999"/>
    <s v="2.2285341892815014"/>
    <s v="31.153136200936885"/>
    <s v="14.122156030927645"/>
    <s v="11.689525873633258"/>
    <n v="768921933"/>
    <x v="0"/>
    <n v="1.0249399E-3"/>
    <x v="0"/>
  </r>
  <r>
    <n v="54"/>
    <n v="0"/>
    <n v="2"/>
    <n v="2"/>
    <n v="1"/>
    <n v="4"/>
    <n v="0"/>
    <n v="45"/>
    <n v="3"/>
    <n v="1"/>
    <n v="3"/>
    <n v="1438.3"/>
    <n v="306"/>
    <n v="1132.3"/>
    <n v="1.0349999999999999"/>
    <n v="694"/>
    <n v="15"/>
    <n v="0.36399999999999999"/>
    <n v="0.21299999999999999"/>
    <n v="0.98931999999999998"/>
    <n v="1.068E-2"/>
    <n v="38.478232435074602"/>
    <s v="41.42615331307487"/>
    <s v="3.0471525332623832"/>
    <s v="11.25807583817739"/>
    <n v="718939083"/>
    <x v="1"/>
    <n v="0.99844080000000002"/>
    <x v="1"/>
  </r>
  <r>
    <n v="48"/>
    <n v="0"/>
    <n v="3"/>
    <n v="4"/>
    <n v="1"/>
    <n v="4"/>
    <n v="0"/>
    <n v="36"/>
    <n v="2"/>
    <n v="2"/>
    <n v="1"/>
    <n v="2490"/>
    <n v="1582"/>
    <n v="908"/>
    <n v="0.76"/>
    <n v="7719"/>
    <n v="86"/>
    <n v="0.623"/>
    <n v="0.63500000000000001"/>
    <s v="8.381e-05"/>
    <n v="0.99992000000000003"/>
    <s v="10.68150737056574"/>
    <n v="64.034444571328706"/>
    <s v="41.77783728840517"/>
    <s v="6.4426458616747215"/>
    <n v="715436883"/>
    <x v="0"/>
    <n v="3.7789578000000003E-4"/>
    <x v="0"/>
  </r>
  <r>
    <n v="32"/>
    <n v="1"/>
    <n v="1"/>
    <n v="6"/>
    <n v="1"/>
    <n v="4"/>
    <n v="0"/>
    <n v="36"/>
    <n v="5"/>
    <n v="3"/>
    <n v="3"/>
    <n v="6100"/>
    <n v="1520"/>
    <n v="4580"/>
    <n v="0.85299999999999998"/>
    <n v="1668"/>
    <n v="32"/>
    <n v="0.88200000000000001"/>
    <n v="0.249"/>
    <n v="3.1210999999999999E-4"/>
    <n v="0.99968999999999997"/>
    <s v="40.944715885036025"/>
    <s v="38.672774662777705"/>
    <s v="9.545767653241786"/>
    <s v="8.341180683136045"/>
    <n v="710951808"/>
    <x v="0"/>
    <n v="9.8706899999999992E-4"/>
    <x v="0"/>
  </r>
  <r>
    <n v="44"/>
    <n v="1"/>
    <n v="2"/>
    <n v="3"/>
    <n v="3"/>
    <n v="2"/>
    <n v="3"/>
    <n v="39"/>
    <n v="1"/>
    <n v="2"/>
    <n v="3"/>
    <n v="34516"/>
    <n v="1601"/>
    <n v="32915"/>
    <n v="0.68600000000000005"/>
    <n v="7491"/>
    <n v="86"/>
    <n v="0.72"/>
    <n v="4.5999999999999999E-2"/>
    <n v="1.6814999999999999E-4"/>
    <n v="0.99983"/>
    <s v="11.124693284476724"/>
    <s v="53.84194258974768"/>
    <s v="3.636791442250197"/>
    <s v="8.477054492696002"/>
    <n v="804601833"/>
    <x v="0"/>
    <n v="4.1022256E-4"/>
    <x v="0"/>
  </r>
  <r>
    <n v="43"/>
    <n v="0"/>
    <n v="3"/>
    <n v="2"/>
    <n v="1"/>
    <n v="1"/>
    <n v="0"/>
    <n v="37"/>
    <n v="2"/>
    <n v="1"/>
    <n v="3"/>
    <n v="2476"/>
    <n v="1396"/>
    <n v="1080"/>
    <n v="0.83799999999999997"/>
    <n v="8785"/>
    <n v="111"/>
    <n v="0.60899999999999999"/>
    <n v="0.56399999999999995"/>
    <s v="9.6126e-05"/>
    <n v="0.99990000000000001"/>
    <s v="19.271343286908223"/>
    <s v="69.94504105864495"/>
    <s v="104.4080992208792"/>
    <s v="10.708979966698784"/>
    <n v="775267158"/>
    <x v="0"/>
    <n v="3.7789578000000003E-4"/>
    <x v="0"/>
  </r>
  <r>
    <n v="33"/>
    <n v="1"/>
    <n v="2"/>
    <n v="6"/>
    <n v="1"/>
    <n v="0"/>
    <n v="0"/>
    <n v="36"/>
    <n v="3"/>
    <n v="3"/>
    <n v="5"/>
    <n v="16127"/>
    <n v="0"/>
    <n v="16127"/>
    <n v="0.76900000000000002"/>
    <n v="7729"/>
    <n v="82"/>
    <n v="1"/>
    <n v="0"/>
    <n v="0.99897999999999998"/>
    <n v="1.0172499999999999E-3"/>
    <s v="22.030534247087903"/>
    <n v="79.809351119543805"/>
    <s v="89.33891501527476"/>
    <s v="11.154835162480952"/>
    <n v="710590683"/>
    <x v="1"/>
    <n v="0.98737233999999996"/>
    <x v="1"/>
  </r>
  <r>
    <n v="42"/>
    <n v="0"/>
    <n v="3"/>
    <n v="0"/>
    <n v="2"/>
    <n v="4"/>
    <n v="0"/>
    <n v="36"/>
    <n v="3"/>
    <n v="3"/>
    <n v="4"/>
    <n v="3802"/>
    <n v="1300"/>
    <n v="2502"/>
    <n v="0.627"/>
    <n v="2165"/>
    <n v="36"/>
    <n v="0.38500000000000001"/>
    <n v="0.34200000000000003"/>
    <n v="0.99807999999999997"/>
    <n v="1.9162999999999999E-3"/>
    <s v="22.332832999623346"/>
    <s v="37.38533865150197"/>
    <s v="73.73375406877561"/>
    <s v="1.653878624743696"/>
    <n v="709112508"/>
    <x v="1"/>
    <n v="0.99468000000000001"/>
    <x v="1"/>
  </r>
  <r>
    <n v="40"/>
    <n v="1"/>
    <n v="4"/>
    <n v="3"/>
    <n v="3"/>
    <n v="3"/>
    <n v="0"/>
    <n v="36"/>
    <n v="6"/>
    <n v="1"/>
    <n v="0"/>
    <n v="2126"/>
    <n v="1321"/>
    <n v="805"/>
    <n v="0.59599999999999997"/>
    <n v="2992"/>
    <n v="72"/>
    <n v="1"/>
    <n v="0.621"/>
    <s v="2.0713e-05"/>
    <n v="0.99997999999999998"/>
    <s v="23.138299746646428"/>
    <s v="17.69196383581922"/>
    <s v="14.275342019379982"/>
    <s v="11.772858116678114"/>
    <n v="718642458"/>
    <x v="0"/>
    <n v="3.6685002999999999E-4"/>
    <x v="0"/>
  </r>
  <r>
    <n v="37"/>
    <n v="0"/>
    <n v="3"/>
    <n v="5"/>
    <n v="1"/>
    <n v="4"/>
    <n v="0"/>
    <n v="27"/>
    <n v="6"/>
    <n v="1"/>
    <n v="3"/>
    <n v="2229"/>
    <n v="1791"/>
    <n v="438"/>
    <n v="1.139"/>
    <n v="1583"/>
    <n v="32"/>
    <n v="0.6"/>
    <n v="0.80300000000000005"/>
    <s v="9.8837e-05"/>
    <n v="0.99990000000000001"/>
    <s v="17.28533918741061"/>
    <s v="12.289814939877605"/>
    <s v="24.186628264445567"/>
    <s v="15.503673497068592"/>
    <n v="779016408"/>
    <x v="0"/>
    <n v="1.0598798E-3"/>
    <x v="0"/>
  </r>
  <r>
    <n v="38"/>
    <n v="1"/>
    <n v="1"/>
    <n v="5"/>
    <n v="1"/>
    <n v="4"/>
    <n v="0"/>
    <n v="31"/>
    <n v="6"/>
    <n v="3"/>
    <n v="3"/>
    <n v="6236"/>
    <n v="1204"/>
    <n v="5032"/>
    <n v="0.81699999999999995"/>
    <n v="5389"/>
    <n v="84"/>
    <n v="0.82599999999999996"/>
    <n v="0.193"/>
    <n v="2.9196000000000002E-4"/>
    <n v="0.99970999999999999"/>
    <s v="19.61012358683164"/>
    <s v="61.30505454108727"/>
    <s v="49.59107623107256"/>
    <s v="13.737306770253063"/>
    <n v="756598833"/>
    <x v="0"/>
    <n v="3.6588970000000001E-4"/>
    <x v="0"/>
  </r>
  <r>
    <n v="47"/>
    <n v="0"/>
    <n v="4"/>
    <n v="2"/>
    <n v="3"/>
    <n v="4"/>
    <n v="0"/>
    <n v="35"/>
    <n v="4"/>
    <n v="2"/>
    <n v="4"/>
    <n v="1438.3"/>
    <n v="0"/>
    <n v="1438.3"/>
    <n v="0.57099999999999995"/>
    <n v="3778"/>
    <n v="69"/>
    <n v="0.81599999999999995"/>
    <n v="0"/>
    <n v="3.4247999999999999E-4"/>
    <n v="0.99965999999999999"/>
    <s v="43.83281265560098"/>
    <s v="16.253893081981058"/>
    <s v="30.913527944722414"/>
    <n v="2.4677653280167502"/>
    <n v="771431133"/>
    <x v="0"/>
    <n v="7.4965424999999997E-4"/>
    <x v="0"/>
  </r>
  <r>
    <n v="42"/>
    <n v="1"/>
    <n v="3"/>
    <n v="0"/>
    <n v="1"/>
    <n v="2"/>
    <n v="0"/>
    <n v="34"/>
    <n v="3"/>
    <n v="3"/>
    <n v="3"/>
    <n v="13450"/>
    <n v="0"/>
    <n v="13450"/>
    <n v="0.74199999999999999"/>
    <n v="1000"/>
    <n v="18"/>
    <n v="5.8999999999999997E-2"/>
    <n v="0"/>
    <n v="0.99673999999999996"/>
    <n v="3.2649799999999998E-3"/>
    <s v="2.100364302400831"/>
    <s v="38.07782626251832"/>
    <s v="27.883208290721942"/>
    <s v="17.787265273093606"/>
    <n v="714639783"/>
    <x v="1"/>
    <n v="0.99870884000000004"/>
    <x v="1"/>
  </r>
  <r>
    <n v="49"/>
    <n v="1"/>
    <n v="2"/>
    <n v="5"/>
    <n v="1"/>
    <n v="3"/>
    <n v="0"/>
    <n v="36"/>
    <n v="2"/>
    <n v="1"/>
    <n v="3"/>
    <n v="3090"/>
    <n v="0"/>
    <n v="3090"/>
    <n v="0.76900000000000002"/>
    <n v="14198"/>
    <n v="101"/>
    <n v="0.80400000000000005"/>
    <n v="0"/>
    <s v="9.5249e-05"/>
    <n v="0.99990000000000001"/>
    <s v="22.75484413645952"/>
    <s v="87.91159096772161"/>
    <s v="40.33683258485436"/>
    <s v="3.0916978990335924"/>
    <n v="710603958"/>
    <x v="0"/>
    <n v="7.5047980000000002E-4"/>
    <x v="0"/>
  </r>
  <r>
    <n v="40"/>
    <n v="1"/>
    <n v="2"/>
    <n v="2"/>
    <n v="2"/>
    <n v="3"/>
    <n v="0"/>
    <n v="24"/>
    <n v="5"/>
    <n v="1"/>
    <n v="0"/>
    <n v="2478"/>
    <n v="2031"/>
    <n v="447"/>
    <n v="1.284"/>
    <n v="1558"/>
    <n v="31"/>
    <n v="0.93799999999999994"/>
    <n v="0.82"/>
    <s v="2.0316e-05"/>
    <n v="0.99997999999999998"/>
    <s v="2.6891203674572277"/>
    <n v="79.105465012348304"/>
    <s v="21.545668289569825"/>
    <s v="1.4313384023875932"/>
    <n v="788830683"/>
    <x v="0"/>
    <n v="9.8706899999999992E-4"/>
    <x v="0"/>
  </r>
  <r>
    <n v="43"/>
    <n v="0"/>
    <n v="2"/>
    <n v="2"/>
    <n v="1"/>
    <n v="4"/>
    <n v="3"/>
    <n v="25"/>
    <n v="6"/>
    <n v="2"/>
    <n v="4"/>
    <n v="10388"/>
    <n v="1961"/>
    <n v="8427"/>
    <n v="0.70299999999999996"/>
    <n v="10294"/>
    <n v="61"/>
    <n v="0.64900000000000002"/>
    <n v="0.189"/>
    <n v="0.99661999999999995"/>
    <n v="3.3765399999999999E-3"/>
    <s v="27.23962848178773"/>
    <s v="36.69863990845825"/>
    <s v="29.78661379276306"/>
    <s v="7.900632132659715"/>
    <n v="714337233"/>
    <x v="1"/>
    <n v="0.98611510000000002"/>
    <x v="1"/>
  </r>
  <r>
    <n v="54"/>
    <n v="0"/>
    <n v="2"/>
    <n v="5"/>
    <n v="2"/>
    <n v="4"/>
    <n v="0"/>
    <n v="43"/>
    <n v="6"/>
    <n v="1"/>
    <n v="4"/>
    <n v="3006"/>
    <n v="633"/>
    <n v="2373"/>
    <n v="0.73299999999999998"/>
    <n v="5177"/>
    <n v="66"/>
    <n v="0.65"/>
    <n v="0.21099999999999999"/>
    <n v="1.6249E-4"/>
    <n v="0.99983999999999995"/>
    <s v="42.29729166240838"/>
    <n v="0.402146123771565"/>
    <s v="189.46317485710017"/>
    <s v="10.01480888923468"/>
    <n v="712867983"/>
    <x v="0"/>
    <n v="5.4489190000000002E-4"/>
    <x v="0"/>
  </r>
  <r>
    <n v="42"/>
    <n v="1"/>
    <n v="4"/>
    <n v="6"/>
    <n v="1"/>
    <n v="1"/>
    <n v="0"/>
    <n v="36"/>
    <n v="2"/>
    <n v="3"/>
    <n v="5"/>
    <n v="1606"/>
    <n v="0"/>
    <n v="1606"/>
    <n v="0.87"/>
    <n v="2628"/>
    <n v="41"/>
    <n v="0.64"/>
    <n v="0"/>
    <n v="0.99902999999999997"/>
    <n v="9.7000000000000005E-4"/>
    <s v="6.602126461836643"/>
    <n v="33.881207925843803"/>
    <n v="2.76560675471754"/>
    <s v="25.050998016197696"/>
    <n v="718110858"/>
    <x v="1"/>
    <n v="0.99774593"/>
    <x v="1"/>
  </r>
  <r>
    <n v="45"/>
    <n v="0"/>
    <n v="2"/>
    <n v="2"/>
    <n v="2"/>
    <n v="1"/>
    <n v="0"/>
    <n v="36"/>
    <n v="5"/>
    <n v="3"/>
    <n v="1"/>
    <n v="2293"/>
    <n v="1304"/>
    <n v="989"/>
    <n v="0.70799999999999996"/>
    <n v="5047"/>
    <n v="94"/>
    <n v="0.67900000000000005"/>
    <n v="0.56899999999999995"/>
    <n v="1.0848E-4"/>
    <n v="0.99988999999999995"/>
    <s v="14.338782250261485"/>
    <s v="46.83312558008888"/>
    <s v="30.696913317261814"/>
    <s v="24.854480057764448"/>
    <n v="715243458"/>
    <x v="0"/>
    <n v="3.2101269999999999E-4"/>
    <x v="0"/>
  </r>
  <r>
    <n v="65"/>
    <n v="0"/>
    <n v="0"/>
    <n v="2"/>
    <n v="1"/>
    <n v="4"/>
    <n v="0"/>
    <n v="56"/>
    <n v="4"/>
    <n v="1"/>
    <n v="4"/>
    <n v="3094"/>
    <n v="2266"/>
    <n v="828"/>
    <n v="0.72399999999999998"/>
    <n v="1591"/>
    <n v="37"/>
    <n v="0.32100000000000001"/>
    <n v="0.73199999999999998"/>
    <n v="1.3562000000000001E-4"/>
    <n v="0.99985999999999997"/>
    <s v="7.590478148252207"/>
    <s v="57.585108578252736"/>
    <s v="127.83368647989045"/>
    <s v="2.8225282390051145"/>
    <n v="713650683"/>
    <x v="0"/>
    <n v="1.2315542E-3"/>
    <x v="0"/>
  </r>
  <r>
    <n v="41"/>
    <n v="1"/>
    <n v="5"/>
    <n v="3"/>
    <n v="1"/>
    <n v="2"/>
    <n v="0"/>
    <n v="33"/>
    <n v="5"/>
    <n v="3"/>
    <n v="3"/>
    <n v="22770"/>
    <n v="2517"/>
    <n v="20253"/>
    <n v="0.99399999999999999"/>
    <n v="1882"/>
    <n v="38"/>
    <n v="0.65200000000000002"/>
    <n v="0.111"/>
    <n v="3.0361E-4"/>
    <n v="0.99970000000000003"/>
    <s v="23.88250291227236"/>
    <n v="66.390286155819098"/>
    <s v="29.135306960079447"/>
    <n v="9.8606439650144004"/>
    <n v="719242533"/>
    <x v="0"/>
    <n v="1.1551980000000001E-3"/>
    <x v="0"/>
  </r>
  <r>
    <n v="42"/>
    <n v="0"/>
    <n v="4"/>
    <n v="0"/>
    <n v="1"/>
    <n v="4"/>
    <n v="0"/>
    <n v="27"/>
    <n v="6"/>
    <n v="2"/>
    <n v="1"/>
    <n v="2043"/>
    <n v="0"/>
    <n v="2043"/>
    <n v="1.0189999999999999"/>
    <n v="5198"/>
    <n v="77"/>
    <n v="0.71099999999999997"/>
    <n v="0"/>
    <s v="6.9988e-05"/>
    <n v="0.99992999999999999"/>
    <s v="3.617168877631362"/>
    <s v="14.96629427854254"/>
    <s v="9.770567096510618"/>
    <s v="5.209726044819112"/>
    <n v="788898933"/>
    <x v="0"/>
    <n v="7.1297199999999998E-4"/>
    <x v="0"/>
  </r>
  <r>
    <n v="42"/>
    <n v="0"/>
    <n v="2"/>
    <n v="1"/>
    <n v="2"/>
    <n v="1"/>
    <n v="0"/>
    <n v="29"/>
    <n v="6"/>
    <n v="2"/>
    <n v="3"/>
    <n v="3347"/>
    <n v="2240"/>
    <n v="1107"/>
    <n v="0.89800000000000002"/>
    <n v="5533"/>
    <n v="85"/>
    <n v="0.73499999999999999"/>
    <n v="0.66900000000000004"/>
    <n v="2.7701000000000001E-4"/>
    <n v="0.99972000000000005"/>
    <s v="27.151055871110994"/>
    <s v="24.17171635433892"/>
    <s v="26.69839164556988"/>
    <s v="24.29184058998159"/>
    <n v="711533058"/>
    <x v="0"/>
    <n v="3.6984833000000002E-4"/>
    <x v="0"/>
  </r>
  <r>
    <n v="40"/>
    <n v="1"/>
    <n v="4"/>
    <n v="2"/>
    <n v="1"/>
    <n v="3"/>
    <n v="0"/>
    <n v="36"/>
    <n v="3"/>
    <n v="3"/>
    <n v="2"/>
    <n v="2165"/>
    <n v="1465"/>
    <n v="700"/>
    <n v="0.622"/>
    <n v="3672"/>
    <n v="64"/>
    <n v="0.73"/>
    <n v="0.67700000000000005"/>
    <n v="1.8864000000000001E-4"/>
    <n v="0.99980999999999998"/>
    <s v="7.668361067172031"/>
    <s v="35.18407690350511"/>
    <s v="14.290719446014702"/>
    <s v="6.586703125102519"/>
    <n v="827628408"/>
    <x v="0"/>
    <n v="3.3750320000000002E-4"/>
    <x v="0"/>
  </r>
  <r>
    <n v="59"/>
    <n v="0"/>
    <n v="2"/>
    <n v="3"/>
    <n v="1"/>
    <n v="5"/>
    <n v="0"/>
    <n v="51"/>
    <n v="3"/>
    <n v="3"/>
    <n v="3"/>
    <n v="3875"/>
    <n v="1397"/>
    <n v="2478"/>
    <n v="0.57299999999999995"/>
    <n v="2312"/>
    <n v="49"/>
    <n v="0.58099999999999996"/>
    <n v="0.36099999999999999"/>
    <n v="0.99661"/>
    <n v="3.3878799999999998E-3"/>
    <s v="2.9081267656898064"/>
    <s v="28.181407693237823"/>
    <s v="32.89231286332473"/>
    <s v="12.954310055150714"/>
    <n v="718250883"/>
    <x v="1"/>
    <n v="0.99432206000000001"/>
    <x v="1"/>
  </r>
  <r>
    <n v="43"/>
    <n v="0"/>
    <n v="3"/>
    <n v="5"/>
    <n v="2"/>
    <n v="5"/>
    <n v="0"/>
    <n v="32"/>
    <n v="5"/>
    <n v="1"/>
    <n v="1"/>
    <n v="1438.3"/>
    <n v="491"/>
    <n v="947.3"/>
    <n v="0.49399999999999999"/>
    <n v="5016"/>
    <n v="86"/>
    <n v="0.59299999999999997"/>
    <n v="0.34100000000000003"/>
    <s v="3.5437e-05"/>
    <n v="0.99995999999999996"/>
    <s v="12.558824045452145"/>
    <s v="15.393359045588316"/>
    <s v="36.54005048819972"/>
    <s v="0.8402981307043461"/>
    <n v="710723958"/>
    <x v="0"/>
    <n v="6.6372706E-4"/>
    <x v="0"/>
  </r>
  <r>
    <n v="49"/>
    <n v="0"/>
    <n v="3"/>
    <n v="2"/>
    <n v="2"/>
    <n v="4"/>
    <n v="0"/>
    <n v="36"/>
    <n v="5"/>
    <n v="3"/>
    <n v="3"/>
    <n v="2188"/>
    <n v="1067"/>
    <n v="1121"/>
    <n v="0.61799999999999999"/>
    <n v="4537"/>
    <n v="66"/>
    <n v="0.435"/>
    <n v="0.48799999999999999"/>
    <n v="3.1389999999999999E-4"/>
    <n v="0.99968999999999997"/>
    <s v="2.157855074269693"/>
    <s v="32.177347656353966"/>
    <s v="104.91135722096232"/>
    <s v="2.2539536210765814"/>
    <n v="716370258"/>
    <x v="0"/>
    <n v="3.5747702000000001E-4"/>
    <x v="0"/>
  </r>
  <r>
    <n v="51"/>
    <n v="1"/>
    <n v="3"/>
    <n v="2"/>
    <n v="2"/>
    <n v="2"/>
    <n v="3"/>
    <n v="36"/>
    <n v="3"/>
    <n v="2"/>
    <n v="2"/>
    <n v="29663"/>
    <n v="1743"/>
    <n v="27920"/>
    <n v="0.66700000000000004"/>
    <n v="14638"/>
    <n v="93"/>
    <n v="0.72199999999999998"/>
    <n v="5.8999999999999997E-2"/>
    <n v="1.0671999999999999E-4"/>
    <n v="0.99988999999999995"/>
    <s v="8.452328449928281"/>
    <s v="35.83575830015104"/>
    <s v="5.137939886551028"/>
    <s v="20.16822952442525"/>
    <n v="715474083"/>
    <x v="0"/>
    <n v="3.8573547000000003E-4"/>
    <x v="0"/>
  </r>
  <r>
    <n v="36"/>
    <n v="1"/>
    <n v="2"/>
    <n v="3"/>
    <n v="0"/>
    <n v="1"/>
    <n v="0"/>
    <n v="36"/>
    <n v="3"/>
    <n v="3"/>
    <n v="2"/>
    <n v="2686"/>
    <n v="1733"/>
    <n v="953"/>
    <n v="0.70599999999999996"/>
    <n v="2057"/>
    <n v="53"/>
    <n v="0.71"/>
    <n v="0.64500000000000002"/>
    <n v="1.7485999999999999E-4"/>
    <n v="0.99983"/>
    <s v="2.4749663192393743"/>
    <s v="18.66781924884092"/>
    <n v="60.601342868872699"/>
    <s v="10.173104756714883"/>
    <n v="714940608"/>
    <x v="0"/>
    <n v="8.8519990000000002E-4"/>
    <x v="0"/>
  </r>
  <r>
    <n v="42"/>
    <n v="1"/>
    <n v="4"/>
    <n v="2"/>
    <n v="1"/>
    <n v="2"/>
    <n v="0"/>
    <n v="36"/>
    <n v="4"/>
    <n v="2"/>
    <n v="3"/>
    <n v="3591"/>
    <n v="1749"/>
    <n v="1842"/>
    <n v="0.73299999999999998"/>
    <n v="5079"/>
    <n v="80"/>
    <n v="0.90500000000000003"/>
    <n v="0.48699999999999999"/>
    <n v="2.0076999999999999E-4"/>
    <n v="0.99980000000000002"/>
    <s v="9.537069499775674"/>
    <s v="17.97164019309709"/>
    <s v="3.475844127570208"/>
    <s v="8.859178514869528"/>
    <n v="720782658"/>
    <x v="0"/>
    <n v="3.2101269999999999E-4"/>
    <x v="0"/>
  </r>
  <r>
    <n v="60"/>
    <n v="1"/>
    <n v="0"/>
    <n v="3"/>
    <n v="2"/>
    <n v="3"/>
    <n v="3"/>
    <n v="36"/>
    <n v="1"/>
    <n v="2"/>
    <n v="3"/>
    <n v="34516"/>
    <n v="806"/>
    <n v="33710"/>
    <n v="0.755"/>
    <n v="13434"/>
    <n v="102"/>
    <n v="0.67200000000000004"/>
    <n v="2.3E-2"/>
    <n v="1.4430000000000001E-4"/>
    <n v="0.99985999999999997"/>
    <s v="2.7297689919277386"/>
    <s v="7.909427092381922"/>
    <s v="2.0943867664134626"/>
    <s v="11.158884830100796"/>
    <n v="714928158"/>
    <x v="0"/>
    <n v="6.1317027000000002E-4"/>
    <x v="0"/>
  </r>
  <r>
    <n v="48"/>
    <n v="1"/>
    <n v="3"/>
    <n v="0"/>
    <n v="1"/>
    <n v="4"/>
    <n v="0"/>
    <n v="36"/>
    <n v="3"/>
    <n v="1"/>
    <n v="2"/>
    <n v="8795"/>
    <n v="1318"/>
    <n v="7477"/>
    <n v="0.56299999999999994"/>
    <n v="4681"/>
    <n v="74"/>
    <n v="0.68200000000000005"/>
    <n v="0.15"/>
    <s v="5.5564e-05"/>
    <n v="0.99994000000000005"/>
    <s v="23.84738664615798"/>
    <s v="97.09006781167022"/>
    <s v="39.90600004690844"/>
    <s v="9.220325625389382"/>
    <n v="771566208"/>
    <x v="0"/>
    <n v="3.2101269999999999E-4"/>
    <x v="0"/>
  </r>
  <r>
    <n v="39"/>
    <n v="0"/>
    <n v="1"/>
    <n v="2"/>
    <n v="2"/>
    <n v="4"/>
    <n v="0"/>
    <n v="26"/>
    <n v="3"/>
    <n v="3"/>
    <n v="1"/>
    <n v="1876"/>
    <n v="1536"/>
    <n v="340"/>
    <n v="0.71199999999999997"/>
    <n v="2579"/>
    <n v="47"/>
    <n v="0.46899999999999997"/>
    <n v="0.81899999999999995"/>
    <n v="0.99028000000000005"/>
    <n v="9.7199999999999995E-3"/>
    <s v="24.54704135219785"/>
    <s v="23.30925253983601"/>
    <s v="100.95086605323688"/>
    <s v="7.572268227707569"/>
    <n v="721448283"/>
    <x v="1"/>
    <n v="0.99585044"/>
    <x v="1"/>
  </r>
  <r>
    <n v="53"/>
    <n v="0"/>
    <n v="1"/>
    <n v="1"/>
    <n v="2"/>
    <n v="4"/>
    <n v="0"/>
    <n v="48"/>
    <n v="4"/>
    <n v="3"/>
    <n v="3"/>
    <n v="2267"/>
    <n v="1469"/>
    <n v="798"/>
    <n v="0.71599999999999997"/>
    <n v="3709"/>
    <n v="64"/>
    <n v="0.68400000000000005"/>
    <n v="0.64800000000000002"/>
    <n v="4.1086999999999997E-4"/>
    <n v="0.99958999999999998"/>
    <s v="14.401274014654437"/>
    <s v="1.114765411148573"/>
    <s v="1.2598813780425844"/>
    <s v="10.221112676573942"/>
    <n v="813213558"/>
    <x v="0"/>
    <n v="3.3750320000000002E-4"/>
    <x v="0"/>
  </r>
  <r>
    <n v="45"/>
    <n v="0"/>
    <n v="4"/>
    <n v="3"/>
    <n v="1"/>
    <n v="1"/>
    <n v="0"/>
    <n v="35"/>
    <n v="6"/>
    <n v="1"/>
    <n v="0"/>
    <n v="2919"/>
    <n v="1670"/>
    <n v="1249"/>
    <n v="1.0409999999999999"/>
    <n v="4194"/>
    <n v="72"/>
    <n v="0.75600000000000001"/>
    <n v="0.57199999999999995"/>
    <s v="2.0713e-05"/>
    <n v="0.99997999999999998"/>
    <s v="31.02401757839453"/>
    <s v="37.832761138362656"/>
    <s v="38.53329367214146"/>
    <s v="2.2192315460170384"/>
    <n v="719659758"/>
    <x v="0"/>
    <n v="3.221314E-4"/>
    <x v="0"/>
  </r>
  <r>
    <n v="46"/>
    <n v="1"/>
    <n v="2"/>
    <n v="5"/>
    <n v="2"/>
    <n v="2"/>
    <n v="0"/>
    <n v="35"/>
    <n v="1"/>
    <n v="1"/>
    <n v="0"/>
    <n v="8396"/>
    <n v="604"/>
    <n v="7792"/>
    <n v="0.82699999999999996"/>
    <n v="8329"/>
    <n v="101"/>
    <n v="0.65600000000000003"/>
    <n v="7.1999999999999995E-2"/>
    <s v="2.0889e-05"/>
    <n v="0.99997999999999998"/>
    <s v="5.750113566316686"/>
    <s v="54.774232290485806"/>
    <s v="159.14867792525317"/>
    <s v="7.956016413201672"/>
    <n v="710360583"/>
    <x v="0"/>
    <n v="7.202698E-4"/>
    <x v="0"/>
  </r>
  <r>
    <n v="32"/>
    <n v="1"/>
    <n v="1"/>
    <n v="3"/>
    <n v="1"/>
    <n v="1"/>
    <n v="0"/>
    <n v="26"/>
    <n v="3"/>
    <n v="2"/>
    <n v="3"/>
    <n v="2576"/>
    <n v="1754"/>
    <n v="822"/>
    <n v="1.0269999999999999"/>
    <n v="2880"/>
    <n v="69"/>
    <n v="0.46800000000000003"/>
    <n v="0.68100000000000005"/>
    <n v="1.7468E-4"/>
    <n v="0.99983"/>
    <s v="15.097054497330726"/>
    <s v="71.27367669354851"/>
    <s v="109.53681384586451"/>
    <s v="11.79857633608592"/>
    <n v="797466033"/>
    <x v="0"/>
    <n v="3.6791386000000002E-4"/>
    <x v="0"/>
  </r>
  <r>
    <n v="51"/>
    <n v="1"/>
    <n v="3"/>
    <n v="6"/>
    <n v="2"/>
    <n v="2"/>
    <n v="3"/>
    <n v="45"/>
    <n v="3"/>
    <n v="2"/>
    <n v="4"/>
    <n v="30899"/>
    <n v="0"/>
    <n v="30899"/>
    <n v="0.502"/>
    <n v="1481"/>
    <n v="20"/>
    <n v="0.33300000000000002"/>
    <n v="0"/>
    <n v="3.3655000000000002E-4"/>
    <n v="0.99965999999999999"/>
    <s v="39.37299700498888"/>
    <n v="24.417550068774801"/>
    <s v="29.39552016158072"/>
    <s v="8.461019376281799"/>
    <n v="797234508"/>
    <x v="0"/>
    <n v="4.5874009999999996E-3"/>
    <x v="0"/>
  </r>
  <r>
    <n v="44"/>
    <n v="0"/>
    <n v="3"/>
    <n v="0"/>
    <n v="3"/>
    <n v="5"/>
    <n v="0"/>
    <n v="35"/>
    <n v="5"/>
    <n v="2"/>
    <n v="2"/>
    <n v="11238"/>
    <n v="2336"/>
    <n v="8902"/>
    <n v="0.91100000000000003"/>
    <n v="5302"/>
    <n v="70"/>
    <n v="0.89200000000000002"/>
    <n v="0.20799999999999999"/>
    <n v="1.1483E-4"/>
    <n v="0.99988999999999995"/>
    <s v="5.224431343045303"/>
    <s v="19.70035281939646"/>
    <s v="59.04596874406519"/>
    <s v="14.069969743125435"/>
    <n v="715395933"/>
    <x v="0"/>
    <n v="4.3591033E-4"/>
    <x v="0"/>
  </r>
  <r>
    <n v="42"/>
    <n v="1"/>
    <n v="4"/>
    <n v="5"/>
    <n v="1"/>
    <n v="0"/>
    <n v="0"/>
    <n v="37"/>
    <n v="3"/>
    <n v="2"/>
    <n v="4"/>
    <n v="6953"/>
    <n v="1445"/>
    <n v="5508"/>
    <n v="0.59099999999999997"/>
    <n v="3700"/>
    <n v="80"/>
    <n v="0.56899999999999995"/>
    <n v="0.20799999999999999"/>
    <n v="3.5212999999999998E-4"/>
    <n v="0.99965000000000004"/>
    <s v="45.14884176865236"/>
    <s v="13.106945204948264"/>
    <s v="7.567570208237615"/>
    <s v="10.133209046279108"/>
    <n v="712230408"/>
    <x v="0"/>
    <n v="3.2914013999999999E-4"/>
    <x v="0"/>
  </r>
  <r>
    <n v="51"/>
    <n v="0"/>
    <n v="3"/>
    <n v="3"/>
    <n v="1"/>
    <n v="4"/>
    <n v="0"/>
    <n v="36"/>
    <n v="4"/>
    <n v="2"/>
    <n v="1"/>
    <n v="3007"/>
    <n v="2517"/>
    <n v="490"/>
    <n v="0.73299999999999998"/>
    <n v="4985"/>
    <n v="84"/>
    <n v="1"/>
    <n v="0.83699999999999997"/>
    <s v="6.9242e-05"/>
    <n v="0.99992999999999999"/>
    <s v="23.96926587642946"/>
    <s v="6.867146462914013"/>
    <s v="3.895102383958001"/>
    <s v="5.289668816417703"/>
    <n v="721484283"/>
    <x v="0"/>
    <n v="3.4692350000000002E-4"/>
    <x v="0"/>
  </r>
  <r>
    <n v="44"/>
    <n v="0"/>
    <n v="3"/>
    <n v="0"/>
    <n v="3"/>
    <n v="4"/>
    <n v="0"/>
    <n v="25"/>
    <n v="6"/>
    <n v="3"/>
    <n v="2"/>
    <n v="3083"/>
    <n v="1040"/>
    <n v="2043"/>
    <n v="0.72899999999999998"/>
    <n v="4311"/>
    <n v="78"/>
    <n v="0.56000000000000005"/>
    <n v="0.33700000000000002"/>
    <n v="1.8145999999999999E-4"/>
    <n v="0.99982000000000004"/>
    <s v="32.62175844417845"/>
    <s v="39.37156150443327"/>
    <n v="9.6879226769499294"/>
    <s v="16.680355967923315"/>
    <n v="788785083"/>
    <x v="0"/>
    <n v="3.2914013999999999E-4"/>
    <x v="0"/>
  </r>
  <r>
    <n v="55"/>
    <n v="0"/>
    <n v="1"/>
    <n v="2"/>
    <n v="1"/>
    <n v="4"/>
    <n v="0"/>
    <n v="46"/>
    <n v="3"/>
    <n v="3"/>
    <n v="3"/>
    <n v="1606"/>
    <n v="0"/>
    <n v="1606"/>
    <n v="0.85499999999999998"/>
    <n v="4548"/>
    <n v="76"/>
    <n v="0.65200000000000002"/>
    <n v="0"/>
    <n v="2.8394999999999999E-4"/>
    <n v="0.99972000000000005"/>
    <s v="36.227259807001694"/>
    <s v="23.348877179812973"/>
    <s v="0.8387421530304026"/>
    <s v="11.695622205384089"/>
    <n v="711881733"/>
    <x v="0"/>
    <n v="7.1049936000000004E-4"/>
    <x v="0"/>
  </r>
  <r>
    <n v="41"/>
    <n v="1"/>
    <n v="3"/>
    <n v="3"/>
    <n v="0"/>
    <n v="2"/>
    <n v="0"/>
    <n v="32"/>
    <n v="1"/>
    <n v="2"/>
    <n v="1"/>
    <n v="4549"/>
    <n v="2109"/>
    <n v="2440"/>
    <n v="0.95299999999999996"/>
    <n v="8642"/>
    <n v="85"/>
    <n v="0.7"/>
    <n v="0.46400000000000002"/>
    <s v="6.9242e-05"/>
    <n v="0.99992999999999999"/>
    <s v="42.16901950659742"/>
    <s v="16.237642122529493"/>
    <s v="6.703100117896417"/>
    <s v="15.063674140589685"/>
    <n v="716063583"/>
    <x v="0"/>
    <n v="3.6984833000000002E-4"/>
    <x v="0"/>
  </r>
  <r>
    <n v="46"/>
    <n v="1"/>
    <n v="0"/>
    <n v="6"/>
    <n v="1"/>
    <n v="2"/>
    <n v="1"/>
    <n v="36"/>
    <n v="3"/>
    <n v="3"/>
    <n v="2"/>
    <n v="34516"/>
    <n v="1092"/>
    <n v="33424"/>
    <n v="0.73699999999999999"/>
    <n v="1409"/>
    <n v="39"/>
    <n v="0.34499999999999997"/>
    <n v="3.2000000000000001E-2"/>
    <n v="1.9547E-4"/>
    <n v="0.99980000000000002"/>
    <s v="8.035899432395901"/>
    <s v="66.02145368515544"/>
    <n v="41.569285018793003"/>
    <n v="29.535038373065099"/>
    <n v="710997183"/>
    <x v="0"/>
    <n v="1.3718942999999999E-3"/>
    <x v="0"/>
  </r>
  <r>
    <n v="49"/>
    <n v="0"/>
    <n v="2"/>
    <n v="5"/>
    <n v="1"/>
    <n v="5"/>
    <n v="0"/>
    <n v="34"/>
    <n v="6"/>
    <n v="1"/>
    <n v="3"/>
    <n v="3017"/>
    <n v="0"/>
    <n v="3017"/>
    <n v="0.70199999999999996"/>
    <n v="4389"/>
    <n v="72"/>
    <n v="0.63600000000000001"/>
    <n v="0"/>
    <s v="9.5249e-05"/>
    <n v="0.99990000000000001"/>
    <n v="35.584586663103003"/>
    <s v="18.53430667177251"/>
    <s v="119.80497290920688"/>
    <s v="2.967566095764345"/>
    <n v="720835308"/>
    <x v="0"/>
    <n v="7.1276520000000004E-4"/>
    <x v="0"/>
  </r>
  <r>
    <n v="26"/>
    <n v="0"/>
    <n v="0"/>
    <n v="3"/>
    <n v="2"/>
    <n v="5"/>
    <n v="0"/>
    <n v="13"/>
    <n v="4"/>
    <n v="3"/>
    <n v="3"/>
    <n v="3038"/>
    <n v="1460"/>
    <n v="1578"/>
    <n v="0.98"/>
    <n v="2243"/>
    <n v="38"/>
    <n v="0.46200000000000002"/>
    <n v="0.48099999999999998"/>
    <n v="2.5237000000000002E-4"/>
    <n v="0.99975000000000003"/>
    <s v="78.80130899944155"/>
    <s v="53.46635031292405"/>
    <s v="85.95640285059038"/>
    <s v="9.112789763522668"/>
    <n v="779465358"/>
    <x v="0"/>
    <n v="1.4998564000000001E-3"/>
    <x v="0"/>
  </r>
  <r>
    <n v="46"/>
    <n v="0"/>
    <n v="4"/>
    <n v="5"/>
    <n v="1"/>
    <n v="4"/>
    <n v="0"/>
    <n v="36"/>
    <n v="4"/>
    <n v="2"/>
    <n v="2"/>
    <n v="6370"/>
    <n v="0"/>
    <n v="6370"/>
    <n v="0.85499999999999998"/>
    <n v="1783"/>
    <n v="40"/>
    <n v="0.66700000000000004"/>
    <n v="0"/>
    <n v="1.2274000000000001E-4"/>
    <n v="0.99987999999999999"/>
    <s v="3.7784062153807794"/>
    <s v="8.664060588385693"/>
    <s v="87.19662896693404"/>
    <s v="5.346044305504938"/>
    <n v="719737833"/>
    <x v="0"/>
    <n v="3.7707960999999999E-3"/>
    <x v="0"/>
  </r>
  <r>
    <n v="44"/>
    <n v="0"/>
    <n v="4"/>
    <n v="2"/>
    <n v="3"/>
    <n v="4"/>
    <n v="0"/>
    <n v="39"/>
    <n v="1"/>
    <n v="4"/>
    <n v="2"/>
    <n v="3017"/>
    <n v="1868"/>
    <n v="1149"/>
    <n v="0.72199999999999998"/>
    <n v="2096"/>
    <n v="50"/>
    <n v="0.47099999999999997"/>
    <n v="0.61899999999999999"/>
    <n v="0.99563000000000001"/>
    <n v="4.36631E-3"/>
    <s v="2.8413266499055627"/>
    <s v="24.77641158198328"/>
    <n v="4.3450279516763501"/>
    <s v="14.32875087158062"/>
    <n v="820047858"/>
    <x v="1"/>
    <n v="0.99556385999999997"/>
    <x v="1"/>
  </r>
  <r>
    <n v="39"/>
    <n v="0"/>
    <n v="1"/>
    <n v="6"/>
    <n v="1"/>
    <n v="1"/>
    <n v="0"/>
    <n v="36"/>
    <n v="2"/>
    <n v="1"/>
    <n v="3"/>
    <n v="10830"/>
    <n v="2184"/>
    <n v="8646"/>
    <n v="0.90700000000000003"/>
    <n v="8814"/>
    <n v="88"/>
    <n v="0.72499999999999998"/>
    <n v="0.20200000000000001"/>
    <s v="9.5577e-05"/>
    <n v="0.99990000000000001"/>
    <s v="25.234985949178864"/>
    <s v="18.020647631529812"/>
    <s v="12.76729754212968"/>
    <s v="11.043611634380644"/>
    <n v="719677758"/>
    <x v="0"/>
    <n v="3.8750382000000001E-4"/>
    <x v="0"/>
  </r>
  <r>
    <n v="41"/>
    <n v="1"/>
    <n v="5"/>
    <n v="6"/>
    <n v="3"/>
    <n v="3"/>
    <n v="0"/>
    <n v="29"/>
    <n v="6"/>
    <n v="2"/>
    <n v="1"/>
    <n v="11191"/>
    <n v="0"/>
    <n v="11191"/>
    <n v="0.80800000000000005"/>
    <n v="3839"/>
    <n v="73"/>
    <n v="0.78"/>
    <n v="0"/>
    <s v="7.7894e-05"/>
    <n v="0.99992000000000003"/>
    <s v="30.15990397369865"/>
    <s v="33.741568855805035"/>
    <s v="14.095320871252303"/>
    <s v="16.522714264133096"/>
    <n v="711184983"/>
    <x v="0"/>
    <n v="6.9517245999999998E-4"/>
    <x v="0"/>
  </r>
  <r>
    <n v="32"/>
    <n v="1"/>
    <n v="1"/>
    <n v="5"/>
    <n v="1"/>
    <n v="4"/>
    <n v="0"/>
    <n v="23"/>
    <n v="1"/>
    <n v="3"/>
    <n v="3"/>
    <n v="2218"/>
    <n v="1696"/>
    <n v="522"/>
    <n v="0.36699999999999999"/>
    <n v="730"/>
    <n v="20"/>
    <n v="0.42899999999999999"/>
    <n v="0.76500000000000001"/>
    <n v="0.99658999999999998"/>
    <n v="3.4124899999999998E-3"/>
    <s v="3.147774521413115"/>
    <s v="34.12128859046646"/>
    <s v="25.789576459906822"/>
    <s v="9.210207578413364"/>
    <n v="709164408"/>
    <x v="1"/>
    <n v="0.99598819999999999"/>
    <x v="1"/>
  </r>
  <r>
    <n v="35"/>
    <n v="1"/>
    <n v="2"/>
    <n v="3"/>
    <n v="2"/>
    <n v="1"/>
    <n v="0"/>
    <n v="36"/>
    <n v="5"/>
    <n v="3"/>
    <n v="4"/>
    <n v="2100"/>
    <n v="950"/>
    <n v="1150"/>
    <n v="0.76400000000000001"/>
    <n v="2623"/>
    <n v="74"/>
    <n v="1.1140000000000001"/>
    <n v="0.45200000000000001"/>
    <n v="5.0162999999999998E-4"/>
    <n v="0.99950000000000006"/>
    <s v="12.357429572875546"/>
    <s v="9.573477879375355"/>
    <s v="103.11544681747486"/>
    <s v="4.934831173549644"/>
    <n v="720917808"/>
    <x v="0"/>
    <n v="4.8570946000000003E-4"/>
    <x v="0"/>
  </r>
  <r>
    <n v="45"/>
    <n v="0"/>
    <n v="3"/>
    <n v="5"/>
    <n v="0"/>
    <n v="1"/>
    <n v="0"/>
    <n v="36"/>
    <n v="3"/>
    <n v="2"/>
    <n v="4"/>
    <n v="4209"/>
    <n v="1300"/>
    <n v="2909"/>
    <n v="0.75"/>
    <n v="16078"/>
    <n v="105"/>
    <n v="0.61499999999999999"/>
    <n v="0.309"/>
    <n v="3.4841000000000001E-4"/>
    <n v="0.99965000000000004"/>
    <s v="11.783404750667904"/>
    <s v="15.702827547546184"/>
    <n v="43.869303728840798"/>
    <s v="25.25503893965886"/>
    <n v="710939283"/>
    <x v="0"/>
    <n v="3.5533762999999998E-4"/>
    <x v="0"/>
  </r>
  <r>
    <n v="60"/>
    <n v="1"/>
    <n v="0"/>
    <n v="4"/>
    <n v="1"/>
    <n v="2"/>
    <n v="0"/>
    <n v="49"/>
    <n v="5"/>
    <n v="1"/>
    <n v="4"/>
    <n v="3182"/>
    <n v="1928"/>
    <n v="1254"/>
    <n v="0.50900000000000001"/>
    <n v="1233"/>
    <n v="35"/>
    <n v="0.4"/>
    <n v="0.60599999999999998"/>
    <n v="1.5957999999999999E-4"/>
    <n v="0.99983999999999995"/>
    <s v="46.180810154974274"/>
    <s v="38.941484576200885"/>
    <s v="23.42634786570275"/>
    <s v="34.25551958733892"/>
    <n v="713983308"/>
    <x v="0"/>
    <n v="1.1982243E-3"/>
    <x v="0"/>
  </r>
  <r>
    <n v="48"/>
    <n v="1"/>
    <n v="3"/>
    <n v="3"/>
    <n v="3"/>
    <n v="3"/>
    <n v="0"/>
    <n v="36"/>
    <n v="3"/>
    <n v="1"/>
    <n v="3"/>
    <n v="7633"/>
    <n v="1707"/>
    <n v="5926"/>
    <n v="0.52900000000000003"/>
    <n v="1807"/>
    <n v="58"/>
    <n v="0.65700000000000003"/>
    <n v="0.224"/>
    <s v="9.3448e-05"/>
    <n v="0.99990999999999997"/>
    <n v="0.89206970170351896"/>
    <s v="148.65583410728777"/>
    <s v="21.98508141621749"/>
    <s v="9.957702912869903"/>
    <n v="709716258"/>
    <x v="0"/>
    <n v="4.4416414999999998E-4"/>
    <x v="0"/>
  </r>
  <r>
    <n v="49"/>
    <n v="1"/>
    <n v="4"/>
    <n v="5"/>
    <n v="3"/>
    <n v="2"/>
    <n v="3"/>
    <n v="44"/>
    <n v="6"/>
    <n v="3"/>
    <n v="2"/>
    <n v="32244"/>
    <n v="0"/>
    <n v="32244"/>
    <n v="0.64700000000000002"/>
    <n v="3501"/>
    <n v="65"/>
    <n v="0.75700000000000001"/>
    <n v="0"/>
    <n v="1.7526E-4"/>
    <n v="0.99982000000000004"/>
    <s v="30.189285251629716"/>
    <s v="20.662753882248868"/>
    <s v="51.97119335002948"/>
    <s v="7.867526760649372"/>
    <n v="811989858"/>
    <x v="0"/>
    <n v="7.6807226000000001E-4"/>
    <x v="0"/>
  </r>
  <r>
    <n v="36"/>
    <n v="1"/>
    <n v="2"/>
    <n v="3"/>
    <n v="1"/>
    <n v="3"/>
    <n v="0"/>
    <n v="26"/>
    <n v="4"/>
    <n v="2"/>
    <n v="4"/>
    <n v="15982"/>
    <n v="1691"/>
    <n v="14291"/>
    <n v="0.80800000000000005"/>
    <n v="1687"/>
    <n v="40"/>
    <n v="0.73899999999999999"/>
    <n v="0.106"/>
    <n v="3.1745999999999999E-4"/>
    <n v="0.99968000000000001"/>
    <s v="37.00672804929537"/>
    <s v="38.60567177906811"/>
    <n v="2.75288610274866"/>
    <s v="1.0276049756498828"/>
    <n v="712338033"/>
    <x v="0"/>
    <n v="1.0337284E-3"/>
    <x v="0"/>
  </r>
  <r>
    <n v="38"/>
    <n v="0"/>
    <n v="1"/>
    <n v="3"/>
    <n v="1"/>
    <n v="1"/>
    <n v="0"/>
    <n v="19"/>
    <n v="1"/>
    <n v="1"/>
    <n v="2"/>
    <n v="5559"/>
    <n v="1600"/>
    <n v="3959"/>
    <n v="0.71599999999999997"/>
    <n v="5344"/>
    <n v="82"/>
    <n v="0.86399999999999999"/>
    <n v="0.28799999999999998"/>
    <s v="5.0256e-05"/>
    <n v="0.99995000000000001"/>
    <s v="21.068508976508703"/>
    <s v="2.0843885700553346"/>
    <n v="6.53486428973605"/>
    <s v="6.672300648886761"/>
    <n v="716685033"/>
    <x v="0"/>
    <n v="3.6588970000000001E-4"/>
    <x v="0"/>
  </r>
  <r>
    <n v="54"/>
    <n v="1"/>
    <n v="1"/>
    <n v="3"/>
    <n v="1"/>
    <n v="0"/>
    <n v="0"/>
    <n v="42"/>
    <n v="5"/>
    <n v="3"/>
    <n v="3"/>
    <n v="3251"/>
    <n v="1919"/>
    <n v="1332"/>
    <n v="0.56000000000000005"/>
    <n v="1406"/>
    <n v="31"/>
    <n v="0.24"/>
    <n v="0.59"/>
    <n v="2.7604000000000002E-4"/>
    <n v="0.99972000000000005"/>
    <s v="39.19855247489514"/>
    <s v="7.649589196366376"/>
    <s v="8.853632864243455"/>
    <s v="30.610888539249373"/>
    <n v="721502958"/>
    <x v="0"/>
    <n v="1.1982243E-3"/>
    <x v="0"/>
  </r>
  <r>
    <n v="57"/>
    <n v="0"/>
    <n v="2"/>
    <n v="0"/>
    <n v="2"/>
    <n v="4"/>
    <n v="0"/>
    <n v="49"/>
    <n v="4"/>
    <n v="2"/>
    <n v="2"/>
    <n v="1857"/>
    <n v="1528"/>
    <n v="329"/>
    <n v="0.69799999999999995"/>
    <n v="4681"/>
    <n v="71"/>
    <n v="0.86799999999999999"/>
    <n v="0.82299999999999995"/>
    <n v="1.1066E-4"/>
    <n v="0.99988999999999995"/>
    <s v="23.10953978687317"/>
    <s v="20.399754324488995"/>
    <s v="33.009088513953714"/>
    <s v="7.155965347243055"/>
    <n v="716246733"/>
    <x v="0"/>
    <n v="3.2101269999999999E-4"/>
    <x v="0"/>
  </r>
  <r>
    <n v="43"/>
    <n v="0"/>
    <n v="3"/>
    <n v="3"/>
    <n v="3"/>
    <n v="4"/>
    <n v="0"/>
    <n v="36"/>
    <n v="6"/>
    <n v="2"/>
    <n v="3"/>
    <n v="2242"/>
    <n v="0"/>
    <n v="2242"/>
    <n v="0.65800000000000003"/>
    <n v="4845"/>
    <n v="66"/>
    <n v="0.94099999999999995"/>
    <n v="0"/>
    <n v="1.9311E-4"/>
    <n v="0.99980999999999998"/>
    <s v="13.49568139529319"/>
    <s v="96.96095884361344"/>
    <s v="141.6701441976223"/>
    <s v="14.496080834633707"/>
    <n v="711459483"/>
    <x v="0"/>
    <n v="7.4965424999999997E-4"/>
    <x v="0"/>
  </r>
  <r>
    <n v="55"/>
    <n v="0"/>
    <n v="5"/>
    <n v="3"/>
    <n v="2"/>
    <n v="4"/>
    <n v="0"/>
    <n v="49"/>
    <n v="6"/>
    <n v="2"/>
    <n v="1"/>
    <n v="2177"/>
    <n v="1472"/>
    <n v="705"/>
    <n v="0.78700000000000003"/>
    <n v="5228"/>
    <n v="77"/>
    <n v="0.67400000000000004"/>
    <n v="0.67600000000000005"/>
    <s v="6.889e-05"/>
    <n v="0.99992999999999999"/>
    <s v="1.0251894073598586"/>
    <n v="8.1290094600412495"/>
    <s v="40.33624638212204"/>
    <s v="1.4410736019820318"/>
    <n v="769100508"/>
    <x v="0"/>
    <n v="3.2101269999999999E-4"/>
    <x v="0"/>
  </r>
  <r>
    <n v="53"/>
    <n v="1"/>
    <n v="2"/>
    <n v="6"/>
    <n v="2"/>
    <n v="2"/>
    <n v="0"/>
    <n v="43"/>
    <n v="2"/>
    <n v="2"/>
    <n v="3"/>
    <n v="5905"/>
    <n v="0"/>
    <n v="5905"/>
    <n v="0.79700000000000004"/>
    <n v="8883"/>
    <n v="83"/>
    <n v="0.72899999999999998"/>
    <n v="0"/>
    <n v="0.99526999999999999"/>
    <n v="4.7289599999999999E-3"/>
    <s v="12.039900607076182"/>
    <s v="6.657555179215405"/>
    <s v="10.307791246116702"/>
    <s v="9.066938343774408"/>
    <n v="713880633"/>
    <x v="1"/>
    <n v="0.99200250000000001"/>
    <x v="1"/>
  </r>
  <r>
    <n v="61"/>
    <n v="1"/>
    <n v="0"/>
    <n v="5"/>
    <n v="2"/>
    <n v="3"/>
    <n v="0"/>
    <n v="36"/>
    <n v="4"/>
    <n v="2"/>
    <n v="1"/>
    <n v="19354"/>
    <n v="984"/>
    <n v="18370"/>
    <n v="0.95599999999999996"/>
    <n v="1207"/>
    <n v="32"/>
    <n v="0.68400000000000005"/>
    <n v="5.0999999999999997E-2"/>
    <s v="6.0563e-05"/>
    <n v="0.99994000000000005"/>
    <n v="22.514242250778601"/>
    <s v="12.077743256845231"/>
    <s v="79.55694957868688"/>
    <s v="9.614442792093458"/>
    <n v="709671708"/>
    <x v="0"/>
    <n v="1.3025282999999999E-3"/>
    <x v="0"/>
  </r>
  <r>
    <n v="40"/>
    <n v="1"/>
    <n v="4"/>
    <n v="6"/>
    <n v="1"/>
    <n v="3"/>
    <n v="0"/>
    <n v="36"/>
    <n v="2"/>
    <n v="1"/>
    <n v="1"/>
    <n v="34516"/>
    <n v="2330"/>
    <n v="32186"/>
    <n v="0.69299999999999995"/>
    <n v="7635"/>
    <n v="75"/>
    <n v="0.66700000000000004"/>
    <n v="6.8000000000000005E-2"/>
    <s v="3.8289e-05"/>
    <n v="0.99995999999999996"/>
    <s v="17.03558279145651"/>
    <s v="7.129546472349215"/>
    <s v="62.02560060868617"/>
    <s v="5.174816563054399"/>
    <n v="720412308"/>
    <x v="0"/>
    <n v="6.2157260000000002E-4"/>
    <x v="0"/>
  </r>
  <r>
    <n v="52"/>
    <n v="0"/>
    <n v="2"/>
    <n v="3"/>
    <n v="2"/>
    <n v="4"/>
    <n v="0"/>
    <n v="36"/>
    <n v="1"/>
    <n v="2"/>
    <n v="3"/>
    <n v="3029"/>
    <n v="2267"/>
    <n v="762"/>
    <n v="0.84199999999999997"/>
    <n v="14934"/>
    <n v="113"/>
    <n v="0.82299999999999995"/>
    <n v="0.748"/>
    <n v="1.861E-4"/>
    <n v="0.99980999999999998"/>
    <s v="31.297303916214688"/>
    <s v="25.687183963407666"/>
    <s v="124.76116830033192"/>
    <s v="20.154519338604164"/>
    <n v="717556758"/>
    <x v="0"/>
    <n v="3.4656386999999997E-4"/>
    <x v="0"/>
  </r>
  <r>
    <n v="50"/>
    <n v="1"/>
    <n v="1"/>
    <n v="3"/>
    <n v="1"/>
    <n v="3"/>
    <n v="0"/>
    <n v="39"/>
    <n v="3"/>
    <n v="3"/>
    <n v="2"/>
    <n v="5384"/>
    <n v="1396"/>
    <n v="3988"/>
    <n v="0.75600000000000001"/>
    <n v="4338"/>
    <n v="75"/>
    <n v="0.82899999999999996"/>
    <n v="0.25900000000000001"/>
    <n v="1.6412999999999999E-4"/>
    <n v="0.99983999999999995"/>
    <s v="33.74336845741582"/>
    <n v="33.997218312066799"/>
    <s v="59.57979749376376"/>
    <s v="4.863465777683856"/>
    <n v="772111083"/>
    <x v="0"/>
    <n v="3.2101269999999999E-4"/>
    <x v="0"/>
  </r>
  <r>
    <n v="52"/>
    <n v="1"/>
    <n v="2"/>
    <n v="5"/>
    <n v="1"/>
    <n v="0"/>
    <n v="3"/>
    <n v="43"/>
    <n v="1"/>
    <n v="2"/>
    <n v="2"/>
    <n v="34516"/>
    <n v="1588"/>
    <n v="32928"/>
    <n v="0.745"/>
    <n v="7512"/>
    <n v="81"/>
    <n v="0.68799999999999994"/>
    <n v="4.5999999999999999E-2"/>
    <n v="1.0574E-4"/>
    <n v="0.99988999999999995"/>
    <s v="54.39471072504463"/>
    <s v="1.331682042654864"/>
    <s v="48.18500191395096"/>
    <s v="4.1313819506711065"/>
    <n v="773988708"/>
    <x v="0"/>
    <n v="5.6200559999999996E-4"/>
    <x v="0"/>
  </r>
  <r>
    <n v="42"/>
    <n v="0"/>
    <n v="1"/>
    <n v="2"/>
    <n v="1"/>
    <n v="4"/>
    <n v="0"/>
    <n v="29"/>
    <n v="2"/>
    <n v="3"/>
    <n v="3"/>
    <n v="3422"/>
    <n v="0"/>
    <n v="3422"/>
    <n v="0.50600000000000001"/>
    <n v="4486"/>
    <n v="74"/>
    <n v="0.68200000000000005"/>
    <n v="0"/>
    <n v="2.8394999999999999E-4"/>
    <n v="0.99972000000000005"/>
    <s v="24.785365390096874"/>
    <s v="60.966380502289006"/>
    <n v="77.967482306089707"/>
    <s v="16.203294817514987"/>
    <n v="719028783"/>
    <x v="0"/>
    <n v="6.9517245999999998E-4"/>
    <x v="0"/>
  </r>
  <r>
    <n v="53"/>
    <n v="0"/>
    <n v="3"/>
    <n v="4"/>
    <n v="1"/>
    <n v="4"/>
    <n v="0"/>
    <n v="43"/>
    <n v="4"/>
    <n v="3"/>
    <n v="4"/>
    <n v="1438.3"/>
    <n v="0"/>
    <n v="1438.3"/>
    <n v="0.93899999999999995"/>
    <n v="4075"/>
    <n v="71"/>
    <n v="0.61399999999999999"/>
    <n v="0"/>
    <n v="6.2998000000000004E-4"/>
    <n v="0.99936999999999998"/>
    <s v="23.568525179849612"/>
    <s v="63.46037526929595"/>
    <s v="82.47508845017568"/>
    <s v="20.734583739450763"/>
    <n v="709779258"/>
    <x v="0"/>
    <n v="8.3656405000000005E-4"/>
    <x v="0"/>
  </r>
  <r>
    <n v="43"/>
    <n v="0"/>
    <n v="3"/>
    <n v="0"/>
    <n v="2"/>
    <n v="4"/>
    <n v="0"/>
    <n v="32"/>
    <n v="5"/>
    <n v="3"/>
    <n v="3"/>
    <n v="4204"/>
    <n v="0"/>
    <n v="4204"/>
    <n v="1.073"/>
    <n v="3799"/>
    <n v="85"/>
    <n v="0.60399999999999998"/>
    <n v="0"/>
    <n v="3.0519E-4"/>
    <n v="0.99968999999999997"/>
    <s v="40.87240925357233"/>
    <s v="110.43270469484293"/>
    <s v="27.553942514014405"/>
    <s v="2.298933155982905"/>
    <n v="718961208"/>
    <x v="0"/>
    <n v="7.6589819999999995E-4"/>
    <x v="0"/>
  </r>
  <r>
    <n v="45"/>
    <n v="1"/>
    <n v="4"/>
    <n v="2"/>
    <n v="2"/>
    <n v="0"/>
    <n v="2"/>
    <n v="34"/>
    <n v="2"/>
    <n v="2"/>
    <n v="1"/>
    <n v="34516"/>
    <n v="1488"/>
    <n v="33028"/>
    <n v="0.73199999999999998"/>
    <n v="7281"/>
    <n v="95"/>
    <n v="0.53200000000000003"/>
    <n v="4.2999999999999997E-2"/>
    <n v="1.2506E-4"/>
    <n v="0.99987000000000004"/>
    <s v="56.46980883496991"/>
    <s v="45.12354819803447"/>
    <s v="31.31282120852228"/>
    <s v="6.944438402279101"/>
    <n v="709269708"/>
    <x v="0"/>
    <n v="4.2060707000000003E-4"/>
    <x v="0"/>
  </r>
  <r>
    <n v="53"/>
    <n v="1"/>
    <n v="4"/>
    <n v="2"/>
    <n v="1"/>
    <n v="0"/>
    <n v="0"/>
    <n v="40"/>
    <n v="1"/>
    <n v="1"/>
    <n v="3"/>
    <n v="6383"/>
    <n v="1512"/>
    <n v="4871"/>
    <n v="0.55800000000000005"/>
    <n v="4985"/>
    <n v="87"/>
    <n v="0.77600000000000002"/>
    <n v="0.23699999999999999"/>
    <s v="9.7154e-05"/>
    <n v="0.99990000000000001"/>
    <s v="16.862221086212365"/>
    <s v="18.143506418574862"/>
    <s v="110.1061261258867"/>
    <s v="14.106494651761947"/>
    <n v="709790058"/>
    <x v="0"/>
    <n v="3.2101269999999999E-4"/>
    <x v="0"/>
  </r>
  <r>
    <n v="55"/>
    <n v="1"/>
    <n v="2"/>
    <n v="5"/>
    <n v="2"/>
    <n v="2"/>
    <n v="0"/>
    <n v="48"/>
    <n v="6"/>
    <n v="3"/>
    <n v="2"/>
    <n v="7667"/>
    <n v="1193"/>
    <n v="6474"/>
    <n v="1.101"/>
    <n v="3915"/>
    <n v="76"/>
    <n v="0.61699999999999999"/>
    <n v="0.156"/>
    <n v="1.8494E-4"/>
    <n v="0.99982000000000004"/>
    <s v="6.210424556031802"/>
    <s v="0.4597553639940453"/>
    <s v="82.91643281104734"/>
    <s v="6.471818187084645"/>
    <n v="801989733"/>
    <x v="0"/>
    <n v="3.4605444000000002E-4"/>
    <x v="0"/>
  </r>
  <r>
    <n v="48"/>
    <n v="1"/>
    <n v="5"/>
    <n v="2"/>
    <n v="2"/>
    <n v="1"/>
    <n v="0"/>
    <n v="38"/>
    <n v="2"/>
    <n v="3"/>
    <n v="3"/>
    <n v="4446"/>
    <n v="0"/>
    <n v="4446"/>
    <n v="0.96299999999999997"/>
    <n v="8753"/>
    <n v="76"/>
    <n v="0.94899999999999995"/>
    <n v="0"/>
    <n v="0.99680999999999997"/>
    <n v="3.1907200000000002E-3"/>
    <s v="18.390769118575456"/>
    <s v="0.9129247732686744"/>
    <s v="24.59217077168732"/>
    <s v="2.540894416709282"/>
    <n v="715714458"/>
    <x v="1"/>
    <n v="0.99507409999999996"/>
    <x v="1"/>
  </r>
  <r>
    <n v="47"/>
    <n v="1"/>
    <n v="3"/>
    <n v="5"/>
    <n v="1"/>
    <n v="1"/>
    <n v="0"/>
    <n v="29"/>
    <n v="1"/>
    <n v="2"/>
    <n v="4"/>
    <n v="1684"/>
    <n v="644"/>
    <n v="1040"/>
    <n v="0.72299999999999998"/>
    <n v="2164"/>
    <n v="36"/>
    <n v="0.71399999999999997"/>
    <n v="0.38200000000000001"/>
    <n v="0.99714000000000003"/>
    <n v="2.86097E-3"/>
    <s v="14.891006061652192"/>
    <n v="0.89039849938087601"/>
    <s v="25.818919184295996"/>
    <s v="25.23726646253673"/>
    <n v="712163433"/>
    <x v="1"/>
    <n v="0.99730264999999996"/>
    <x v="1"/>
  </r>
  <r>
    <n v="54"/>
    <n v="1"/>
    <n v="0"/>
    <n v="3"/>
    <n v="2"/>
    <n v="3"/>
    <n v="0"/>
    <n v="45"/>
    <n v="1"/>
    <n v="3"/>
    <n v="2"/>
    <n v="20882"/>
    <n v="1525"/>
    <n v="19357"/>
    <n v="0.82799999999999996"/>
    <n v="4765"/>
    <n v="76"/>
    <n v="0.76700000000000002"/>
    <n v="7.2999999999999995E-2"/>
    <n v="1.5004999999999999E-4"/>
    <n v="0.99985000000000002"/>
    <s v="10.058683695714835"/>
    <s v="23.37805784589736"/>
    <s v="1.5128732049777494"/>
    <s v="3.0807733932476347"/>
    <n v="712559058"/>
    <x v="0"/>
    <n v="3.5729867999999997E-4"/>
    <x v="0"/>
  </r>
  <r>
    <n v="55"/>
    <n v="0"/>
    <n v="2"/>
    <n v="0"/>
    <n v="2"/>
    <n v="4"/>
    <n v="0"/>
    <n v="36"/>
    <n v="4"/>
    <n v="1"/>
    <n v="3"/>
    <n v="3123"/>
    <n v="0"/>
    <n v="3123"/>
    <n v="0.51300000000000001"/>
    <n v="4424"/>
    <n v="81"/>
    <n v="0.72299999999999998"/>
    <n v="0"/>
    <s v="9.0064e-05"/>
    <n v="0.99990999999999997"/>
    <s v="48.202110119148784"/>
    <s v="9.488239556154973"/>
    <s v="48.09121458211079"/>
    <s v="5.475432539316892"/>
    <n v="718478883"/>
    <x v="0"/>
    <n v="6.9517245999999998E-4"/>
    <x v="0"/>
  </r>
  <r>
    <n v="53"/>
    <n v="0"/>
    <n v="1"/>
    <n v="5"/>
    <n v="2"/>
    <n v="4"/>
    <n v="0"/>
    <n v="43"/>
    <n v="6"/>
    <n v="2"/>
    <n v="3"/>
    <n v="2126"/>
    <n v="1257"/>
    <n v="869"/>
    <n v="0.63200000000000001"/>
    <n v="4340"/>
    <n v="70"/>
    <n v="0.89200000000000002"/>
    <n v="0.59099999999999997"/>
    <n v="1.8474999999999999E-4"/>
    <n v="0.99982000000000004"/>
    <s v="15.708612671109831"/>
    <s v="16.52695013899098"/>
    <s v="45.909824124632095"/>
    <s v="18.85566854512525"/>
    <n v="720398958"/>
    <x v="0"/>
    <n v="3.2101269999999999E-4"/>
    <x v="0"/>
  </r>
  <r>
    <n v="52"/>
    <n v="1"/>
    <n v="3"/>
    <n v="6"/>
    <n v="2"/>
    <n v="3"/>
    <n v="0"/>
    <n v="42"/>
    <n v="3"/>
    <n v="3"/>
    <n v="3"/>
    <n v="27514"/>
    <n v="1834"/>
    <n v="25680"/>
    <n v="0.76900000000000002"/>
    <n v="12841"/>
    <n v="100"/>
    <n v="0.78600000000000003"/>
    <n v="6.7000000000000004E-2"/>
    <n v="3.4503000000000002E-4"/>
    <n v="0.99965000000000004"/>
    <s v="6.821321453774139"/>
    <s v="20.389470327606663"/>
    <s v="91.56081666240834"/>
    <s v="9.431495225243124"/>
    <n v="715989108"/>
    <x v="0"/>
    <n v="3.8573547000000003E-4"/>
    <x v="0"/>
  </r>
  <r>
    <n v="47"/>
    <n v="0"/>
    <n v="3"/>
    <n v="3"/>
    <n v="1"/>
    <n v="5"/>
    <n v="0"/>
    <n v="43"/>
    <n v="4"/>
    <n v="3"/>
    <n v="2"/>
    <n v="13473"/>
    <n v="1335"/>
    <n v="12138"/>
    <n v="0.81399999999999995"/>
    <n v="1593"/>
    <n v="46"/>
    <n v="0.48399999999999999"/>
    <n v="9.9000000000000005E-2"/>
    <n v="1.8144999999999999E-4"/>
    <n v="0.99982000000000004"/>
    <s v="38.95933895512353"/>
    <s v="8.720688882943447"/>
    <s v="46.33415870627376"/>
    <s v="9.986998192416982"/>
    <n v="827360883"/>
    <x v="0"/>
    <n v="1.1982243E-3"/>
    <x v="0"/>
  </r>
  <r>
    <n v="48"/>
    <n v="0"/>
    <n v="3"/>
    <n v="5"/>
    <n v="2"/>
    <n v="4"/>
    <n v="0"/>
    <n v="36"/>
    <n v="3"/>
    <n v="3"/>
    <n v="3"/>
    <n v="1438.3"/>
    <n v="965"/>
    <n v="473.3"/>
    <n v="0.54400000000000004"/>
    <n v="4182"/>
    <n v="81"/>
    <n v="0.72299999999999998"/>
    <n v="0.67100000000000004"/>
    <n v="3.2275000000000001E-4"/>
    <n v="0.99968000000000001"/>
    <n v="28.233777410062601"/>
    <s v="7.049985562477014"/>
    <n v="55.009196903436298"/>
    <s v="15.22673561715267"/>
    <n v="714961383"/>
    <x v="0"/>
    <n v="3.9522952000000002E-4"/>
    <x v="0"/>
  </r>
  <r>
    <n v="43"/>
    <n v="1"/>
    <n v="4"/>
    <n v="2"/>
    <n v="2"/>
    <n v="0"/>
    <n v="0"/>
    <n v="36"/>
    <n v="1"/>
    <n v="3"/>
    <n v="4"/>
    <n v="33384"/>
    <n v="0"/>
    <n v="33384"/>
    <n v="0.63100000000000001"/>
    <n v="2066"/>
    <n v="46"/>
    <n v="0.76900000000000002"/>
    <n v="0"/>
    <n v="0.99816000000000005"/>
    <n v="1.84351E-3"/>
    <s v="45.33289359407504"/>
    <s v="14.111774401728916"/>
    <s v="40.98249850791938"/>
    <s v="8.426669229673944"/>
    <n v="711012783"/>
    <x v="1"/>
    <n v="0.99808806000000005"/>
    <x v="1"/>
  </r>
  <r>
    <n v="62"/>
    <n v="0"/>
    <n v="1"/>
    <n v="5"/>
    <n v="3"/>
    <n v="4"/>
    <n v="3"/>
    <n v="36"/>
    <n v="6"/>
    <n v="1"/>
    <n v="3"/>
    <n v="12590"/>
    <n v="931"/>
    <n v="11659"/>
    <n v="1.0680000000000001"/>
    <n v="4182"/>
    <n v="78"/>
    <n v="0.69599999999999995"/>
    <n v="7.3999999999999996E-2"/>
    <s v="8.0782e-05"/>
    <n v="0.99992000000000003"/>
    <s v="33.35560865938252"/>
    <s v="8.016430780901846"/>
    <s v="44.10134113442829"/>
    <s v="8.330837584518928"/>
    <n v="716705433"/>
    <x v="0"/>
    <n v="4.4980872E-4"/>
    <x v="0"/>
  </r>
  <r>
    <n v="65"/>
    <n v="0"/>
    <n v="0"/>
    <n v="3"/>
    <n v="1"/>
    <n v="4"/>
    <n v="0"/>
    <n v="36"/>
    <n v="3"/>
    <n v="2"/>
    <n v="2"/>
    <n v="2798"/>
    <n v="1806"/>
    <n v="992"/>
    <n v="0.76500000000000001"/>
    <n v="1543"/>
    <n v="35"/>
    <n v="0.59099999999999997"/>
    <n v="0.64500000000000002"/>
    <s v="9.4951e-05"/>
    <n v="0.99990999999999997"/>
    <s v="27.58412837938221"/>
    <s v="35.46468993524908"/>
    <s v="136.21217951525222"/>
    <n v="11.810902189391699"/>
    <n v="717206508"/>
    <x v="0"/>
    <n v="1.0903810999999999E-3"/>
    <x v="0"/>
  </r>
  <r>
    <n v="42"/>
    <n v="0"/>
    <n v="4"/>
    <n v="5"/>
    <n v="1"/>
    <n v="4"/>
    <n v="0"/>
    <n v="23"/>
    <n v="3"/>
    <n v="2"/>
    <n v="3"/>
    <n v="3214"/>
    <n v="0"/>
    <n v="3214"/>
    <n v="0.435"/>
    <n v="2119"/>
    <n v="44"/>
    <n v="0.51700000000000002"/>
    <n v="0"/>
    <n v="0.99517999999999995"/>
    <n v="4.8199899999999997E-3"/>
    <s v="13.37735743062328"/>
    <n v="6.67564718179732"/>
    <s v="55.63450218721916"/>
    <s v="5.955284964988918"/>
    <n v="713957283"/>
    <x v="1"/>
    <n v="0.99876772999999996"/>
    <x v="1"/>
  </r>
  <r>
    <n v="43"/>
    <n v="1"/>
    <n v="4"/>
    <n v="0"/>
    <n v="1"/>
    <n v="1"/>
    <n v="0"/>
    <n v="30"/>
    <n v="1"/>
    <n v="1"/>
    <n v="2"/>
    <n v="7386"/>
    <n v="656"/>
    <n v="6730"/>
    <n v="0.88500000000000001"/>
    <n v="15691"/>
    <n v="126"/>
    <n v="0.68"/>
    <n v="8.8999999999999996E-2"/>
    <s v="5.6158e-05"/>
    <n v="0.99994000000000005"/>
    <s v="15.169894039782127"/>
    <s v="45.03324623289959"/>
    <s v="68.29271885827173"/>
    <n v="2.6602469486466802"/>
    <n v="716002458"/>
    <x v="0"/>
    <n v="6.3620880000000003E-4"/>
    <x v="0"/>
  </r>
  <r>
    <n v="60"/>
    <n v="0"/>
    <n v="1"/>
    <n v="6"/>
    <n v="2"/>
    <n v="4"/>
    <n v="0"/>
    <n v="36"/>
    <n v="1"/>
    <n v="1"/>
    <n v="3"/>
    <n v="2347"/>
    <n v="1488"/>
    <n v="859"/>
    <n v="0.621"/>
    <n v="3977"/>
    <n v="83"/>
    <n v="0.88600000000000001"/>
    <n v="0.63400000000000001"/>
    <s v="9.5577e-05"/>
    <n v="0.99990000000000001"/>
    <s v="16.449679542468292"/>
    <s v="13.831887499302956"/>
    <s v="27.338841587271624"/>
    <s v="21.897935683537337"/>
    <n v="716673258"/>
    <x v="0"/>
    <n v="3.2101269999999999E-4"/>
    <x v="0"/>
  </r>
  <r>
    <n v="54"/>
    <n v="0"/>
    <n v="3"/>
    <n v="5"/>
    <n v="2"/>
    <n v="4"/>
    <n v="0"/>
    <n v="47"/>
    <n v="3"/>
    <n v="3"/>
    <n v="3"/>
    <n v="7477"/>
    <n v="1960"/>
    <n v="5517"/>
    <n v="1.008"/>
    <n v="3618"/>
    <n v="76"/>
    <n v="0.58299999999999996"/>
    <n v="0.26200000000000001"/>
    <n v="3.2275000000000001E-4"/>
    <n v="0.99968000000000001"/>
    <s v="7.747351206094067"/>
    <s v="25.12774829490786"/>
    <s v="27.822367916651075"/>
    <s v="7.702153736453122"/>
    <n v="718317258"/>
    <x v="0"/>
    <n v="3.4605444000000002E-4"/>
    <x v="0"/>
  </r>
  <r>
    <n v="47"/>
    <n v="0"/>
    <n v="4"/>
    <n v="6"/>
    <n v="1"/>
    <n v="5"/>
    <n v="0"/>
    <n v="42"/>
    <n v="5"/>
    <n v="2"/>
    <n v="3"/>
    <n v="1882"/>
    <n v="1143"/>
    <n v="739"/>
    <n v="0.63800000000000001"/>
    <n v="4536"/>
    <n v="85"/>
    <n v="0.88900000000000001"/>
    <n v="0.60699999999999998"/>
    <n v="2.2068000000000001E-4"/>
    <n v="0.99978"/>
    <s v="16.221268638305908"/>
    <s v="54.08494177336798"/>
    <s v="93.02224491338244"/>
    <s v="1.412957709630735"/>
    <n v="720289533"/>
    <x v="0"/>
    <n v="3.2101269999999999E-4"/>
    <x v="0"/>
  </r>
  <r>
    <n v="52"/>
    <n v="0"/>
    <n v="3"/>
    <n v="2"/>
    <n v="1"/>
    <n v="4"/>
    <n v="0"/>
    <n v="47"/>
    <n v="4"/>
    <n v="4"/>
    <n v="2"/>
    <n v="2577"/>
    <n v="879"/>
    <n v="1698"/>
    <n v="0.74"/>
    <n v="5021"/>
    <n v="75"/>
    <n v="0.74399999999999999"/>
    <n v="0.34100000000000003"/>
    <n v="2.2556E-4"/>
    <n v="0.99977000000000005"/>
    <s v="1.283623615118261"/>
    <s v="29.33499794071621"/>
    <s v="90.22923327138044"/>
    <s v="16.071887245143397"/>
    <n v="818993508"/>
    <x v="0"/>
    <n v="4.2162873000000002E-4"/>
    <x v="0"/>
  </r>
  <r>
    <n v="62"/>
    <n v="0"/>
    <n v="1"/>
    <n v="3"/>
    <n v="1"/>
    <n v="4"/>
    <n v="0"/>
    <n v="54"/>
    <n v="3"/>
    <n v="3"/>
    <n v="4"/>
    <n v="2941"/>
    <n v="1173"/>
    <n v="1768"/>
    <n v="0.436"/>
    <n v="1453"/>
    <n v="27"/>
    <n v="0.35"/>
    <n v="0.39900000000000002"/>
    <n v="4.7085999999999997E-4"/>
    <n v="0.99953000000000003"/>
    <s v="19.895278577097127"/>
    <s v="7.561167626410342"/>
    <s v="141.22128292830592"/>
    <s v="2.281044010929125"/>
    <n v="710251608"/>
    <x v="0"/>
    <n v="1.232702E-3"/>
    <x v="0"/>
  </r>
  <r>
    <n v="49"/>
    <n v="1"/>
    <n v="4"/>
    <n v="4"/>
    <n v="2"/>
    <n v="0"/>
    <n v="3"/>
    <n v="38"/>
    <n v="3"/>
    <n v="3"/>
    <n v="1"/>
    <n v="34516"/>
    <n v="1562"/>
    <n v="32954"/>
    <n v="0.61799999999999999"/>
    <n v="14212"/>
    <n v="100"/>
    <n v="0.66700000000000004"/>
    <n v="4.4999999999999998E-2"/>
    <n v="1.2095E-4"/>
    <n v="0.99987999999999999"/>
    <s v="3.6230645072531806"/>
    <s v="64.98738068674467"/>
    <s v="37.121768150783225"/>
    <s v="11.833711647145496"/>
    <n v="718578708"/>
    <x v="0"/>
    <n v="3.8573547000000003E-4"/>
    <x v="0"/>
  </r>
  <r>
    <n v="39"/>
    <n v="0"/>
    <n v="2"/>
    <n v="2"/>
    <n v="1"/>
    <n v="4"/>
    <n v="0"/>
    <n v="32"/>
    <n v="4"/>
    <n v="2"/>
    <n v="4"/>
    <n v="5634"/>
    <n v="2057"/>
    <n v="3577"/>
    <n v="1.399"/>
    <n v="2905"/>
    <n v="63"/>
    <n v="0.96899999999999997"/>
    <n v="0.36499999999999999"/>
    <n v="3.2655999999999999E-4"/>
    <n v="0.99966999999999995"/>
    <s v="17.771931242871148"/>
    <s v="66.76877795572139"/>
    <n v="71.808816810080501"/>
    <s v="7.871707799704968"/>
    <n v="741344808"/>
    <x v="0"/>
    <n v="3.8314000000000002E-4"/>
    <x v="0"/>
  </r>
  <r>
    <n v="43"/>
    <n v="1"/>
    <n v="1"/>
    <n v="2"/>
    <n v="1"/>
    <n v="0"/>
    <n v="0"/>
    <n v="34"/>
    <n v="5"/>
    <n v="1"/>
    <n v="3"/>
    <n v="28612"/>
    <n v="2517"/>
    <n v="26095"/>
    <n v="0.71199999999999997"/>
    <n v="14727"/>
    <n v="105"/>
    <n v="0.64100000000000001"/>
    <n v="8.7999999999999995E-2"/>
    <s v="8.6952e-05"/>
    <n v="0.99990999999999997"/>
    <s v="11.37000112633248"/>
    <s v="72.57972687040784"/>
    <s v="209.33512760272947"/>
    <s v="3.008519422655349"/>
    <n v="719610708"/>
    <x v="0"/>
    <n v="3.9503310000000002E-4"/>
    <x v="0"/>
  </r>
  <r>
    <n v="37"/>
    <n v="1"/>
    <n v="2"/>
    <n v="2"/>
    <n v="1"/>
    <n v="4"/>
    <n v="0"/>
    <n v="36"/>
    <n v="3"/>
    <n v="3"/>
    <n v="4"/>
    <n v="2041"/>
    <n v="1687"/>
    <n v="354"/>
    <n v="0.67700000000000005"/>
    <n v="1555"/>
    <n v="45"/>
    <n v="0.55200000000000005"/>
    <n v="0.82699999999999996"/>
    <n v="5.1599999999999997E-4"/>
    <n v="0.99948000000000004"/>
    <s v="30.52948638370106"/>
    <s v="49.76717500837348"/>
    <s v="47.48959785992424"/>
    <s v="23.68666934483747"/>
    <n v="709541433"/>
    <x v="0"/>
    <n v="1.0903810999999999E-3"/>
    <x v="0"/>
  </r>
  <r>
    <n v="44"/>
    <n v="0"/>
    <n v="2"/>
    <n v="4"/>
    <n v="1"/>
    <n v="4"/>
    <n v="0"/>
    <n v="36"/>
    <n v="3"/>
    <n v="3"/>
    <n v="2"/>
    <n v="2293"/>
    <n v="1823"/>
    <n v="470"/>
    <n v="0.61699999999999999"/>
    <n v="1166"/>
    <n v="22"/>
    <n v="1.444"/>
    <n v="0.79500000000000004"/>
    <n v="2.1164999999999999E-4"/>
    <n v="0.99978999999999996"/>
    <s v="16.05652989814892"/>
    <s v="43.341493831629286"/>
    <s v="51.20108816063832"/>
    <n v="2.0159936971211301"/>
    <n v="717424458"/>
    <x v="0"/>
    <n v="1.0249399E-3"/>
    <x v="0"/>
  </r>
  <r>
    <n v="42"/>
    <n v="0"/>
    <n v="3"/>
    <n v="0"/>
    <n v="1"/>
    <n v="5"/>
    <n v="0"/>
    <n v="27"/>
    <n v="1"/>
    <n v="1"/>
    <n v="1"/>
    <n v="7226"/>
    <n v="1889"/>
    <n v="5337"/>
    <n v="0.66100000000000003"/>
    <n v="4653"/>
    <n v="71"/>
    <n v="0.61399999999999999"/>
    <n v="0.26100000000000001"/>
    <s v="3.3508e-05"/>
    <n v="0.99997000000000003"/>
    <n v="11.6937147696617"/>
    <s v="0.5870873458229033"/>
    <s v="64.02853345680006"/>
    <s v="4.777505160622669"/>
    <n v="721060083"/>
    <x v="0"/>
    <n v="3.2914013999999999E-4"/>
    <x v="0"/>
  </r>
  <r>
    <n v="49"/>
    <n v="1"/>
    <n v="1"/>
    <n v="6"/>
    <n v="2"/>
    <n v="2"/>
    <n v="0"/>
    <n v="37"/>
    <n v="1"/>
    <n v="2"/>
    <n v="2"/>
    <n v="18349"/>
    <n v="1209"/>
    <n v="17140"/>
    <n v="0.73799999999999999"/>
    <n v="16422"/>
    <n v="110"/>
    <n v="0.80300000000000005"/>
    <n v="6.6000000000000003E-2"/>
    <n v="1.1743000000000001E-4"/>
    <n v="0.99987999999999999"/>
    <s v="17.14099704397877"/>
    <s v="29.070441921613668"/>
    <s v="69.07994437372511"/>
    <s v="13.27220023578498"/>
    <n v="780604083"/>
    <x v="0"/>
    <n v="3.8573547000000003E-4"/>
    <x v="0"/>
  </r>
  <r>
    <n v="58"/>
    <n v="1"/>
    <n v="3"/>
    <n v="3"/>
    <n v="2"/>
    <n v="0"/>
    <n v="0"/>
    <n v="53"/>
    <n v="4"/>
    <n v="1"/>
    <n v="2"/>
    <n v="6103"/>
    <n v="1798"/>
    <n v="4305"/>
    <n v="0.70499999999999996"/>
    <n v="1468"/>
    <n v="34"/>
    <n v="0.61899999999999999"/>
    <n v="0.29499999999999998"/>
    <s v="5.5559e-05"/>
    <n v="0.99994000000000005"/>
    <s v="1.0232748249565675"/>
    <s v="10.988898353101144"/>
    <s v="19.72981002826074"/>
    <s v="5.935354377557957"/>
    <n v="814593858"/>
    <x v="0"/>
    <n v="1.0598798E-3"/>
    <x v="0"/>
  </r>
  <r>
    <n v="50"/>
    <n v="0"/>
    <n v="1"/>
    <n v="2"/>
    <n v="1"/>
    <n v="5"/>
    <n v="0"/>
    <n v="41"/>
    <n v="6"/>
    <n v="2"/>
    <n v="2"/>
    <n v="15641"/>
    <n v="2379"/>
    <n v="13262"/>
    <n v="0.81599999999999995"/>
    <n v="3769"/>
    <n v="76"/>
    <n v="0.61699999999999999"/>
    <n v="0.152"/>
    <n v="1.0684E-4"/>
    <n v="0.99988999999999995"/>
    <s v="5.020848071196847"/>
    <s v="69.75131923854858"/>
    <s v="44.630099462145935"/>
    <s v="24.53669502596137"/>
    <n v="718835583"/>
    <x v="0"/>
    <n v="3.2914013999999999E-4"/>
    <x v="0"/>
  </r>
  <r>
    <n v="45"/>
    <n v="1"/>
    <n v="3"/>
    <n v="2"/>
    <n v="1"/>
    <n v="3"/>
    <n v="0"/>
    <n v="40"/>
    <n v="3"/>
    <n v="3"/>
    <n v="2"/>
    <n v="3728"/>
    <n v="0"/>
    <n v="3728"/>
    <n v="0.35799999999999998"/>
    <n v="1632"/>
    <n v="42"/>
    <n v="0.44800000000000001"/>
    <n v="0"/>
    <n v="0.99467000000000005"/>
    <n v="5.3299999999999997E-3"/>
    <s v="64.25520970744405"/>
    <s v="8.145639660046765"/>
    <s v="0.7447505045761801"/>
    <s v="24.27968979011347"/>
    <n v="715371108"/>
    <x v="1"/>
    <n v="0.99860470000000001"/>
    <x v="1"/>
  </r>
  <r>
    <n v="43"/>
    <n v="0"/>
    <n v="4"/>
    <n v="3"/>
    <n v="3"/>
    <n v="4"/>
    <n v="0"/>
    <n v="36"/>
    <n v="5"/>
    <n v="2"/>
    <n v="4"/>
    <n v="2459"/>
    <n v="1127"/>
    <n v="1332"/>
    <n v="0.76500000000000001"/>
    <n v="4343"/>
    <n v="83"/>
    <n v="0.88600000000000001"/>
    <n v="0.45800000000000002"/>
    <n v="3.3293999999999999E-4"/>
    <n v="0.99966999999999995"/>
    <s v="4.175667106146067"/>
    <s v="19.860388139170905"/>
    <s v="25.97081587498288"/>
    <s v="16.986286998764268"/>
    <n v="714834258"/>
    <x v="0"/>
    <n v="3.2101269999999999E-4"/>
    <x v="0"/>
  </r>
  <r>
    <n v="59"/>
    <n v="1"/>
    <n v="2"/>
    <n v="3"/>
    <n v="1"/>
    <n v="4"/>
    <n v="0"/>
    <n v="42"/>
    <n v="3"/>
    <n v="3"/>
    <n v="5"/>
    <n v="4328"/>
    <n v="670"/>
    <n v="3658"/>
    <n v="0.39600000000000002"/>
    <n v="1580"/>
    <n v="54"/>
    <n v="0.54300000000000004"/>
    <n v="0.155"/>
    <n v="8.6777000000000002E-4"/>
    <n v="0.99912999999999996"/>
    <s v="7.414309137089545"/>
    <s v="65.51501034820778"/>
    <s v="3.976420512455221"/>
    <s v="9.242671994763638"/>
    <n v="714770808"/>
    <x v="0"/>
    <n v="6.9712940000000001E-2"/>
    <x v="0"/>
  </r>
  <r>
    <n v="34"/>
    <n v="1"/>
    <n v="3"/>
    <n v="3"/>
    <n v="3"/>
    <n v="3"/>
    <n v="3"/>
    <n v="21"/>
    <n v="1"/>
    <n v="2"/>
    <n v="3"/>
    <n v="34516"/>
    <n v="0"/>
    <n v="34516"/>
    <n v="0.79400000000000004"/>
    <n v="9177"/>
    <n v="50"/>
    <n v="1.083"/>
    <n v="0"/>
    <n v="0.99429999999999996"/>
    <n v="5.7000000000000002E-3"/>
    <n v="35.461804929089404"/>
    <s v="4.149652375893277"/>
    <s v="23.28570504696538"/>
    <s v="10.36420646523439"/>
    <n v="720353808"/>
    <x v="1"/>
    <n v="0.99756646000000004"/>
    <x v="1"/>
  </r>
  <r>
    <n v="48"/>
    <n v="0"/>
    <n v="3"/>
    <n v="3"/>
    <n v="2"/>
    <n v="4"/>
    <n v="0"/>
    <n v="40"/>
    <n v="1"/>
    <n v="3"/>
    <n v="3"/>
    <n v="3520"/>
    <n v="2149"/>
    <n v="1371"/>
    <n v="0.53900000000000003"/>
    <n v="3630"/>
    <n v="78"/>
    <n v="0.69599999999999995"/>
    <n v="0.61099999999999999"/>
    <n v="3.0516000000000001E-4"/>
    <n v="0.99968999999999997"/>
    <s v="45.18138132974632"/>
    <s v="6.109409252756945"/>
    <s v="48.92900044600907"/>
    <s v="17.52312161893425"/>
    <n v="716961033"/>
    <x v="0"/>
    <n v="3.2101269999999999E-4"/>
    <x v="0"/>
  </r>
  <r>
    <n v="38"/>
    <n v="1"/>
    <n v="3"/>
    <n v="6"/>
    <n v="3"/>
    <n v="3"/>
    <n v="0"/>
    <n v="26"/>
    <n v="6"/>
    <n v="1"/>
    <n v="3"/>
    <n v="32866"/>
    <n v="2098"/>
    <n v="30768"/>
    <n v="0.54900000000000004"/>
    <n v="3788"/>
    <n v="76"/>
    <n v="0.68899999999999995"/>
    <n v="6.4000000000000001E-2"/>
    <n v="1.0566E-4"/>
    <n v="0.99988999999999995"/>
    <s v="47.17981541699826"/>
    <s v="35.29357676022626"/>
    <s v="2.3939977116112585"/>
    <s v="3.762499114091305"/>
    <n v="712642533"/>
    <x v="0"/>
    <n v="3.5729867999999997E-4"/>
    <x v="0"/>
  </r>
  <r>
    <n v="40"/>
    <n v="1"/>
    <n v="3"/>
    <n v="2"/>
    <n v="2"/>
    <n v="3"/>
    <n v="0"/>
    <n v="34"/>
    <n v="3"/>
    <n v="3"/>
    <n v="4"/>
    <n v="22380"/>
    <n v="1220"/>
    <n v="21160"/>
    <n v="0.88400000000000001"/>
    <n v="3756"/>
    <n v="73"/>
    <n v="0.78"/>
    <n v="5.5E-2"/>
    <n v="5.3543000000000004E-4"/>
    <n v="0.99946000000000002"/>
    <s v="6.551284888401849"/>
    <s v="94.26146236487004"/>
    <s v="108.52079035840195"/>
    <s v="18.173978416396903"/>
    <n v="792272658"/>
    <x v="0"/>
    <n v="3.756586E-4"/>
    <x v="0"/>
  </r>
  <r>
    <n v="65"/>
    <n v="0"/>
    <n v="1"/>
    <n v="6"/>
    <n v="1"/>
    <n v="5"/>
    <n v="0"/>
    <n v="53"/>
    <n v="5"/>
    <n v="3"/>
    <n v="2"/>
    <n v="15965"/>
    <n v="2312"/>
    <n v="13653"/>
    <n v="0.59"/>
    <n v="1619"/>
    <n v="40"/>
    <n v="0.53800000000000003"/>
    <n v="0.14499999999999999"/>
    <n v="1.8558E-4"/>
    <n v="0.99980999999999998"/>
    <s v="20.52253578124197"/>
    <s v="5.960138561270655"/>
    <s v="16.255546485601432"/>
    <s v="26.431159331243222"/>
    <n v="708590658"/>
    <x v="0"/>
    <n v="1.0598798E-3"/>
    <x v="0"/>
  </r>
  <r>
    <n v="48"/>
    <n v="1"/>
    <n v="3"/>
    <n v="0"/>
    <n v="1"/>
    <n v="2"/>
    <n v="0"/>
    <n v="37"/>
    <n v="3"/>
    <n v="3"/>
    <n v="2"/>
    <n v="11959"/>
    <n v="1665"/>
    <n v="10294"/>
    <n v="0.67500000000000004"/>
    <n v="1191"/>
    <n v="40"/>
    <n v="0.48099999999999998"/>
    <n v="0.13900000000000001"/>
    <n v="1.8145999999999999E-4"/>
    <n v="0.99982000000000004"/>
    <s v="12.658330346580184"/>
    <s v="57.228771623103725"/>
    <s v="82.55598875864634"/>
    <s v="6.371563946625918"/>
    <n v="712650333"/>
    <x v="0"/>
    <n v="1.232702E-3"/>
    <x v="0"/>
  </r>
  <r>
    <n v="34"/>
    <n v="0"/>
    <n v="1"/>
    <n v="2"/>
    <n v="3"/>
    <n v="4"/>
    <n v="0"/>
    <n v="23"/>
    <n v="4"/>
    <n v="1"/>
    <n v="1"/>
    <n v="2207"/>
    <n v="1527"/>
    <n v="680"/>
    <n v="0.86099999999999999"/>
    <n v="4159"/>
    <n v="64"/>
    <n v="1.133"/>
    <n v="0.69199999999999995"/>
    <s v="3.1176e-05"/>
    <n v="0.99997000000000003"/>
    <s v="22.20995474185712"/>
    <s v="50.93993232076758"/>
    <s v="15.927424627291565"/>
    <s v="16.780296277811047"/>
    <n v="713564208"/>
    <x v="0"/>
    <n v="3.3750320000000002E-4"/>
    <x v="0"/>
  </r>
  <r>
    <n v="40"/>
    <n v="1"/>
    <n v="2"/>
    <n v="3"/>
    <n v="1"/>
    <n v="0"/>
    <n v="0"/>
    <n v="27"/>
    <n v="5"/>
    <n v="3"/>
    <n v="1"/>
    <n v="12248"/>
    <n v="1323"/>
    <n v="10925"/>
    <n v="0.88200000000000001"/>
    <n v="4806"/>
    <n v="91"/>
    <n v="0.89600000000000002"/>
    <n v="0.108"/>
    <n v="1.0545E-4"/>
    <n v="0.99988999999999995"/>
    <s v="38.37018229340181"/>
    <s v="1.016521811355666"/>
    <s v="52.76690370285397"/>
    <s v="16.526159005674575"/>
    <n v="709274583"/>
    <x v="0"/>
    <n v="3.2101269999999999E-4"/>
    <x v="0"/>
  </r>
  <r>
    <n v="51"/>
    <n v="1"/>
    <n v="1"/>
    <n v="2"/>
    <n v="2"/>
    <n v="2"/>
    <n v="0"/>
    <n v="39"/>
    <n v="3"/>
    <n v="3"/>
    <n v="2"/>
    <n v="8796"/>
    <n v="2517"/>
    <n v="6279"/>
    <n v="0.49199999999999999"/>
    <n v="1195"/>
    <n v="18"/>
    <n v="0.8"/>
    <n v="0.28599999999999998"/>
    <n v="1.6882999999999999E-4"/>
    <n v="0.99983"/>
    <s v="24.834338129766984"/>
    <s v="88.26305668693487"/>
    <s v="28.98461683973176"/>
    <s v="0.5390921633001257"/>
    <n v="710280558"/>
    <x v="0"/>
    <n v="1.0648312999999999E-3"/>
    <x v="0"/>
  </r>
  <r>
    <n v="46"/>
    <n v="1"/>
    <n v="4"/>
    <n v="3"/>
    <n v="1"/>
    <n v="2"/>
    <n v="0"/>
    <n v="36"/>
    <n v="1"/>
    <n v="3"/>
    <n v="2"/>
    <n v="8017"/>
    <n v="0"/>
    <n v="8017"/>
    <n v="0.55900000000000005"/>
    <n v="1657"/>
    <n v="43"/>
    <n v="0.65400000000000003"/>
    <n v="0"/>
    <n v="0.99458000000000002"/>
    <n v="5.4200000000000003E-3"/>
    <s v="28.309355589909515"/>
    <s v="107.23784386636214"/>
    <s v="31.294403473331183"/>
    <s v="4.094958346333556"/>
    <n v="716950758"/>
    <x v="1"/>
    <n v="0.99840410000000002"/>
    <x v="1"/>
  </r>
  <r>
    <n v="51"/>
    <n v="1"/>
    <n v="3"/>
    <n v="6"/>
    <n v="1"/>
    <n v="3"/>
    <n v="0"/>
    <n v="43"/>
    <n v="3"/>
    <n v="4"/>
    <n v="5"/>
    <n v="13933"/>
    <n v="1019"/>
    <n v="12914"/>
    <n v="0.875"/>
    <n v="3504"/>
    <n v="62"/>
    <n v="0.77100000000000002"/>
    <n v="7.2999999999999995E-2"/>
    <n v="1.23E-3"/>
    <n v="0.99877000000000005"/>
    <s v="24.595688837295896"/>
    <s v="50.166183770036334"/>
    <s v="20.643665492895263"/>
    <n v="8.4017713623474606"/>
    <n v="714392808"/>
    <x v="0"/>
    <n v="2.9993245000000002E-2"/>
    <x v="0"/>
  </r>
  <r>
    <n v="31"/>
    <n v="1"/>
    <n v="0"/>
    <n v="3"/>
    <n v="2"/>
    <n v="1"/>
    <n v="0"/>
    <n v="25"/>
    <n v="3"/>
    <n v="2"/>
    <n v="3"/>
    <n v="4493"/>
    <n v="1388"/>
    <n v="3105"/>
    <n v="0.79500000000000004"/>
    <n v="17744"/>
    <n v="104"/>
    <n v="0.76300000000000001"/>
    <n v="0.309"/>
    <n v="1.5970000000000001E-4"/>
    <n v="0.99983999999999995"/>
    <s v="4.408116139353783"/>
    <s v="28.26642291734077"/>
    <s v="122.15081423614669"/>
    <s v="12.912520441597492"/>
    <n v="801036033"/>
    <x v="0"/>
    <n v="3.4656386999999997E-4"/>
    <x v="0"/>
  </r>
  <r>
    <n v="64"/>
    <n v="1"/>
    <n v="0"/>
    <n v="2"/>
    <n v="1"/>
    <n v="4"/>
    <n v="0"/>
    <n v="53"/>
    <n v="3"/>
    <n v="3"/>
    <n v="4"/>
    <n v="2084"/>
    <n v="1647"/>
    <n v="437"/>
    <n v="0.66400000000000003"/>
    <n v="1597"/>
    <n v="37"/>
    <n v="0.54200000000000004"/>
    <n v="0.79"/>
    <n v="4.4282000000000002E-4"/>
    <n v="0.99956"/>
    <s v="22.76867384522497"/>
    <s v="35.108228399963934"/>
    <s v="16.72681769718119"/>
    <s v="1.3807130216164791"/>
    <n v="772202058"/>
    <x v="0"/>
    <n v="1.0903810999999999E-3"/>
    <x v="0"/>
  </r>
  <r>
    <n v="49"/>
    <n v="0"/>
    <n v="4"/>
    <n v="5"/>
    <n v="1"/>
    <n v="1"/>
    <n v="0"/>
    <n v="36"/>
    <n v="5"/>
    <n v="2"/>
    <n v="3"/>
    <n v="4167"/>
    <n v="0"/>
    <n v="4167"/>
    <n v="0.58099999999999996"/>
    <n v="7590"/>
    <n v="87"/>
    <n v="0.77600000000000002"/>
    <n v="0"/>
    <n v="0.99517999999999995"/>
    <n v="4.8199899999999997E-3"/>
    <s v="13.973731671835203"/>
    <s v="65.40180087831962"/>
    <s v="34.04899783841847"/>
    <s v="33.42495148460747"/>
    <n v="717390408"/>
    <x v="1"/>
    <n v="0.99200250000000001"/>
    <x v="1"/>
  </r>
  <r>
    <n v="56"/>
    <n v="1"/>
    <n v="1"/>
    <n v="6"/>
    <n v="1"/>
    <n v="3"/>
    <n v="0"/>
    <n v="36"/>
    <n v="6"/>
    <n v="1"/>
    <n v="3"/>
    <n v="12786"/>
    <n v="1880"/>
    <n v="10906"/>
    <n v="0.70199999999999996"/>
    <n v="1205"/>
    <n v="19"/>
    <n v="0.46200000000000002"/>
    <n v="0.14699999999999999"/>
    <s v="9.5577e-05"/>
    <n v="0.99990000000000001"/>
    <s v="54.10440330607872"/>
    <s v="80.38344098866179"/>
    <s v="88.88411480144792"/>
    <s v="1.8343300905202855"/>
    <n v="716624133"/>
    <x v="0"/>
    <n v="1.1982243E-3"/>
    <x v="0"/>
  </r>
  <r>
    <n v="47"/>
    <n v="1"/>
    <n v="3"/>
    <n v="1"/>
    <n v="0"/>
    <n v="1"/>
    <n v="0"/>
    <n v="36"/>
    <n v="4"/>
    <n v="2"/>
    <n v="3"/>
    <n v="4786"/>
    <n v="1516"/>
    <n v="3270"/>
    <n v="0.94"/>
    <n v="4973"/>
    <n v="74"/>
    <n v="0.85"/>
    <n v="0.317"/>
    <n v="2.8744000000000003E-4"/>
    <n v="0.99970999999999999"/>
    <s v="11.140575844082356"/>
    <s v="36.83975390474438"/>
    <s v="85.21791969373255"/>
    <s v="15.655746223211615"/>
    <n v="711264033"/>
    <x v="0"/>
    <n v="3.3750932000000002E-4"/>
    <x v="0"/>
  </r>
  <r>
    <n v="42"/>
    <n v="0"/>
    <n v="3"/>
    <n v="6"/>
    <n v="2"/>
    <n v="4"/>
    <n v="0"/>
    <n v="36"/>
    <n v="6"/>
    <n v="1"/>
    <n v="1"/>
    <n v="6275"/>
    <n v="0"/>
    <n v="6275"/>
    <n v="0.79"/>
    <n v="4308"/>
    <n v="75"/>
    <n v="0.78600000000000003"/>
    <n v="0"/>
    <s v="3.7884e-05"/>
    <n v="0.99995999999999996"/>
    <s v="8.858922598653646"/>
    <s v="47.85915630036306"/>
    <s v="165.5558872947647"/>
    <s v="3.2129513738912028"/>
    <n v="719373558"/>
    <x v="0"/>
    <n v="6.9517245999999998E-4"/>
    <x v="0"/>
  </r>
  <r>
    <n v="47"/>
    <n v="0"/>
    <n v="5"/>
    <n v="1"/>
    <n v="1"/>
    <n v="1"/>
    <n v="0"/>
    <n v="40"/>
    <n v="6"/>
    <n v="1"/>
    <n v="1"/>
    <n v="4748"/>
    <n v="1008"/>
    <n v="3740"/>
    <n v="0.48399999999999999"/>
    <n v="3197"/>
    <n v="70"/>
    <n v="0.70699999999999996"/>
    <n v="0.21199999999999999"/>
    <s v="4.9622e-05"/>
    <n v="0.99995000000000001"/>
    <s v="25.812766335450245"/>
    <s v="4.731921647831376"/>
    <s v="24.73412467601898"/>
    <s v="4.456408110242625"/>
    <n v="767564358"/>
    <x v="0"/>
    <n v="3.2101269999999999E-4"/>
    <x v="0"/>
  </r>
  <r>
    <n v="43"/>
    <n v="0"/>
    <n v="5"/>
    <n v="2"/>
    <n v="1"/>
    <n v="1"/>
    <n v="0"/>
    <n v="34"/>
    <n v="5"/>
    <n v="1"/>
    <n v="3"/>
    <n v="7135"/>
    <n v="1164"/>
    <n v="5971"/>
    <n v="1.127"/>
    <n v="3746"/>
    <n v="81"/>
    <n v="1.1890000000000001"/>
    <n v="0.16300000000000001"/>
    <s v="9.5638e-05"/>
    <n v="0.99990000000000001"/>
    <n v="46.289616946324799"/>
    <s v="15.542395973212546"/>
    <s v="29.15124352949492"/>
    <s v="0.1153805706352813"/>
    <n v="713060283"/>
    <x v="0"/>
    <n v="3.3750932000000002E-4"/>
    <x v="0"/>
  </r>
  <r>
    <n v="43"/>
    <n v="1"/>
    <n v="3"/>
    <n v="2"/>
    <n v="0"/>
    <n v="2"/>
    <n v="0"/>
    <n v="28"/>
    <n v="3"/>
    <n v="3"/>
    <n v="4"/>
    <n v="5479"/>
    <n v="1183"/>
    <n v="4296"/>
    <n v="0.59599999999999997"/>
    <n v="14728"/>
    <n v="126"/>
    <n v="0.90900000000000003"/>
    <n v="0.216"/>
    <n v="5.3543000000000004E-4"/>
    <n v="0.99946000000000002"/>
    <s v="31.279328029301368"/>
    <s v="15.412828159395596"/>
    <s v="16.21028124454477"/>
    <s v="7.669374570595222"/>
    <n v="780079833"/>
    <x v="0"/>
    <n v="3.4656386999999997E-4"/>
    <x v="0"/>
  </r>
  <r>
    <n v="45"/>
    <n v="0"/>
    <n v="4"/>
    <n v="1"/>
    <n v="3"/>
    <n v="5"/>
    <n v="3"/>
    <n v="39"/>
    <n v="4"/>
    <n v="1"/>
    <n v="2"/>
    <n v="34516"/>
    <n v="1298"/>
    <n v="33218"/>
    <n v="0.75700000000000001"/>
    <n v="1906"/>
    <n v="39"/>
    <n v="0.77300000000000002"/>
    <n v="3.7999999999999999E-2"/>
    <s v="7.5527e-05"/>
    <n v="0.99992000000000003"/>
    <s v="46.21669511145127"/>
    <s v="13.299983966007543"/>
    <s v="40.51642864010724"/>
    <s v="3.3154935375280745"/>
    <n v="773364483"/>
    <x v="0"/>
    <n v="1.2744907000000001E-3"/>
    <x v="0"/>
  </r>
  <r>
    <n v="46"/>
    <n v="1"/>
    <n v="2"/>
    <n v="3"/>
    <n v="2"/>
    <n v="2"/>
    <n v="0"/>
    <n v="34"/>
    <n v="2"/>
    <n v="2"/>
    <n v="1"/>
    <n v="10325"/>
    <n v="0"/>
    <n v="10325"/>
    <n v="0.86599999999999999"/>
    <n v="16856"/>
    <n v="122"/>
    <n v="0.71799999999999997"/>
    <n v="0"/>
    <s v="6.6728e-05"/>
    <n v="0.99992999999999999"/>
    <s v="27.483052621357785"/>
    <s v="40.66926238040508"/>
    <s v="95.50797520912889"/>
    <s v="7.989694290047375"/>
    <n v="789074358"/>
    <x v="0"/>
    <n v="7.6702517000000003E-4"/>
    <x v="0"/>
  </r>
  <r>
    <n v="39"/>
    <n v="1"/>
    <n v="2"/>
    <n v="0"/>
    <n v="1"/>
    <n v="2"/>
    <n v="0"/>
    <n v="35"/>
    <n v="4"/>
    <n v="3"/>
    <n v="2"/>
    <n v="7410"/>
    <n v="2517"/>
    <n v="4893"/>
    <n v="1.9239999999999999"/>
    <n v="2398"/>
    <n v="37"/>
    <n v="1.1759999999999999"/>
    <n v="0.34"/>
    <n v="1.7488000000000001E-4"/>
    <n v="0.99983"/>
    <s v="23.50268323718828"/>
    <s v="0.3827283009582862"/>
    <n v="79.349780367726694"/>
    <s v="13.900907546775391"/>
    <n v="823606983"/>
    <x v="0"/>
    <n v="1.0889086E-3"/>
    <x v="0"/>
  </r>
  <r>
    <n v="47"/>
    <n v="1"/>
    <n v="5"/>
    <n v="0"/>
    <n v="1"/>
    <n v="0"/>
    <n v="0"/>
    <n v="34"/>
    <n v="3"/>
    <n v="1"/>
    <n v="2"/>
    <n v="17603"/>
    <n v="1063"/>
    <n v="16540"/>
    <n v="1.0649999999999999"/>
    <n v="2902"/>
    <n v="64"/>
    <n v="0.64100000000000001"/>
    <n v="0.06"/>
    <s v="5.5282e-05"/>
    <n v="0.99994000000000005"/>
    <s v="34.81852686762639"/>
    <s v="58.90533716734517"/>
    <s v="72.92208515146537"/>
    <s v="12.81423673377859"/>
    <n v="717837858"/>
    <x v="0"/>
    <n v="4.2414907000000001E-4"/>
    <x v="0"/>
  </r>
  <r>
    <n v="48"/>
    <n v="1"/>
    <n v="2"/>
    <n v="2"/>
    <n v="3"/>
    <n v="1"/>
    <n v="0"/>
    <n v="36"/>
    <n v="5"/>
    <n v="1"/>
    <n v="2"/>
    <n v="13068"/>
    <n v="1718"/>
    <n v="11350"/>
    <n v="0.60699999999999998"/>
    <n v="937"/>
    <n v="28"/>
    <n v="0.55600000000000005"/>
    <n v="0.13100000000000001"/>
    <s v="5.5077e-05"/>
    <n v="0.99994000000000005"/>
    <s v="16.58070464407821"/>
    <s v="14.10663076016184"/>
    <s v="1.051761552490751"/>
    <s v="20.741575193728785"/>
    <n v="771742533"/>
    <x v="0"/>
    <n v="1.1454669E-3"/>
    <x v="0"/>
  </r>
  <r>
    <n v="60"/>
    <n v="0"/>
    <n v="1"/>
    <n v="2"/>
    <n v="0"/>
    <n v="4"/>
    <n v="0"/>
    <n v="53"/>
    <n v="5"/>
    <n v="5"/>
    <n v="3"/>
    <n v="2903"/>
    <n v="1251"/>
    <n v="1652"/>
    <n v="0.879"/>
    <n v="4555"/>
    <n v="76"/>
    <n v="0.72699999999999998"/>
    <n v="0.43099999999999999"/>
    <n v="3.1713999999999999E-4"/>
    <n v="0.99968000000000001"/>
    <s v="0.4622596427382048"/>
    <s v="13.31172357537695"/>
    <s v="83.72719724458341"/>
    <s v="3.183447549230712"/>
    <n v="748194633"/>
    <x v="0"/>
    <n v="3.2101269999999999E-4"/>
    <x v="0"/>
  </r>
  <r>
    <n v="40"/>
    <n v="1"/>
    <n v="3"/>
    <n v="2"/>
    <n v="1"/>
    <n v="2"/>
    <n v="0"/>
    <n v="33"/>
    <n v="5"/>
    <n v="3"/>
    <n v="6"/>
    <n v="5500"/>
    <n v="442"/>
    <n v="5058"/>
    <n v="0.60899999999999999"/>
    <n v="7720"/>
    <n v="67"/>
    <n v="0.55800000000000005"/>
    <n v="0.08"/>
    <n v="0.99939"/>
    <n v="6.1414E-4"/>
    <s v="44.85730590528983"/>
    <n v="33.051100758003997"/>
    <s v="104.05655798072988"/>
    <n v="17.8571922798169"/>
    <n v="761079783"/>
    <x v="1"/>
    <n v="0.99229560000000006"/>
    <x v="1"/>
  </r>
  <r>
    <n v="38"/>
    <n v="1"/>
    <n v="2"/>
    <n v="0"/>
    <n v="2"/>
    <n v="1"/>
    <n v="0"/>
    <n v="20"/>
    <n v="6"/>
    <n v="1"/>
    <n v="3"/>
    <n v="11068"/>
    <n v="1254"/>
    <n v="9814"/>
    <n v="0.41799999999999998"/>
    <n v="3812"/>
    <n v="64"/>
    <n v="0.64100000000000001"/>
    <n v="0.113"/>
    <s v="9.0064e-05"/>
    <n v="0.99990999999999997"/>
    <s v="35.656904600385104"/>
    <s v="90.30329450187983"/>
    <s v="7.196513322102776"/>
    <s v="0.5028956208542842"/>
    <n v="710229333"/>
    <x v="0"/>
    <n v="3.4604817999999999E-4"/>
    <x v="0"/>
  </r>
  <r>
    <n v="53"/>
    <n v="1"/>
    <n v="3"/>
    <n v="2"/>
    <n v="2"/>
    <n v="3"/>
    <n v="0"/>
    <n v="34"/>
    <n v="6"/>
    <n v="3"/>
    <n v="0"/>
    <n v="2506"/>
    <n v="0"/>
    <n v="2506"/>
    <n v="0.59799999999999998"/>
    <n v="1687"/>
    <n v="62"/>
    <n v="0.59"/>
    <n v="0"/>
    <s v="6.8853e-05"/>
    <n v="0.99992999999999999"/>
    <s v="30.989162952629243"/>
    <s v="34.38788205094163"/>
    <s v="105.27905908165287"/>
    <s v="21.38117202943778"/>
    <n v="721049658"/>
    <x v="0"/>
    <n v="1.0275905000000001E-3"/>
    <x v="0"/>
  </r>
  <r>
    <n v="47"/>
    <n v="0"/>
    <n v="3"/>
    <n v="3"/>
    <n v="1"/>
    <n v="4"/>
    <n v="0"/>
    <n v="34"/>
    <n v="2"/>
    <n v="1"/>
    <n v="2"/>
    <n v="6028"/>
    <n v="799"/>
    <n v="5229"/>
    <n v="0.81899999999999995"/>
    <n v="1002"/>
    <n v="22"/>
    <n v="0.57099999999999995"/>
    <n v="0.13300000000000001"/>
    <s v="5.5559e-05"/>
    <n v="0.99994000000000005"/>
    <s v="12.060435871071098"/>
    <s v="130.16160893422116"/>
    <n v="26.9168110049708"/>
    <s v="15.77267451903151"/>
    <n v="720476733"/>
    <x v="0"/>
    <n v="2.3861569999999999E-3"/>
    <x v="0"/>
  </r>
  <r>
    <n v="48"/>
    <n v="1"/>
    <n v="3"/>
    <n v="5"/>
    <n v="1"/>
    <n v="0"/>
    <n v="0"/>
    <n v="36"/>
    <n v="5"/>
    <n v="2"/>
    <n v="4"/>
    <n v="34516"/>
    <n v="787"/>
    <n v="33729"/>
    <n v="0.76300000000000001"/>
    <n v="1312"/>
    <n v="32"/>
    <n v="0.6"/>
    <n v="2.3E-2"/>
    <n v="0.99714000000000003"/>
    <n v="2.86097E-3"/>
    <s v="24.92509671026585"/>
    <s v="14.444104900758566"/>
    <s v="3.756416337824022"/>
    <s v="26.575510937825857"/>
    <n v="715319958"/>
    <x v="1"/>
    <n v="0.99620240000000004"/>
    <x v="1"/>
  </r>
  <r>
    <n v="56"/>
    <n v="0"/>
    <n v="1"/>
    <n v="4"/>
    <n v="1"/>
    <n v="4"/>
    <n v="0"/>
    <n v="36"/>
    <n v="6"/>
    <n v="2"/>
    <n v="2"/>
    <n v="2802"/>
    <n v="2256"/>
    <n v="546"/>
    <n v="0.61499999999999999"/>
    <n v="2371"/>
    <n v="46"/>
    <n v="0.35299999999999998"/>
    <n v="0.80500000000000005"/>
    <n v="0.99211000000000005"/>
    <n v="7.8899999999999994E-3"/>
    <s v="20.869058687954304"/>
    <n v="87.200552484089002"/>
    <s v="9.352412511624474"/>
    <s v="1.8794331197957868"/>
    <n v="714035283"/>
    <x v="1"/>
    <n v="0.99584656999999999"/>
    <x v="1"/>
  </r>
  <r>
    <n v="35"/>
    <n v="0"/>
    <n v="2"/>
    <n v="2"/>
    <n v="2"/>
    <n v="5"/>
    <n v="0"/>
    <n v="26"/>
    <n v="6"/>
    <n v="1"/>
    <n v="2"/>
    <n v="3269"/>
    <n v="1434"/>
    <n v="1835"/>
    <n v="0.63"/>
    <n v="4672"/>
    <n v="66"/>
    <n v="0.65"/>
    <n v="0.439"/>
    <s v="5.5077e-05"/>
    <n v="0.99994000000000005"/>
    <s v="6.818780718134384"/>
    <s v="24.68370358170437"/>
    <s v="1.8628871721829268"/>
    <s v="7.399883746776467"/>
    <n v="719594433"/>
    <x v="0"/>
    <n v="3.2101269999999999E-4"/>
    <x v="0"/>
  </r>
  <r>
    <n v="43"/>
    <n v="0"/>
    <n v="2"/>
    <n v="3"/>
    <n v="1"/>
    <n v="4"/>
    <n v="0"/>
    <n v="29"/>
    <n v="4"/>
    <n v="1"/>
    <n v="2"/>
    <n v="2616"/>
    <n v="1786"/>
    <n v="830"/>
    <n v="0.876"/>
    <n v="5219"/>
    <n v="63"/>
    <n v="0.75"/>
    <n v="0.68300000000000005"/>
    <s v="5.3542e-05"/>
    <n v="0.99995000000000001"/>
    <s v="0.5435959216851258"/>
    <n v="60.863183980150097"/>
    <s v="114.90771691852854"/>
    <s v="8.354009817264338"/>
    <n v="811140933"/>
    <x v="0"/>
    <n v="3.479205E-4"/>
    <x v="0"/>
  </r>
  <r>
    <n v="40"/>
    <n v="0"/>
    <n v="4"/>
    <n v="2"/>
    <n v="2"/>
    <n v="4"/>
    <n v="0"/>
    <n v="26"/>
    <n v="5"/>
    <n v="3"/>
    <n v="0"/>
    <n v="2206"/>
    <n v="1110"/>
    <n v="1096"/>
    <n v="0.746"/>
    <n v="5196"/>
    <n v="92"/>
    <n v="0.61399999999999999"/>
    <n v="0.503"/>
    <s v="6.9589e-05"/>
    <n v="0.99992999999999999"/>
    <s v="45.54209494191909"/>
    <s v="1.6330077635678846"/>
    <s v="39.82291398967825"/>
    <s v="17.304453507439387"/>
    <n v="709726158"/>
    <x v="0"/>
    <n v="3.2914013999999999E-4"/>
    <x v="0"/>
  </r>
  <r>
    <n v="48"/>
    <n v="0"/>
    <n v="4"/>
    <n v="0"/>
    <n v="2"/>
    <n v="4"/>
    <n v="0"/>
    <n v="38"/>
    <n v="4"/>
    <n v="3"/>
    <n v="3"/>
    <n v="4894"/>
    <n v="1505"/>
    <n v="3389"/>
    <n v="0.78"/>
    <n v="3277"/>
    <n v="67"/>
    <n v="0.55800000000000005"/>
    <n v="0.308"/>
    <n v="3.0844999999999999E-4"/>
    <n v="0.99968999999999997"/>
    <s v="16.46059778623579"/>
    <s v="108.95150494031004"/>
    <s v="51.88038798753274"/>
    <s v="3.9828841925959466"/>
    <n v="716059608"/>
    <x v="0"/>
    <n v="3.2914013999999999E-4"/>
    <x v="0"/>
  </r>
  <r>
    <n v="41"/>
    <n v="0"/>
    <n v="3"/>
    <n v="3"/>
    <n v="1"/>
    <n v="4"/>
    <n v="0"/>
    <n v="31"/>
    <n v="3"/>
    <n v="3"/>
    <n v="3"/>
    <n v="3952"/>
    <n v="0"/>
    <n v="3952"/>
    <n v="1.002"/>
    <n v="8241"/>
    <n v="82"/>
    <n v="0.95199999999999996"/>
    <n v="0"/>
    <n v="0.99673"/>
    <n v="3.2652800000000002E-3"/>
    <s v="22.59888357110042"/>
    <s v="20.86292472947023"/>
    <s v="99.10112424178315"/>
    <s v="21.43184921960331"/>
    <n v="709611183"/>
    <x v="1"/>
    <n v="0.99255353000000002"/>
    <x v="1"/>
  </r>
  <r>
    <n v="32"/>
    <n v="1"/>
    <n v="0"/>
    <n v="0"/>
    <n v="3"/>
    <n v="4"/>
    <n v="0"/>
    <n v="36"/>
    <n v="3"/>
    <n v="3"/>
    <n v="4"/>
    <n v="3788"/>
    <n v="1325"/>
    <n v="2463"/>
    <n v="0.60699999999999998"/>
    <n v="3975"/>
    <n v="65"/>
    <n v="0.47699999999999998"/>
    <n v="0.35"/>
    <n v="4.3052999999999999E-4"/>
    <n v="0.99956999999999996"/>
    <s v="14.547830825551909"/>
    <s v="19.91903009243224"/>
    <s v="11.085066087410269"/>
    <s v="1.3114508560818885"/>
    <n v="710657508"/>
    <x v="0"/>
    <n v="3.6626330000000002E-4"/>
    <x v="0"/>
  </r>
  <r>
    <n v="39"/>
    <n v="1"/>
    <n v="2"/>
    <n v="2"/>
    <n v="0"/>
    <n v="1"/>
    <n v="3"/>
    <n v="23"/>
    <n v="5"/>
    <n v="2"/>
    <n v="3"/>
    <n v="17894"/>
    <n v="304"/>
    <n v="17590"/>
    <n v="0.96499999999999997"/>
    <n v="4691"/>
    <n v="63"/>
    <n v="0.46500000000000002"/>
    <n v="1.7000000000000001E-2"/>
    <n v="0.99424999999999997"/>
    <n v="5.7499999999999999E-3"/>
    <s v="42.25652323299966"/>
    <s v="61.30981135538505"/>
    <s v="91.76436362588404"/>
    <n v="22.664350573084501"/>
    <n v="794571108"/>
    <x v="1"/>
    <n v="0.99310739999999997"/>
    <x v="1"/>
  </r>
  <r>
    <n v="49"/>
    <n v="0"/>
    <n v="4"/>
    <n v="5"/>
    <n v="3"/>
    <n v="5"/>
    <n v="0"/>
    <n v="39"/>
    <n v="5"/>
    <n v="2"/>
    <n v="3"/>
    <n v="11545"/>
    <n v="1732"/>
    <n v="9813"/>
    <n v="0.871"/>
    <n v="3996"/>
    <n v="65"/>
    <n v="0.54800000000000004"/>
    <n v="0.15"/>
    <n v="2.0642999999999999E-4"/>
    <n v="0.99978999999999996"/>
    <s v="0.6386351650486777"/>
    <n v="77.485174925575393"/>
    <s v="9.089628712131974"/>
    <s v="35.45005478045749"/>
    <n v="713446083"/>
    <x v="0"/>
    <n v="3.3723077000000001E-4"/>
    <x v="0"/>
  </r>
  <r>
    <n v="29"/>
    <n v="0"/>
    <n v="1"/>
    <n v="3"/>
    <n v="2"/>
    <n v="4"/>
    <n v="0"/>
    <n v="20"/>
    <n v="4"/>
    <n v="2"/>
    <n v="1"/>
    <n v="3095"/>
    <n v="1488"/>
    <n v="1607"/>
    <n v="0.92400000000000004"/>
    <n v="4642"/>
    <n v="92"/>
    <n v="0.878"/>
    <n v="0.48099999999999998"/>
    <s v="6.2633e-05"/>
    <n v="0.99994000000000005"/>
    <s v="9.638078673989709"/>
    <s v="3.1015677267322754"/>
    <n v="8.7552091206080203"/>
    <s v="3.2441601105079982"/>
    <n v="719252583"/>
    <x v="0"/>
    <n v="3.221314E-4"/>
    <x v="0"/>
  </r>
  <r>
    <n v="42"/>
    <n v="1"/>
    <n v="3"/>
    <n v="3"/>
    <n v="2"/>
    <n v="3"/>
    <n v="3"/>
    <n v="32"/>
    <n v="3"/>
    <n v="3"/>
    <n v="3"/>
    <n v="34516"/>
    <n v="1396"/>
    <n v="33120"/>
    <n v="0.68799999999999994"/>
    <n v="3748"/>
    <n v="62"/>
    <n v="0.93799999999999994"/>
    <n v="0.04"/>
    <n v="2.7574000000000001E-4"/>
    <n v="0.99972000000000005"/>
    <n v="85.628485322017198"/>
    <s v="33.10732721259838"/>
    <s v="62.47063197227486"/>
    <s v="7.788087256024337"/>
    <n v="711832533"/>
    <x v="0"/>
    <n v="3.8724514999999998E-4"/>
    <x v="0"/>
  </r>
  <r>
    <n v="64"/>
    <n v="1"/>
    <n v="1"/>
    <n v="2"/>
    <n v="2"/>
    <n v="4"/>
    <n v="0"/>
    <n v="45"/>
    <n v="5"/>
    <n v="3"/>
    <n v="2"/>
    <n v="4417"/>
    <n v="0"/>
    <n v="4417"/>
    <n v="0.90400000000000003"/>
    <n v="4253"/>
    <n v="72"/>
    <n v="0.89500000000000002"/>
    <n v="0"/>
    <n v="1.6882999999999999E-4"/>
    <n v="0.99983"/>
    <s v="24.987430178103967"/>
    <s v="42.90797193862921"/>
    <s v="67.54830290245553"/>
    <s v="10.552363746216912"/>
    <n v="716853258"/>
    <x v="0"/>
    <n v="7.4699510000000001E-4"/>
    <x v="0"/>
  </r>
  <r>
    <n v="49"/>
    <n v="1"/>
    <n v="4"/>
    <n v="2"/>
    <n v="2"/>
    <n v="0"/>
    <n v="3"/>
    <n v="36"/>
    <n v="2"/>
    <n v="2"/>
    <n v="2"/>
    <n v="34516"/>
    <n v="0"/>
    <n v="34516"/>
    <n v="0.622"/>
    <n v="7962"/>
    <n v="99"/>
    <n v="0.435"/>
    <n v="0"/>
    <n v="1.0786E-4"/>
    <n v="0.99988999999999995"/>
    <s v="21.65624634273525"/>
    <s v="74.01303505948985"/>
    <s v="24.275845656161074"/>
    <s v="7.436795704453462"/>
    <n v="717658758"/>
    <x v="0"/>
    <n v="8.4809323999999998E-4"/>
    <x v="0"/>
  </r>
  <r>
    <n v="31"/>
    <n v="0"/>
    <n v="0"/>
    <n v="5"/>
    <n v="0"/>
    <n v="5"/>
    <n v="0"/>
    <n v="36"/>
    <n v="6"/>
    <n v="3"/>
    <n v="1"/>
    <n v="5190"/>
    <n v="1682"/>
    <n v="3508"/>
    <n v="0.88800000000000001"/>
    <n v="4900"/>
    <n v="81"/>
    <n v="0.8"/>
    <n v="0.32400000000000001"/>
    <s v="9.5711e-05"/>
    <n v="0.99990000000000001"/>
    <s v="36.54260973103276"/>
    <s v="17.396324306097533"/>
    <s v="178.98690594727034"/>
    <n v="22.652779979085199"/>
    <n v="713918358"/>
    <x v="0"/>
    <n v="3.3750932000000002E-4"/>
    <x v="0"/>
  </r>
  <r>
    <n v="43"/>
    <n v="1"/>
    <n v="1"/>
    <n v="3"/>
    <n v="1"/>
    <n v="2"/>
    <n v="0"/>
    <n v="23"/>
    <n v="4"/>
    <n v="3"/>
    <n v="2"/>
    <n v="7189"/>
    <n v="1550"/>
    <n v="5639"/>
    <n v="0.53800000000000003"/>
    <n v="1935"/>
    <n v="52"/>
    <n v="0.36799999999999999"/>
    <n v="0.216"/>
    <n v="1.6412999999999999E-4"/>
    <n v="0.99983999999999995"/>
    <s v="14.259569772657292"/>
    <s v="74.61240031334489"/>
    <s v="0.8381913870261937"/>
    <s v="23.117405187695898"/>
    <n v="794627208"/>
    <x v="0"/>
    <n v="9.6456280000000003E-4"/>
    <x v="0"/>
  </r>
  <r>
    <n v="37"/>
    <n v="1"/>
    <n v="2"/>
    <n v="5"/>
    <n v="1"/>
    <n v="2"/>
    <n v="0"/>
    <n v="36"/>
    <n v="5"/>
    <n v="3"/>
    <n v="5"/>
    <n v="7959"/>
    <n v="998"/>
    <n v="6961"/>
    <n v="0.77300000000000002"/>
    <n v="1855"/>
    <n v="29"/>
    <n v="0.318"/>
    <n v="0.125"/>
    <n v="9.1777000000000004E-4"/>
    <n v="0.99907999999999997"/>
    <s v="41.61928265162594"/>
    <s v="13.48625407727873"/>
    <s v="38.04823917373954"/>
    <s v="14.273655643729644"/>
    <n v="719273733"/>
    <x v="0"/>
    <n v="8.7385820000000003E-2"/>
    <x v="0"/>
  </r>
  <r>
    <n v="49"/>
    <n v="1"/>
    <n v="1"/>
    <n v="3"/>
    <n v="3"/>
    <n v="2"/>
    <n v="0"/>
    <n v="36"/>
    <n v="6"/>
    <n v="3"/>
    <n v="4"/>
    <n v="2645"/>
    <n v="1499"/>
    <n v="1146"/>
    <n v="0.67"/>
    <n v="4251"/>
    <n v="69"/>
    <n v="0.53300000000000003"/>
    <n v="0.56699999999999995"/>
    <n v="4.7085999999999997E-4"/>
    <n v="0.99953000000000003"/>
    <s v="22.727039441635924"/>
    <s v="65.66322290900656"/>
    <s v="58.482850193929984"/>
    <s v="8.730513043954213"/>
    <n v="718318383"/>
    <x v="0"/>
    <n v="3.2914013999999999E-4"/>
    <x v="0"/>
  </r>
  <r>
    <n v="58"/>
    <n v="1"/>
    <n v="4"/>
    <n v="5"/>
    <n v="2"/>
    <n v="1"/>
    <n v="3"/>
    <n v="50"/>
    <n v="5"/>
    <n v="2"/>
    <n v="3"/>
    <n v="18431"/>
    <n v="902"/>
    <n v="17529"/>
    <n v="1.296"/>
    <n v="2950"/>
    <n v="61"/>
    <n v="0.84799999999999998"/>
    <n v="4.9000000000000002E-2"/>
    <n v="1.8652E-4"/>
    <n v="0.99980999999999998"/>
    <s v="21.477139396682464"/>
    <s v="23.71065491948703"/>
    <s v="44.43081399622487"/>
    <s v="7.446196734466106"/>
    <n v="712091433"/>
    <x v="0"/>
    <n v="5.4449344000000004E-4"/>
    <x v="0"/>
  </r>
  <r>
    <n v="40"/>
    <n v="0"/>
    <n v="4"/>
    <n v="6"/>
    <n v="2"/>
    <n v="4"/>
    <n v="0"/>
    <n v="25"/>
    <n v="6"/>
    <n v="2"/>
    <n v="1"/>
    <n v="2812"/>
    <n v="2029"/>
    <n v="783"/>
    <n v="0.63400000000000001"/>
    <n v="4763"/>
    <n v="74"/>
    <n v="0.76200000000000001"/>
    <n v="0.72199999999999998"/>
    <s v="7.9128e-05"/>
    <n v="0.99992000000000003"/>
    <s v="10.183465265013837"/>
    <n v="42.002543914369497"/>
    <s v="115.55747854016434"/>
    <s v="15.487347781751811"/>
    <n v="721449408"/>
    <x v="0"/>
    <n v="3.2101269999999999E-4"/>
    <x v="0"/>
  </r>
  <r>
    <n v="39"/>
    <n v="0"/>
    <n v="2"/>
    <n v="3"/>
    <n v="2"/>
    <n v="4"/>
    <n v="0"/>
    <n v="36"/>
    <n v="4"/>
    <n v="3"/>
    <n v="3"/>
    <n v="1438.3"/>
    <n v="855"/>
    <n v="583.29999999999995"/>
    <n v="0.66200000000000003"/>
    <n v="4890"/>
    <n v="53"/>
    <n v="0.89300000000000002"/>
    <n v="0.59399999999999997"/>
    <n v="2.9408E-4"/>
    <n v="0.99970999999999999"/>
    <s v="17.77054282179097"/>
    <s v="10.428988574395996"/>
    <s v="65.76672508615248"/>
    <n v="9.1181476079836301"/>
    <n v="708699108"/>
    <x v="0"/>
    <n v="1.0531232000000001E-3"/>
    <x v="0"/>
  </r>
  <r>
    <n v="50"/>
    <n v="0"/>
    <n v="1"/>
    <n v="3"/>
    <n v="2"/>
    <n v="4"/>
    <n v="0"/>
    <n v="36"/>
    <n v="1"/>
    <n v="1"/>
    <n v="3"/>
    <n v="4517"/>
    <n v="2238"/>
    <n v="2279"/>
    <n v="0.625"/>
    <n v="4686"/>
    <n v="81"/>
    <n v="0.76100000000000001"/>
    <n v="0.495"/>
    <s v="8.453e-05"/>
    <n v="0.99992000000000003"/>
    <s v="39.206624351103216"/>
    <s v="47.75728964155265"/>
    <s v="53.941659636916825"/>
    <s v="6.598159928456879"/>
    <n v="720700008"/>
    <x v="0"/>
    <n v="3.2101269999999999E-4"/>
    <x v="0"/>
  </r>
  <r>
    <n v="45"/>
    <n v="1"/>
    <n v="3"/>
    <n v="3"/>
    <n v="2"/>
    <n v="2"/>
    <n v="0"/>
    <n v="35"/>
    <n v="5"/>
    <n v="3"/>
    <n v="3"/>
    <n v="7050"/>
    <n v="659"/>
    <n v="6391"/>
    <n v="0.52"/>
    <n v="1236"/>
    <n v="36"/>
    <n v="1"/>
    <n v="9.2999999999999999E-2"/>
    <n v="3.0516000000000001E-4"/>
    <n v="0.99968999999999997"/>
    <s v="54.775483078737054"/>
    <s v="26.64678098645655"/>
    <s v="23.75041656319637"/>
    <s v="11.518546914708018"/>
    <n v="720191883"/>
    <x v="0"/>
    <n v="1.779145E-3"/>
    <x v="0"/>
  </r>
  <r>
    <n v="33"/>
    <n v="1"/>
    <n v="1"/>
    <n v="2"/>
    <n v="2"/>
    <n v="3"/>
    <n v="0"/>
    <n v="26"/>
    <n v="4"/>
    <n v="1"/>
    <n v="0"/>
    <n v="1438.3"/>
    <n v="0"/>
    <n v="1438.3"/>
    <n v="0.86499999999999999"/>
    <n v="2557"/>
    <n v="55"/>
    <n v="0.61799999999999999"/>
    <n v="0"/>
    <s v="1.9069e-05"/>
    <n v="0.99997999999999998"/>
    <s v="13.224583404332902"/>
    <s v="37.72121642452633"/>
    <s v="16.294857179176027"/>
    <s v="4.247303503989091"/>
    <n v="788360283"/>
    <x v="0"/>
    <n v="1.8569875E-3"/>
    <x v="0"/>
  </r>
  <r>
    <n v="45"/>
    <n v="1"/>
    <n v="4"/>
    <n v="0"/>
    <n v="0"/>
    <n v="3"/>
    <n v="0"/>
    <n v="37"/>
    <n v="6"/>
    <n v="5"/>
    <n v="1"/>
    <n v="1535"/>
    <n v="0"/>
    <n v="1535"/>
    <n v="0.77"/>
    <n v="5168"/>
    <n v="76"/>
    <n v="0.81"/>
    <n v="0"/>
    <n v="1.2354E-4"/>
    <n v="0.99987999999999999"/>
    <s v="19.419357121178976"/>
    <s v="48.70887722692115"/>
    <s v="85.79738312963549"/>
    <s v="7.910457684193934"/>
    <n v="718031508"/>
    <x v="0"/>
    <n v="6.9517245999999998E-4"/>
    <x v="0"/>
  </r>
  <r>
    <n v="40"/>
    <n v="1"/>
    <n v="2"/>
    <n v="2"/>
    <n v="1"/>
    <n v="1"/>
    <n v="0"/>
    <n v="36"/>
    <n v="5"/>
    <n v="2"/>
    <n v="2"/>
    <n v="2494"/>
    <n v="1492"/>
    <n v="1002"/>
    <n v="0.74399999999999999"/>
    <n v="3407"/>
    <n v="61"/>
    <n v="0.69399999999999995"/>
    <n v="0.59799999999999998"/>
    <n v="1.1382E-4"/>
    <n v="0.99988999999999995"/>
    <s v="8.166873044013478"/>
    <s v="37.74126604214456"/>
    <s v="37.01035577857356"/>
    <s v="12.836347045682963"/>
    <n v="715082133"/>
    <x v="0"/>
    <n v="3.479205E-4"/>
    <x v="0"/>
  </r>
  <r>
    <n v="56"/>
    <n v="0"/>
    <n v="1"/>
    <n v="2"/>
    <n v="3"/>
    <n v="1"/>
    <n v="0"/>
    <n v="36"/>
    <n v="5"/>
    <n v="4"/>
    <n v="1"/>
    <n v="5204"/>
    <n v="0"/>
    <n v="5204"/>
    <n v="1.008"/>
    <n v="5285"/>
    <n v="82"/>
    <n v="0.86399999999999999"/>
    <n v="0"/>
    <n v="1.2305000000000001E-4"/>
    <n v="0.99987999999999999"/>
    <n v="1.9761534583302601E-2"/>
    <s v="56.38982331061403"/>
    <s v="42.56816433368829"/>
    <n v="29.5258549514304"/>
    <n v="709668408"/>
    <x v="0"/>
    <n v="8.0976710000000001E-4"/>
    <x v="0"/>
  </r>
  <r>
    <n v="58"/>
    <n v="0"/>
    <n v="2"/>
    <n v="2"/>
    <n v="1"/>
    <n v="4"/>
    <n v="0"/>
    <n v="53"/>
    <n v="5"/>
    <n v="3"/>
    <n v="1"/>
    <n v="7712"/>
    <n v="962"/>
    <n v="6750"/>
    <n v="0.41799999999999998"/>
    <n v="1574"/>
    <n v="34"/>
    <n v="6.2E-2"/>
    <n v="0.125"/>
    <n v="1.0848E-4"/>
    <n v="0.99988999999999995"/>
    <s v="16.289831050360394"/>
    <s v="20.90402627626233"/>
    <s v="28.21524004573543"/>
    <s v="16.662561572948313"/>
    <n v="716647983"/>
    <x v="0"/>
    <n v="1.5233171E-3"/>
    <x v="0"/>
  </r>
  <r>
    <n v="43"/>
    <n v="1"/>
    <n v="3"/>
    <n v="0"/>
    <n v="2"/>
    <n v="1"/>
    <n v="0"/>
    <n v="33"/>
    <n v="5"/>
    <n v="2"/>
    <n v="4"/>
    <n v="10533"/>
    <n v="1689"/>
    <n v="8844"/>
    <n v="0.35899999999999999"/>
    <n v="3651"/>
    <n v="69"/>
    <n v="0.60499999999999998"/>
    <n v="0.16"/>
    <n v="3.2945000000000001E-4"/>
    <n v="0.99966999999999995"/>
    <s v="12.754271405613846"/>
    <s v="41.74704629575004"/>
    <s v="111.23258921768904"/>
    <s v="8.651854921607665"/>
    <n v="772525308"/>
    <x v="0"/>
    <n v="3.2914013999999999E-4"/>
    <x v="0"/>
  </r>
  <r>
    <n v="47"/>
    <n v="1"/>
    <n v="5"/>
    <n v="6"/>
    <n v="2"/>
    <n v="2"/>
    <n v="0"/>
    <n v="32"/>
    <n v="6"/>
    <n v="2"/>
    <n v="3"/>
    <n v="8823"/>
    <n v="2517"/>
    <n v="6306"/>
    <n v="0.81200000000000006"/>
    <n v="4674"/>
    <n v="85"/>
    <n v="0.84799999999999998"/>
    <n v="0.28499999999999998"/>
    <n v="2.1724E-4"/>
    <n v="0.99978"/>
    <s v="42.387017210710496"/>
    <s v="10.899423041658904"/>
    <s v="26.085398947213875"/>
    <s v="20.13239892261429"/>
    <n v="712484733"/>
    <x v="0"/>
    <n v="3.4692350000000002E-4"/>
    <x v="0"/>
  </r>
  <r>
    <n v="47"/>
    <n v="0"/>
    <n v="2"/>
    <n v="2"/>
    <n v="1"/>
    <n v="4"/>
    <n v="0"/>
    <n v="41"/>
    <n v="5"/>
    <n v="3"/>
    <n v="4"/>
    <n v="1438.3"/>
    <n v="0"/>
    <n v="1438.3"/>
    <n v="0.8"/>
    <n v="1501"/>
    <n v="40"/>
    <n v="0.73899999999999999"/>
    <n v="0"/>
    <n v="5.1599999999999997E-4"/>
    <n v="0.99948000000000004"/>
    <s v="42.97489964237901"/>
    <s v="10.91372410113518"/>
    <n v="99.307352326402196"/>
    <n v="4.5578867409336903"/>
    <n v="793550958"/>
    <x v="0"/>
    <n v="3.6896945E-3"/>
    <x v="0"/>
  </r>
  <r>
    <n v="46"/>
    <n v="0"/>
    <n v="2"/>
    <n v="2"/>
    <n v="2"/>
    <n v="4"/>
    <n v="0"/>
    <n v="40"/>
    <n v="4"/>
    <n v="2"/>
    <n v="4"/>
    <n v="1438.3"/>
    <n v="639"/>
    <n v="799.3"/>
    <n v="0.76800000000000002"/>
    <n v="4427"/>
    <n v="85"/>
    <n v="0.73499999999999999"/>
    <n v="0.44400000000000001"/>
    <n v="3.2655999999999999E-4"/>
    <n v="0.99966999999999995"/>
    <s v="18.438658948686545"/>
    <s v="32.87870396308093"/>
    <s v="22.294319520563143"/>
    <s v="16.69199084259121"/>
    <n v="769189083"/>
    <x v="0"/>
    <n v="5.4489190000000002E-4"/>
    <x v="0"/>
  </r>
  <r>
    <n v="40"/>
    <n v="1"/>
    <n v="2"/>
    <n v="2"/>
    <n v="1"/>
    <n v="3"/>
    <n v="0"/>
    <n v="31"/>
    <n v="5"/>
    <n v="1"/>
    <n v="2"/>
    <n v="18693"/>
    <n v="2052"/>
    <n v="16641"/>
    <n v="0.5"/>
    <n v="1516"/>
    <n v="44"/>
    <n v="0.63"/>
    <n v="0.11"/>
    <s v="5.5077e-05"/>
    <n v="0.99994000000000005"/>
    <s v="20.231076171786626"/>
    <s v="48.86097009340852"/>
    <s v="36.17364887039852"/>
    <s v="16.461372545313633"/>
    <n v="717904383"/>
    <x v="0"/>
    <n v="1.0598798E-3"/>
    <x v="0"/>
  </r>
  <r>
    <n v="35"/>
    <n v="0"/>
    <n v="4"/>
    <n v="0"/>
    <n v="1"/>
    <n v="4"/>
    <n v="0"/>
    <n v="31"/>
    <n v="3"/>
    <n v="3"/>
    <n v="4"/>
    <n v="2933"/>
    <n v="1011"/>
    <n v="1922"/>
    <n v="0.81399999999999995"/>
    <n v="5089"/>
    <n v="71"/>
    <n v="0.86799999999999999"/>
    <n v="0.34499999999999997"/>
    <n v="5.2612999999999998E-4"/>
    <n v="0.99946999999999997"/>
    <n v="23.692440741215599"/>
    <s v="1.811555272402638"/>
    <s v="84.17215886091981"/>
    <s v="6.868055439510068"/>
    <n v="826417233"/>
    <x v="0"/>
    <n v="3.2101269999999999E-4"/>
    <x v="0"/>
  </r>
  <r>
    <n v="43"/>
    <n v="1"/>
    <n v="3"/>
    <n v="4"/>
    <n v="1"/>
    <n v="1"/>
    <n v="2"/>
    <n v="31"/>
    <n v="2"/>
    <n v="3"/>
    <n v="4"/>
    <n v="23981"/>
    <n v="593"/>
    <n v="23388"/>
    <n v="0.98699999999999999"/>
    <n v="4758"/>
    <n v="65"/>
    <n v="0.51200000000000001"/>
    <n v="2.5000000000000001E-2"/>
    <n v="0.99909000000000003"/>
    <n v="9.1226999999999996E-4"/>
    <s v="14.640884253206169"/>
    <s v="74.76459169193014"/>
    <s v="47.94561417336647"/>
    <s v="20.608375997309743"/>
    <n v="714077583"/>
    <x v="1"/>
    <n v="0.9902436"/>
    <x v="1"/>
  </r>
  <r>
    <n v="58"/>
    <n v="0"/>
    <n v="1"/>
    <n v="3"/>
    <n v="1"/>
    <n v="4"/>
    <n v="0"/>
    <n v="43"/>
    <n v="4"/>
    <n v="1"/>
    <n v="4"/>
    <n v="1957"/>
    <n v="1152"/>
    <n v="805"/>
    <n v="0.89900000000000002"/>
    <n v="4546"/>
    <n v="78"/>
    <n v="0.5"/>
    <n v="0.58899999999999997"/>
    <n v="1.4421E-4"/>
    <n v="0.99985999999999997"/>
    <s v="36.53477123661082"/>
    <s v="58.30680833170405"/>
    <s v="49.13980141729049"/>
    <s v="22.51236550269485"/>
    <n v="710691633"/>
    <x v="0"/>
    <n v="3.5872155999999998E-4"/>
    <x v="0"/>
  </r>
  <r>
    <n v="49"/>
    <n v="1"/>
    <n v="4"/>
    <n v="3"/>
    <n v="3"/>
    <n v="3"/>
    <n v="0"/>
    <n v="31"/>
    <n v="2"/>
    <n v="3"/>
    <n v="3"/>
    <n v="34516"/>
    <n v="2517"/>
    <n v="31999"/>
    <n v="0.71"/>
    <n v="3990"/>
    <n v="65"/>
    <n v="1.0309999999999999"/>
    <n v="7.2999999999999995E-2"/>
    <n v="3.0842E-4"/>
    <n v="0.99968999999999997"/>
    <s v="17.16096731751011"/>
    <n v="7.5803643134639396"/>
    <s v="19.37924334481159"/>
    <s v="25.56998949334112"/>
    <n v="708672708"/>
    <x v="0"/>
    <n v="3.9562590000000002E-4"/>
    <x v="0"/>
  </r>
  <r>
    <n v="54"/>
    <n v="0"/>
    <n v="2"/>
    <n v="2"/>
    <n v="1"/>
    <n v="5"/>
    <n v="0"/>
    <n v="46"/>
    <n v="5"/>
    <n v="3"/>
    <n v="2"/>
    <n v="3014"/>
    <n v="794"/>
    <n v="2220"/>
    <n v="0.5"/>
    <n v="1488"/>
    <n v="30"/>
    <n v="0.57899999999999996"/>
    <n v="0.26300000000000001"/>
    <n v="1.7987E-4"/>
    <n v="0.99982000000000004"/>
    <s v="22.858779135015848"/>
    <s v="5.405971376971456"/>
    <s v="68.11980133805864"/>
    <s v="4.584478705523898"/>
    <n v="713763633"/>
    <x v="0"/>
    <n v="1.7916416000000001E-3"/>
    <x v="0"/>
  </r>
  <r>
    <n v="44"/>
    <n v="1"/>
    <n v="0"/>
    <n v="5"/>
    <n v="1"/>
    <n v="4"/>
    <n v="0"/>
    <n v="24"/>
    <n v="5"/>
    <n v="3"/>
    <n v="0"/>
    <n v="8837"/>
    <n v="2103"/>
    <n v="6734"/>
    <n v="0.55900000000000005"/>
    <n v="3753"/>
    <n v="60"/>
    <n v="0.875"/>
    <n v="0.23799999999999999"/>
    <s v="5.8546e-05"/>
    <n v="0.99994000000000005"/>
    <s v="4.899182202951348"/>
    <s v="20.124733856008547"/>
    <s v="94.10646766768244"/>
    <n v="15.947536226334099"/>
    <n v="720840108"/>
    <x v="0"/>
    <n v="3.6248067000000002E-4"/>
    <x v="0"/>
  </r>
  <r>
    <n v="45"/>
    <n v="0"/>
    <n v="4"/>
    <n v="6"/>
    <n v="2"/>
    <n v="5"/>
    <n v="1"/>
    <n v="27"/>
    <n v="1"/>
    <n v="2"/>
    <n v="3"/>
    <n v="34516"/>
    <n v="0"/>
    <n v="34516"/>
    <n v="0.33100000000000002"/>
    <n v="2198"/>
    <n v="42"/>
    <n v="0.35499999999999998"/>
    <n v="0"/>
    <n v="0.99607999999999997"/>
    <n v="3.91691E-3"/>
    <s v="19.039077878054226"/>
    <s v="29.38329199791992"/>
    <s v="36.47981298216056"/>
    <s v="1.6473179631883357"/>
    <n v="720460083"/>
    <x v="1"/>
    <n v="0.99876772999999996"/>
    <x v="1"/>
  </r>
  <r>
    <n v="32"/>
    <n v="1"/>
    <n v="0"/>
    <n v="3"/>
    <n v="3"/>
    <n v="2"/>
    <n v="3"/>
    <n v="27"/>
    <n v="2"/>
    <n v="2"/>
    <n v="2"/>
    <n v="29081"/>
    <n v="1396"/>
    <n v="27685"/>
    <n v="2.2040000000000002"/>
    <n v="1538"/>
    <n v="36"/>
    <n v="0.71399999999999997"/>
    <n v="4.8000000000000001E-2"/>
    <s v="8.5795e-05"/>
    <n v="0.99990999999999997"/>
    <s v="5.455407164018677"/>
    <s v="54.81611683072805"/>
    <s v="23.60997091109037"/>
    <s v="5.288283675043819"/>
    <n v="818906208"/>
    <x v="0"/>
    <n v="1.4180966E-3"/>
    <x v="0"/>
  </r>
  <r>
    <n v="34"/>
    <n v="0"/>
    <n v="4"/>
    <n v="1"/>
    <n v="1"/>
    <n v="5"/>
    <n v="0"/>
    <n v="36"/>
    <n v="1"/>
    <n v="2"/>
    <n v="2"/>
    <n v="7744"/>
    <n v="1804"/>
    <n v="5940"/>
    <n v="0.94199999999999995"/>
    <n v="4572"/>
    <n v="60"/>
    <n v="0.93500000000000005"/>
    <n v="0.23300000000000001"/>
    <n v="1.7274E-4"/>
    <n v="0.99983"/>
    <n v="24.4640180197235"/>
    <n v="58.492846339891898"/>
    <s v="3.651594648765466"/>
    <s v="3.100203872785029"/>
    <n v="712620858"/>
    <x v="0"/>
    <n v="3.9390608000000003E-4"/>
    <x v="0"/>
  </r>
  <r>
    <n v="39"/>
    <n v="1"/>
    <n v="2"/>
    <n v="4"/>
    <n v="3"/>
    <n v="3"/>
    <n v="0"/>
    <n v="29"/>
    <n v="1"/>
    <n v="1"/>
    <n v="3"/>
    <n v="9959"/>
    <n v="1501"/>
    <n v="8458"/>
    <n v="0.82199999999999995"/>
    <n v="8505"/>
    <n v="86"/>
    <n v="0.53600000000000003"/>
    <n v="0.151"/>
    <n v="1.0900000000000001E-4"/>
    <n v="0.99988999999999995"/>
    <s v="22.016087816051986"/>
    <s v="105.69681165214794"/>
    <s v="11.892975043869887"/>
    <s v="21.25010023525032"/>
    <n v="708535158"/>
    <x v="0"/>
    <n v="3.7789578000000003E-4"/>
    <x v="0"/>
  </r>
  <r>
    <n v="47"/>
    <n v="1"/>
    <n v="3"/>
    <n v="3"/>
    <n v="1"/>
    <n v="2"/>
    <n v="0"/>
    <n v="35"/>
    <n v="5"/>
    <n v="1"/>
    <n v="2"/>
    <n v="17343"/>
    <n v="1280"/>
    <n v="16063"/>
    <n v="1.3140000000000001"/>
    <n v="3170"/>
    <n v="57"/>
    <n v="0.629"/>
    <n v="7.3999999999999996E-2"/>
    <s v="5.5559e-05"/>
    <n v="0.99994000000000005"/>
    <s v="0.7237152861554892"/>
    <s v="10.485450659034251"/>
    <s v="61.52754869831404"/>
    <s v="26.409764723814096"/>
    <n v="771453033"/>
    <x v="0"/>
    <n v="4.4799755999999999E-4"/>
    <x v="0"/>
  </r>
  <r>
    <n v="55"/>
    <n v="0"/>
    <n v="1"/>
    <n v="3"/>
    <n v="1"/>
    <n v="1"/>
    <n v="0"/>
    <n v="46"/>
    <n v="2"/>
    <n v="4"/>
    <n v="3"/>
    <n v="4629"/>
    <n v="710"/>
    <n v="3919"/>
    <n v="0.78800000000000003"/>
    <n v="2877"/>
    <n v="49"/>
    <n v="0.58099999999999996"/>
    <n v="0.153"/>
    <n v="0.99700999999999995"/>
    <n v="2.9877200000000001E-3"/>
    <s v="10.188437756630671"/>
    <s v="54.73355983010102"/>
    <s v="110.56340889098412"/>
    <s v="11.186826779310255"/>
    <n v="718742808"/>
    <x v="1"/>
    <n v="0.99704090000000001"/>
    <x v="1"/>
  </r>
  <r>
    <n v="50"/>
    <n v="0"/>
    <n v="2"/>
    <n v="2"/>
    <n v="1"/>
    <n v="5"/>
    <n v="0"/>
    <n v="31"/>
    <n v="5"/>
    <n v="1"/>
    <n v="3"/>
    <n v="13745"/>
    <n v="0"/>
    <n v="13745"/>
    <n v="0.53"/>
    <n v="4432"/>
    <n v="61"/>
    <n v="0.60499999999999998"/>
    <n v="0"/>
    <s v="9.2637e-05"/>
    <n v="0.99990999999999997"/>
    <s v="22.42178591660215"/>
    <s v="2.408688529591517"/>
    <s v="47.585491076294346"/>
    <s v="5.800886450040579"/>
    <n v="788772708"/>
    <x v="0"/>
    <n v="8.3301717E-4"/>
    <x v="0"/>
  </r>
  <r>
    <n v="63"/>
    <n v="1"/>
    <n v="0"/>
    <n v="6"/>
    <n v="2"/>
    <n v="1"/>
    <n v="3"/>
    <n v="54"/>
    <n v="4"/>
    <n v="3"/>
    <n v="3"/>
    <n v="18064"/>
    <n v="1695"/>
    <n v="16369"/>
    <n v="0.83799999999999997"/>
    <n v="3434"/>
    <n v="71"/>
    <n v="0.47899999999999998"/>
    <n v="9.4E-2"/>
    <n v="2.5783000000000002E-4"/>
    <n v="0.99973999999999996"/>
    <s v="58.12465723503849"/>
    <s v="22.114456396485465"/>
    <s v="17.433769907812085"/>
    <s v="16.62928910633323"/>
    <n v="719504433"/>
    <x v="0"/>
    <n v="3.6773292000000002E-4"/>
    <x v="0"/>
  </r>
  <r>
    <n v="42"/>
    <n v="1"/>
    <n v="2"/>
    <n v="2"/>
    <n v="1"/>
    <n v="0"/>
    <n v="0"/>
    <n v="32"/>
    <n v="1"/>
    <n v="1"/>
    <n v="1"/>
    <n v="34516"/>
    <n v="1440"/>
    <n v="33076"/>
    <n v="0.67600000000000005"/>
    <n v="7168"/>
    <n v="88"/>
    <n v="0.57099999999999995"/>
    <n v="4.2000000000000003E-2"/>
    <s v="3.3214e-05"/>
    <n v="0.99997000000000003"/>
    <s v="24.07085409902504"/>
    <s v="14.609719410187376"/>
    <s v="15.796589140656303"/>
    <n v="6.2239622682216602"/>
    <n v="772430733"/>
    <x v="0"/>
    <n v="4.2060707000000003E-4"/>
    <x v="0"/>
  </r>
  <r>
    <n v="42"/>
    <n v="0"/>
    <n v="2"/>
    <n v="5"/>
    <n v="2"/>
    <n v="4"/>
    <n v="3"/>
    <n v="33"/>
    <n v="1"/>
    <n v="2"/>
    <n v="3"/>
    <n v="13453"/>
    <n v="2517"/>
    <n v="10936"/>
    <n v="0.61899999999999999"/>
    <n v="1904"/>
    <n v="42"/>
    <n v="0.44800000000000001"/>
    <n v="0.187"/>
    <n v="0.99441000000000002"/>
    <n v="5.5900000000000004E-3"/>
    <s v="26.49330903520554"/>
    <s v="31.572669953833515"/>
    <s v="60.96573951102417"/>
    <s v="18.30668880312425"/>
    <n v="788030208"/>
    <x v="1"/>
    <n v="0.99607794999999999"/>
    <x v="1"/>
  </r>
  <r>
    <n v="55"/>
    <n v="0"/>
    <n v="2"/>
    <n v="6"/>
    <n v="2"/>
    <n v="4"/>
    <n v="0"/>
    <n v="39"/>
    <n v="3"/>
    <n v="2"/>
    <n v="3"/>
    <n v="2426"/>
    <n v="1589"/>
    <n v="837"/>
    <n v="0.87"/>
    <n v="5175"/>
    <n v="82"/>
    <n v="0.82199999999999995"/>
    <n v="0.65500000000000003"/>
    <n v="2.1042000000000001E-4"/>
    <n v="0.99978999999999996"/>
    <s v="27.86266839046863"/>
    <s v="36.76538035354227"/>
    <s v="7.809860721190572"/>
    <s v="7.4131726891902385"/>
    <n v="720155583"/>
    <x v="0"/>
    <n v="3.2101269999999999E-4"/>
    <x v="0"/>
  </r>
  <r>
    <n v="43"/>
    <n v="1"/>
    <n v="4"/>
    <n v="2"/>
    <n v="2"/>
    <n v="3"/>
    <n v="0"/>
    <n v="33"/>
    <n v="4"/>
    <n v="1"/>
    <n v="1"/>
    <n v="6548"/>
    <n v="1244"/>
    <n v="5304"/>
    <n v="0.66700000000000004"/>
    <n v="4354"/>
    <n v="79"/>
    <n v="0.92700000000000005"/>
    <n v="0.19"/>
    <s v="3.4833e-05"/>
    <n v="0.99997000000000003"/>
    <s v="45.91490966984731"/>
    <s v="29.531169930472057"/>
    <s v="0.2408122496040139"/>
    <s v="14.46354922201362"/>
    <n v="734909358"/>
    <x v="0"/>
    <n v="3.2101269999999999E-4"/>
    <x v="0"/>
  </r>
  <r>
    <n v="44"/>
    <n v="0"/>
    <n v="3"/>
    <n v="6"/>
    <n v="1"/>
    <n v="4"/>
    <n v="0"/>
    <n v="35"/>
    <n v="3"/>
    <n v="3"/>
    <n v="2"/>
    <n v="1855"/>
    <n v="0"/>
    <n v="1855"/>
    <n v="0.98799999999999999"/>
    <n v="2544"/>
    <n v="27"/>
    <n v="0.92900000000000005"/>
    <n v="0"/>
    <n v="0.99514999999999998"/>
    <n v="4.8496700000000004E-3"/>
    <s v="52.99759325009749"/>
    <n v="32.075663662253497"/>
    <n v="77.938443597573098"/>
    <s v="1.5522245617187105"/>
    <n v="716122008"/>
    <x v="1"/>
    <n v="0.99843055000000003"/>
    <x v="1"/>
  </r>
  <r>
    <n v="38"/>
    <n v="1"/>
    <n v="2"/>
    <n v="6"/>
    <n v="3"/>
    <n v="2"/>
    <n v="0"/>
    <n v="26"/>
    <n v="2"/>
    <n v="2"/>
    <n v="3"/>
    <n v="11252"/>
    <n v="1129"/>
    <n v="10123"/>
    <n v="0.46200000000000002"/>
    <n v="1766"/>
    <n v="31"/>
    <n v="0.47599999999999998"/>
    <n v="0.1"/>
    <n v="0.99526999999999999"/>
    <n v="4.7289599999999999E-3"/>
    <s v="7.969450011495437"/>
    <s v="20.15686925672895"/>
    <s v="58.73146895162202"/>
    <s v="4.149507969751573"/>
    <n v="771424908"/>
    <x v="1"/>
    <n v="0.99566540000000003"/>
    <x v="1"/>
  </r>
  <r>
    <n v="42"/>
    <n v="1"/>
    <n v="2"/>
    <n v="6"/>
    <n v="2"/>
    <n v="0"/>
    <n v="0"/>
    <n v="35"/>
    <n v="2"/>
    <n v="1"/>
    <n v="3"/>
    <n v="3214"/>
    <n v="1471"/>
    <n v="1743"/>
    <n v="0.93300000000000005"/>
    <n v="14557"/>
    <n v="114"/>
    <n v="0.65200000000000002"/>
    <n v="0.45800000000000002"/>
    <n v="1.0183000000000001E-4"/>
    <n v="0.99990000000000001"/>
    <s v="37.028954956218406"/>
    <s v="3.510292957000798"/>
    <s v="85.14454384887561"/>
    <s v="2.5598126614440995"/>
    <n v="721006458"/>
    <x v="0"/>
    <n v="3.4777042999999998E-4"/>
    <x v="0"/>
  </r>
  <r>
    <n v="27"/>
    <n v="1"/>
    <n v="0"/>
    <n v="4"/>
    <n v="2"/>
    <n v="5"/>
    <n v="0"/>
    <n v="22"/>
    <n v="5"/>
    <n v="2"/>
    <n v="2"/>
    <n v="7130"/>
    <n v="873"/>
    <n v="6257"/>
    <n v="0.53"/>
    <n v="2498"/>
    <n v="37"/>
    <n v="0.32100000000000001"/>
    <n v="0.122"/>
    <n v="1.1493E-4"/>
    <n v="0.99988999999999995"/>
    <s v="8.689432591538987"/>
    <n v="8.5478083632464603"/>
    <s v="38.76948311120844"/>
    <s v="15.180656251204525"/>
    <n v="807275733"/>
    <x v="0"/>
    <n v="2.0337763999999999E-3"/>
    <x v="0"/>
  </r>
  <r>
    <n v="38"/>
    <n v="1"/>
    <n v="1"/>
    <n v="6"/>
    <n v="1"/>
    <n v="1"/>
    <n v="0"/>
    <n v="18"/>
    <n v="1"/>
    <n v="1"/>
    <n v="2"/>
    <n v="9664"/>
    <n v="1983"/>
    <n v="7681"/>
    <n v="0.873"/>
    <n v="7995"/>
    <n v="56"/>
    <n v="0.80600000000000005"/>
    <n v="0.20499999999999999"/>
    <n v="0.98270999999999997"/>
    <n v="1.729E-2"/>
    <s v="21.341545009712483"/>
    <n v="28.942864080563801"/>
    <s v="154.3862944893835"/>
    <s v="14.965984877104006"/>
    <n v="710306358"/>
    <x v="1"/>
    <n v="0.98937874999999997"/>
    <x v="1"/>
  </r>
  <r>
    <n v="65"/>
    <n v="0"/>
    <n v="1"/>
    <n v="2"/>
    <n v="2"/>
    <n v="4"/>
    <n v="0"/>
    <n v="56"/>
    <n v="6"/>
    <n v="2"/>
    <n v="2"/>
    <n v="4613"/>
    <n v="1619"/>
    <n v="2994"/>
    <n v="0.69699999999999995"/>
    <n v="2328"/>
    <n v="62"/>
    <n v="0.72199999999999998"/>
    <n v="0.35099999999999998"/>
    <n v="1.0684E-4"/>
    <n v="0.99988999999999995"/>
    <s v="24.327278535564343"/>
    <s v="28.55522693452727"/>
    <s v="110.84688184945794"/>
    <s v="2.210447040070802"/>
    <n v="718589133"/>
    <x v="0"/>
    <n v="4.2757455999999999E-4"/>
    <x v="0"/>
  </r>
  <r>
    <n v="42"/>
    <n v="0"/>
    <n v="4"/>
    <n v="5"/>
    <n v="2"/>
    <n v="5"/>
    <n v="0"/>
    <n v="36"/>
    <n v="1"/>
    <n v="4"/>
    <n v="1"/>
    <n v="2875"/>
    <n v="1892"/>
    <n v="983"/>
    <n v="0.75"/>
    <n v="4577"/>
    <n v="81"/>
    <n v="0.68799999999999994"/>
    <n v="0.65800000000000003"/>
    <n v="1.4137000000000001E-4"/>
    <n v="0.99985999999999997"/>
    <s v="69.55869601076763"/>
    <s v="13.747404676313275"/>
    <s v="1.584999075116232"/>
    <s v="3.270938655289953"/>
    <n v="716324583"/>
    <x v="0"/>
    <n v="3.2101269999999999E-4"/>
    <x v="0"/>
  </r>
  <r>
    <n v="41"/>
    <n v="1"/>
    <n v="2"/>
    <n v="3"/>
    <n v="2"/>
    <n v="3"/>
    <n v="0"/>
    <n v="36"/>
    <n v="4"/>
    <n v="2"/>
    <n v="4"/>
    <n v="28830"/>
    <n v="0"/>
    <n v="28830"/>
    <n v="0.78600000000000003"/>
    <n v="3533"/>
    <n v="57"/>
    <n v="0.96599999999999997"/>
    <n v="0"/>
    <n v="3.1745999999999999E-4"/>
    <n v="0.99968000000000001"/>
    <s v="14.712825063368191"/>
    <s v="20.555133264977805"/>
    <s v="54.603051912253385"/>
    <s v="0.3645167422983435"/>
    <n v="711534183"/>
    <x v="0"/>
    <n v="1.1254594E-3"/>
    <x v="0"/>
  </r>
  <r>
    <n v="39"/>
    <n v="1"/>
    <n v="2"/>
    <n v="0"/>
    <n v="1"/>
    <n v="2"/>
    <n v="0"/>
    <n v="26"/>
    <n v="3"/>
    <n v="1"/>
    <n v="4"/>
    <n v="2731"/>
    <n v="1573"/>
    <n v="1158"/>
    <n v="0.94299999999999995"/>
    <n v="1813"/>
    <n v="38"/>
    <n v="0.72699999999999998"/>
    <n v="0.57599999999999996"/>
    <n v="1.5364999999999999E-4"/>
    <n v="0.99985000000000002"/>
    <s v="5.771339988915275"/>
    <s v="13.583252071623695"/>
    <s v="107.25931828194682"/>
    <s v="12.818785567324923"/>
    <n v="708593883"/>
    <x v="0"/>
    <n v="1.0634780000000001E-3"/>
    <x v="0"/>
  </r>
  <r>
    <n v="45"/>
    <n v="0"/>
    <n v="3"/>
    <n v="3"/>
    <n v="0"/>
    <n v="1"/>
    <n v="3"/>
    <n v="36"/>
    <n v="2"/>
    <n v="2"/>
    <n v="2"/>
    <n v="18000"/>
    <n v="1829"/>
    <n v="16171"/>
    <n v="0.67500000000000004"/>
    <n v="7149"/>
    <n v="86"/>
    <n v="0.623"/>
    <n v="0.10199999999999999"/>
    <n v="1.0374000000000001E-4"/>
    <n v="0.99990000000000001"/>
    <s v="0.2924650050081886"/>
    <s v="58.83936752157166"/>
    <s v="85.69532109503476"/>
    <s v="17.16737336441333"/>
    <n v="716574033"/>
    <x v="0"/>
    <n v="3.7789578000000003E-4"/>
    <x v="0"/>
  </r>
  <r>
    <n v="54"/>
    <n v="0"/>
    <n v="3"/>
    <n v="5"/>
    <n v="2"/>
    <n v="5"/>
    <n v="0"/>
    <n v="36"/>
    <n v="5"/>
    <n v="1"/>
    <n v="2"/>
    <n v="11975"/>
    <n v="1542"/>
    <n v="10433"/>
    <n v="0.77"/>
    <n v="1211"/>
    <n v="35"/>
    <n v="0.4"/>
    <n v="0.129"/>
    <s v="5.8763e-05"/>
    <n v="0.99994000000000005"/>
    <s v="14.796366308437802"/>
    <n v="52.486806963908599"/>
    <s v="56.999745179010446"/>
    <s v="3.369277512304277"/>
    <n v="715490733"/>
    <x v="0"/>
    <n v="1.1982243E-3"/>
    <x v="0"/>
  </r>
  <r>
    <n v="46"/>
    <n v="0"/>
    <n v="3"/>
    <n v="3"/>
    <n v="1"/>
    <n v="4"/>
    <n v="0"/>
    <n v="38"/>
    <n v="4"/>
    <n v="2"/>
    <n v="2"/>
    <n v="1781"/>
    <n v="1315"/>
    <n v="466"/>
    <n v="0.70399999999999996"/>
    <n v="4775"/>
    <n v="83"/>
    <n v="0.72899999999999998"/>
    <n v="0.73799999999999999"/>
    <n v="1.1482E-4"/>
    <n v="0.99988999999999995"/>
    <n v="9.9614169388928406"/>
    <n v="13.3805247485147"/>
    <s v="55.58928995985868"/>
    <s v="23.450712460100263"/>
    <n v="711047658"/>
    <x v="0"/>
    <n v="3.2101269999999999E-4"/>
    <x v="0"/>
  </r>
  <r>
    <n v="47"/>
    <n v="1"/>
    <n v="2"/>
    <n v="6"/>
    <n v="2"/>
    <n v="2"/>
    <n v="0"/>
    <n v="34"/>
    <n v="3"/>
    <n v="3"/>
    <n v="2"/>
    <n v="2048"/>
    <n v="1599"/>
    <n v="449"/>
    <n v="0.61299999999999999"/>
    <n v="4855"/>
    <n v="88"/>
    <n v="0.872"/>
    <n v="0.78100000000000003"/>
    <n v="1.9771E-4"/>
    <n v="0.99980000000000002"/>
    <s v="35.41335508223138"/>
    <s v="46.20251146190741"/>
    <s v="0.5634212632859767"/>
    <s v="16.56019384502016"/>
    <n v="710526633"/>
    <x v="0"/>
    <n v="3.2101269999999999E-4"/>
    <x v="0"/>
  </r>
  <r>
    <n v="51"/>
    <n v="0"/>
    <n v="2"/>
    <n v="5"/>
    <n v="1"/>
    <n v="4"/>
    <n v="0"/>
    <n v="45"/>
    <n v="6"/>
    <n v="3"/>
    <n v="2"/>
    <n v="7165"/>
    <n v="2037"/>
    <n v="5128"/>
    <n v="0.83"/>
    <n v="3553"/>
    <n v="78"/>
    <n v="0.90200000000000002"/>
    <n v="0.28399999999999997"/>
    <n v="1.8494E-4"/>
    <n v="0.99982000000000004"/>
    <s v="2.699622041725773"/>
    <s v="30.705647113433034"/>
    <s v="22.287360669032815"/>
    <s v="6.023892114711821"/>
    <n v="798988983"/>
    <x v="0"/>
    <n v="3.2101269999999999E-4"/>
    <x v="0"/>
  </r>
  <r>
    <n v="56"/>
    <n v="0"/>
    <n v="0"/>
    <n v="2"/>
    <n v="2"/>
    <n v="4"/>
    <n v="0"/>
    <n v="45"/>
    <n v="3"/>
    <n v="6"/>
    <n v="2"/>
    <n v="2463"/>
    <n v="1621"/>
    <n v="842"/>
    <n v="0.56799999999999995"/>
    <n v="4118"/>
    <n v="70"/>
    <n v="0.59099999999999997"/>
    <n v="0.65800000000000003"/>
    <n v="1.2184999999999999E-4"/>
    <n v="0.99987999999999999"/>
    <s v="20.413176629664036"/>
    <s v="5.113383057275747"/>
    <s v="233.18855590166052"/>
    <s v="4.458751838465391"/>
    <n v="713933658"/>
    <x v="0"/>
    <n v="3.2914013999999999E-4"/>
    <x v="0"/>
  </r>
  <r>
    <n v="30"/>
    <n v="0"/>
    <n v="2"/>
    <n v="5"/>
    <n v="1"/>
    <n v="4"/>
    <n v="0"/>
    <n v="24"/>
    <n v="4"/>
    <n v="2"/>
    <n v="1"/>
    <n v="2063"/>
    <n v="0"/>
    <n v="2063"/>
    <n v="0.55300000000000005"/>
    <n v="1859"/>
    <n v="43"/>
    <n v="0.53600000000000003"/>
    <n v="0"/>
    <s v="7.0576e-05"/>
    <n v="0.99992999999999999"/>
    <s v="22.190748887945063"/>
    <n v="27.785853779922"/>
    <s v="66.06415162851322"/>
    <s v="1.315620255828969"/>
    <n v="716811483"/>
    <x v="0"/>
    <n v="4.459518E-3"/>
    <x v="0"/>
  </r>
  <r>
    <n v="40"/>
    <n v="1"/>
    <n v="2"/>
    <n v="5"/>
    <n v="1"/>
    <n v="3"/>
    <n v="0"/>
    <n v="29"/>
    <n v="5"/>
    <n v="2"/>
    <n v="3"/>
    <n v="9109"/>
    <n v="1347"/>
    <n v="7762"/>
    <n v="0.69499999999999995"/>
    <n v="3991"/>
    <n v="84"/>
    <n v="0.86699999999999999"/>
    <n v="0.14799999999999999"/>
    <n v="1.9683E-4"/>
    <n v="0.99980000000000002"/>
    <n v="63.595512846615698"/>
    <s v="40.476752208541335"/>
    <s v="63.69372611295709"/>
    <s v="11.16148899978872"/>
    <n v="804371733"/>
    <x v="0"/>
    <n v="3.2101269999999999E-4"/>
    <x v="0"/>
  </r>
  <r>
    <n v="42"/>
    <n v="0"/>
    <n v="3"/>
    <n v="3"/>
    <n v="1"/>
    <n v="4"/>
    <n v="0"/>
    <n v="36"/>
    <n v="4"/>
    <n v="3"/>
    <n v="1"/>
    <n v="9351"/>
    <n v="1482"/>
    <n v="7869"/>
    <n v="0.46400000000000002"/>
    <n v="5099"/>
    <n v="60"/>
    <n v="0.71399999999999997"/>
    <n v="0.158"/>
    <n v="1.0943E-4"/>
    <n v="0.99988999999999995"/>
    <s v="1.4304759051896447"/>
    <s v="52.81920093502943"/>
    <s v="77.70959610797483"/>
    <s v="20.612850671647458"/>
    <n v="713240133"/>
    <x v="0"/>
    <n v="3.6248067000000002E-4"/>
    <x v="0"/>
  </r>
  <r>
    <n v="42"/>
    <n v="0"/>
    <n v="1"/>
    <n v="0"/>
    <n v="1"/>
    <n v="4"/>
    <n v="0"/>
    <n v="35"/>
    <n v="2"/>
    <n v="1"/>
    <n v="3"/>
    <n v="2873"/>
    <n v="2517"/>
    <n v="356"/>
    <n v="0.80300000000000005"/>
    <n v="4897"/>
    <n v="71"/>
    <n v="1.0880000000000001"/>
    <n v="0.876"/>
    <s v="8.4537e-05"/>
    <n v="0.99992000000000003"/>
    <s v="55.79317362852504"/>
    <s v="42.90490015391225"/>
    <s v="61.46730063395946"/>
    <s v="0.4309059138342251"/>
    <n v="756306183"/>
    <x v="0"/>
    <n v="3.4692350000000002E-4"/>
    <x v="0"/>
  </r>
  <r>
    <n v="42"/>
    <n v="0"/>
    <n v="2"/>
    <n v="5"/>
    <n v="1"/>
    <n v="5"/>
    <n v="0"/>
    <n v="31"/>
    <n v="4"/>
    <n v="2"/>
    <n v="0"/>
    <n v="22718"/>
    <n v="0"/>
    <n v="22718"/>
    <n v="0.79100000000000004"/>
    <n v="1191"/>
    <n v="37"/>
    <n v="1.1759999999999999"/>
    <n v="0"/>
    <s v="4.317e-05"/>
    <n v="0.99995999999999996"/>
    <s v="51.70924958040973"/>
    <s v="49.24672685578074"/>
    <s v="68.86464805768006"/>
    <n v="6.6579619789262701"/>
    <n v="716445783"/>
    <x v="0"/>
    <n v="3.081084E-3"/>
    <x v="0"/>
  </r>
  <r>
    <n v="42"/>
    <n v="1"/>
    <n v="2"/>
    <n v="6"/>
    <n v="2"/>
    <n v="0"/>
    <n v="0"/>
    <n v="32"/>
    <n v="5"/>
    <n v="2"/>
    <n v="4"/>
    <n v="4111"/>
    <n v="1233"/>
    <n v="2878"/>
    <n v="0.47799999999999998"/>
    <n v="1289"/>
    <n v="36"/>
    <n v="0.5"/>
    <n v="0.3"/>
    <n v="3.5893999999999998E-4"/>
    <n v="0.99963999999999997"/>
    <s v="11.391638870187652"/>
    <s v="23.222567893498137"/>
    <s v="13.036237982311246"/>
    <s v="15.341702940246645"/>
    <n v="709493283"/>
    <x v="0"/>
    <n v="1.1982243E-3"/>
    <x v="0"/>
  </r>
  <r>
    <n v="47"/>
    <n v="1"/>
    <n v="3"/>
    <n v="2"/>
    <n v="2"/>
    <n v="3"/>
    <n v="0"/>
    <n v="32"/>
    <n v="2"/>
    <n v="1"/>
    <n v="1"/>
    <n v="11671"/>
    <n v="1304"/>
    <n v="10367"/>
    <n v="0.49099999999999999"/>
    <n v="4168"/>
    <n v="71"/>
    <n v="0.86799999999999999"/>
    <n v="0.112"/>
    <s v="3.4465e-05"/>
    <n v="0.99997000000000003"/>
    <s v="77.61333878122848"/>
    <s v="50.595977524472936"/>
    <s v="66.85345218819087"/>
    <s v="5.989147187640359"/>
    <n v="721299483"/>
    <x v="0"/>
    <n v="3.2101269999999999E-4"/>
    <x v="0"/>
  </r>
  <r>
    <n v="39"/>
    <n v="1"/>
    <n v="4"/>
    <n v="4"/>
    <n v="2"/>
    <n v="3"/>
    <n v="0"/>
    <n v="32"/>
    <n v="5"/>
    <n v="3"/>
    <n v="2"/>
    <n v="26710"/>
    <n v="1681"/>
    <n v="25029"/>
    <n v="0.74099999999999999"/>
    <n v="14043"/>
    <n v="117"/>
    <n v="0.746"/>
    <n v="6.3E-2"/>
    <n v="2.2196E-4"/>
    <n v="0.99978"/>
    <s v="17.757745948682768"/>
    <s v="11.908700074135275"/>
    <s v="6.885478284622003"/>
    <s v="16.348202520557724"/>
    <n v="711289533"/>
    <x v="0"/>
    <n v="3.8573547000000003E-4"/>
    <x v="0"/>
  </r>
  <r>
    <n v="48"/>
    <n v="1"/>
    <n v="3"/>
    <n v="2"/>
    <n v="2"/>
    <n v="3"/>
    <n v="3"/>
    <n v="37"/>
    <n v="3"/>
    <n v="2"/>
    <n v="3"/>
    <n v="34516"/>
    <n v="0"/>
    <n v="34516"/>
    <n v="0.44800000000000001"/>
    <n v="1122"/>
    <n v="13"/>
    <n v="0.182"/>
    <n v="0"/>
    <n v="1.7949E-4"/>
    <n v="0.99982000000000004"/>
    <s v="8.683503261656092"/>
    <s v="10.245388364508589"/>
    <s v="136.9103225284794"/>
    <s v="29.88926384882756"/>
    <n v="789270033"/>
    <x v="0"/>
    <n v="4.5874009999999996E-3"/>
    <x v="0"/>
  </r>
  <r>
    <n v="49"/>
    <n v="1"/>
    <n v="3"/>
    <n v="2"/>
    <n v="2"/>
    <n v="2"/>
    <n v="0"/>
    <n v="32"/>
    <n v="3"/>
    <n v="1"/>
    <n v="4"/>
    <n v="7154"/>
    <n v="1472"/>
    <n v="5682"/>
    <n v="1.002"/>
    <n v="3607"/>
    <n v="59"/>
    <n v="0.73499999999999999"/>
    <n v="0.20599999999999999"/>
    <n v="1.6399000000000001E-4"/>
    <n v="0.99983999999999995"/>
    <s v="60.202852295323225"/>
    <n v="66.130354523724293"/>
    <s v="26.63240527252489"/>
    <s v="1.5916608504244667"/>
    <n v="779645658"/>
    <x v="0"/>
    <n v="3.9525176E-4"/>
    <x v="0"/>
  </r>
  <r>
    <n v="41"/>
    <n v="0"/>
    <n v="5"/>
    <n v="3"/>
    <n v="2"/>
    <n v="1"/>
    <n v="0"/>
    <n v="32"/>
    <n v="6"/>
    <n v="1"/>
    <n v="2"/>
    <n v="14987"/>
    <n v="1425"/>
    <n v="13562"/>
    <n v="0.8"/>
    <n v="4470"/>
    <n v="83"/>
    <n v="0.84399999999999997"/>
    <n v="9.5000000000000001E-2"/>
    <s v="5.5277e-05"/>
    <n v="0.99994000000000005"/>
    <s v="22.02626014711145"/>
    <s v="43.33146004826778"/>
    <s v="11.610023766345636"/>
    <s v="12.256526130930595"/>
    <n v="789430083"/>
    <x v="0"/>
    <n v="3.3022385E-4"/>
    <x v="0"/>
  </r>
  <r>
    <n v="57"/>
    <n v="0"/>
    <n v="2"/>
    <n v="5"/>
    <n v="2"/>
    <n v="1"/>
    <n v="3"/>
    <n v="36"/>
    <n v="6"/>
    <n v="3"/>
    <n v="0"/>
    <n v="19482"/>
    <n v="1072"/>
    <n v="18410"/>
    <n v="0.70599999999999996"/>
    <n v="1421"/>
    <n v="22"/>
    <n v="1.444"/>
    <n v="5.5E-2"/>
    <s v="6.1645e-05"/>
    <n v="0.99994000000000005"/>
    <s v="32.46954015644409"/>
    <n v="39.887665049456203"/>
    <s v="2.606850139349774"/>
    <s v="11.842332121995687"/>
    <n v="712977183"/>
    <x v="0"/>
    <n v="1.0985557E-3"/>
    <x v="0"/>
  </r>
  <r>
    <n v="49"/>
    <n v="1"/>
    <n v="3"/>
    <n v="0"/>
    <n v="3"/>
    <n v="3"/>
    <n v="0"/>
    <n v="38"/>
    <n v="3"/>
    <n v="3"/>
    <n v="3"/>
    <n v="4694"/>
    <n v="0"/>
    <n v="4694"/>
    <n v="0.58199999999999996"/>
    <n v="3798"/>
    <n v="56"/>
    <n v="1.24"/>
    <n v="0"/>
    <n v="3.0519E-4"/>
    <n v="0.99968999999999997"/>
    <s v="5.901062226623035"/>
    <s v="21.93539527856925"/>
    <s v="80.19881077767376"/>
    <s v="2.091508975554989"/>
    <n v="789772983"/>
    <x v="0"/>
    <n v="1.1905113999999999E-3"/>
    <x v="0"/>
  </r>
  <r>
    <n v="31"/>
    <n v="0"/>
    <n v="0"/>
    <n v="5"/>
    <n v="2"/>
    <n v="4"/>
    <n v="0"/>
    <n v="36"/>
    <n v="4"/>
    <n v="2"/>
    <n v="0"/>
    <n v="5391"/>
    <n v="0"/>
    <n v="5391"/>
    <n v="1.075"/>
    <n v="1971"/>
    <n v="56"/>
    <n v="0.6"/>
    <n v="0"/>
    <s v="3.7045e-05"/>
    <n v="0.99995999999999996"/>
    <s v="12.570795568221786"/>
    <s v="38.04491690320253"/>
    <s v="13.22701005736347"/>
    <s v="23.11529857813403"/>
    <n v="709183683"/>
    <x v="0"/>
    <n v="1.5472730000000001E-3"/>
    <x v="0"/>
  </r>
  <r>
    <n v="59"/>
    <n v="0"/>
    <n v="1"/>
    <n v="3"/>
    <n v="2"/>
    <n v="4"/>
    <n v="0"/>
    <n v="46"/>
    <n v="2"/>
    <n v="3"/>
    <n v="2"/>
    <n v="7484"/>
    <n v="1939"/>
    <n v="5545"/>
    <n v="0.99399999999999999"/>
    <n v="4923"/>
    <n v="56"/>
    <n v="0.33300000000000002"/>
    <n v="0.25900000000000001"/>
    <n v="0.99395"/>
    <n v="6.0499999999999998E-3"/>
    <s v="61.05647643529699"/>
    <s v="28.127743329388878"/>
    <s v="163.0193702573303"/>
    <s v="3.439762626480487"/>
    <n v="713425383"/>
    <x v="1"/>
    <n v="0.98985504999999996"/>
    <x v="1"/>
  </r>
  <r>
    <n v="52"/>
    <n v="1"/>
    <n v="0"/>
    <n v="2"/>
    <n v="2"/>
    <n v="0"/>
    <n v="0"/>
    <n v="41"/>
    <n v="6"/>
    <n v="3"/>
    <n v="2"/>
    <n v="3386"/>
    <n v="1794"/>
    <n v="1592"/>
    <n v="0.67100000000000004"/>
    <n v="1736"/>
    <n v="40"/>
    <n v="1.105"/>
    <n v="0.53"/>
    <n v="1.5435000000000001E-4"/>
    <n v="0.99985000000000002"/>
    <s v="33.48040227022482"/>
    <s v="24.511572838837413"/>
    <s v="59.38042990129772"/>
    <s v="4.359945874833372"/>
    <n v="779759058"/>
    <x v="0"/>
    <n v="9.8706899999999992E-4"/>
    <x v="0"/>
  </r>
  <r>
    <n v="44"/>
    <n v="1"/>
    <n v="3"/>
    <n v="2"/>
    <n v="1"/>
    <n v="2"/>
    <n v="0"/>
    <n v="32"/>
    <n v="2"/>
    <n v="1"/>
    <n v="1"/>
    <n v="20001"/>
    <n v="0"/>
    <n v="20001"/>
    <n v="0.74199999999999999"/>
    <n v="8094"/>
    <n v="96"/>
    <n v="0.6"/>
    <n v="0"/>
    <s v="3.4465e-05"/>
    <n v="0.99997000000000003"/>
    <s v="28.038396435859735"/>
    <s v="3.8043889816427288"/>
    <s v="52.71604988418569"/>
    <s v="9.186373998988715"/>
    <n v="721495458"/>
    <x v="0"/>
    <n v="8.1829850000000003E-4"/>
    <x v="0"/>
  </r>
  <r>
    <n v="41"/>
    <n v="0"/>
    <n v="3"/>
    <n v="6"/>
    <n v="3"/>
    <n v="1"/>
    <n v="0"/>
    <n v="30"/>
    <n v="1"/>
    <n v="2"/>
    <n v="3"/>
    <n v="5357"/>
    <n v="1272"/>
    <n v="4085"/>
    <n v="0.70799999999999996"/>
    <n v="7730"/>
    <n v="97"/>
    <n v="0.54"/>
    <n v="0.23699999999999999"/>
    <n v="2.1834E-4"/>
    <n v="0.99978"/>
    <n v="20.330825685080701"/>
    <s v="67.90419374410891"/>
    <s v="75.57093039141499"/>
    <n v="5.0481086948257898"/>
    <n v="715624533"/>
    <x v="0"/>
    <n v="3.7789578000000003E-4"/>
    <x v="0"/>
  </r>
  <r>
    <n v="55"/>
    <n v="0"/>
    <n v="3"/>
    <n v="3"/>
    <n v="2"/>
    <n v="1"/>
    <n v="0"/>
    <n v="47"/>
    <n v="5"/>
    <n v="4"/>
    <n v="3"/>
    <n v="2687"/>
    <n v="1689"/>
    <n v="998"/>
    <n v="0.71399999999999997"/>
    <n v="2370"/>
    <n v="34"/>
    <n v="0.78900000000000003"/>
    <n v="0.629"/>
    <n v="0.99729999999999996"/>
    <n v="2.7033199999999999E-3"/>
    <s v="44.02324212724052"/>
    <s v="22.749055315598756"/>
    <n v="9.5617895612478208"/>
    <s v="11.820523734065585"/>
    <n v="778601733"/>
    <x v="1"/>
    <n v="0.99482179999999998"/>
    <x v="1"/>
  </r>
  <r>
    <n v="34"/>
    <n v="0"/>
    <n v="3"/>
    <n v="4"/>
    <n v="2"/>
    <n v="5"/>
    <n v="0"/>
    <n v="29"/>
    <n v="3"/>
    <n v="1"/>
    <n v="4"/>
    <n v="1617"/>
    <n v="1347"/>
    <n v="270"/>
    <n v="0.73"/>
    <n v="2546"/>
    <n v="55"/>
    <n v="0.71899999999999997"/>
    <n v="0.83299999999999996"/>
    <n v="1.9296E-4"/>
    <n v="0.99980999999999998"/>
    <s v="9.728616451666392"/>
    <s v="31.644181203869326"/>
    <s v="63.06517101200463"/>
    <s v="22.11970635754631"/>
    <n v="806894133"/>
    <x v="0"/>
    <n v="6.1141956000000002E-4"/>
    <x v="0"/>
  </r>
  <r>
    <n v="45"/>
    <n v="1"/>
    <n v="4"/>
    <n v="3"/>
    <n v="2"/>
    <n v="3"/>
    <n v="0"/>
    <n v="34"/>
    <n v="3"/>
    <n v="2"/>
    <n v="3"/>
    <n v="15913"/>
    <n v="1696"/>
    <n v="14217"/>
    <n v="0.63200000000000001"/>
    <n v="4472"/>
    <n v="86"/>
    <n v="0.79200000000000004"/>
    <n v="0.107"/>
    <n v="1.9516999999999999E-4"/>
    <n v="0.99980000000000002"/>
    <s v="4.846057930792675"/>
    <s v="57.55641325182551"/>
    <s v="95.12872246325576"/>
    <s v="13.619555619090612"/>
    <n v="718622658"/>
    <x v="0"/>
    <n v="3.2101269999999999E-4"/>
    <x v="0"/>
  </r>
  <r>
    <n v="38"/>
    <n v="1"/>
    <n v="3"/>
    <n v="2"/>
    <n v="2"/>
    <n v="1"/>
    <n v="0"/>
    <n v="19"/>
    <n v="5"/>
    <n v="2"/>
    <n v="3"/>
    <n v="1705"/>
    <n v="0"/>
    <n v="1705"/>
    <n v="0.60399999999999998"/>
    <n v="3342"/>
    <n v="62"/>
    <n v="0.82399999999999995"/>
    <n v="0"/>
    <n v="1.9864000000000001E-4"/>
    <n v="0.99980000000000002"/>
    <s v="20.31813755102165"/>
    <s v="9.484923163537744"/>
    <s v="59.562401180495726"/>
    <s v="19.30087534135465"/>
    <n v="711934308"/>
    <x v="0"/>
    <n v="8.1245880000000001E-4"/>
    <x v="0"/>
  </r>
  <r>
    <n v="40"/>
    <n v="1"/>
    <n v="5"/>
    <n v="2"/>
    <n v="2"/>
    <n v="1"/>
    <n v="0"/>
    <n v="36"/>
    <n v="2"/>
    <n v="2"/>
    <n v="3"/>
    <n v="2849"/>
    <n v="1741"/>
    <n v="1108"/>
    <n v="0.79100000000000004"/>
    <n v="8669"/>
    <n v="99"/>
    <n v="0.76800000000000002"/>
    <n v="0.61099999999999999"/>
    <n v="1.9764000000000001E-4"/>
    <n v="0.99980000000000002"/>
    <s v="17.870942802600215"/>
    <s v="28.660868407486845"/>
    <s v="17.32100370606816"/>
    <s v="9.608532538756382"/>
    <n v="714880533"/>
    <x v="0"/>
    <n v="3.6856539999999998E-4"/>
    <x v="0"/>
  </r>
  <r>
    <n v="58"/>
    <n v="1"/>
    <n v="3"/>
    <n v="3"/>
    <n v="2"/>
    <n v="3"/>
    <n v="0"/>
    <n v="51"/>
    <n v="2"/>
    <n v="2"/>
    <n v="1"/>
    <n v="10021"/>
    <n v="1952"/>
    <n v="8069"/>
    <n v="0.69899999999999995"/>
    <n v="4431"/>
    <n v="68"/>
    <n v="0.58099999999999996"/>
    <n v="0.19500000000000001"/>
    <s v="6.9242e-05"/>
    <n v="0.99992999999999999"/>
    <s v="0.2403838025996569"/>
    <s v="31.865453572289653"/>
    <n v="70.636261395046404"/>
    <s v="7.522818268143364"/>
    <n v="788502858"/>
    <x v="0"/>
    <n v="3.2914013999999999E-4"/>
    <x v="0"/>
  </r>
  <r>
    <n v="49"/>
    <n v="1"/>
    <n v="2"/>
    <n v="1"/>
    <n v="1"/>
    <n v="0"/>
    <n v="0"/>
    <n v="34"/>
    <n v="3"/>
    <n v="6"/>
    <n v="4"/>
    <n v="27124"/>
    <n v="2311"/>
    <n v="24813"/>
    <n v="0.73"/>
    <n v="15195"/>
    <n v="121"/>
    <n v="0.72899999999999998"/>
    <n v="8.5000000000000006E-2"/>
    <n v="5.8940999999999996E-4"/>
    <n v="0.99941000000000002"/>
    <s v="21.94647372993557"/>
    <s v="51.913847730920935"/>
    <s v="21.47894242141204"/>
    <s v="8.300000107046788"/>
    <n v="779140533"/>
    <x v="0"/>
    <n v="3.5650693E-4"/>
    <x v="0"/>
  </r>
  <r>
    <n v="65"/>
    <n v="0"/>
    <n v="1"/>
    <n v="3"/>
    <n v="1"/>
    <n v="4"/>
    <n v="0"/>
    <n v="36"/>
    <n v="3"/>
    <n v="2"/>
    <n v="0"/>
    <n v="3198"/>
    <n v="2493"/>
    <n v="705"/>
    <n v="0.66500000000000004"/>
    <n v="1936"/>
    <n v="44"/>
    <n v="1.3160000000000001"/>
    <n v="0.78"/>
    <s v="3.8311e-05"/>
    <n v="0.99995999999999996"/>
    <s v="39.53309384035998"/>
    <n v="96.458529215708595"/>
    <s v="16.12696281566683"/>
    <s v="6.6105508001986095"/>
    <n v="713827383"/>
    <x v="0"/>
    <n v="1.1796205000000001E-3"/>
    <x v="0"/>
  </r>
  <r>
    <n v="30"/>
    <n v="0"/>
    <n v="0"/>
    <n v="3"/>
    <n v="2"/>
    <n v="5"/>
    <n v="0"/>
    <n v="22"/>
    <n v="1"/>
    <n v="2"/>
    <n v="4"/>
    <n v="13894"/>
    <n v="0"/>
    <n v="13894"/>
    <n v="0.84499999999999997"/>
    <n v="9351"/>
    <n v="69"/>
    <n v="0.53300000000000003"/>
    <n v="0"/>
    <n v="0.99634"/>
    <n v="3.65621E-3"/>
    <s v="11.100167783437367"/>
    <s v="75.24623962720251"/>
    <s v="149.5429446195808"/>
    <s v="9.509770093380912"/>
    <n v="711745233"/>
    <x v="1"/>
    <n v="0.99407730000000005"/>
    <x v="1"/>
  </r>
  <r>
    <n v="49"/>
    <n v="0"/>
    <n v="3"/>
    <n v="3"/>
    <n v="1"/>
    <n v="5"/>
    <n v="3"/>
    <n v="36"/>
    <n v="2"/>
    <n v="3"/>
    <n v="3"/>
    <n v="34516"/>
    <n v="1273"/>
    <n v="33243"/>
    <n v="0.97699999999999998"/>
    <n v="4777"/>
    <n v="51"/>
    <n v="0.45700000000000002"/>
    <n v="3.6999999999999998E-2"/>
    <n v="0.99639"/>
    <n v="3.61254E-3"/>
    <s v="38.093610570813794"/>
    <s v="100.19746619693024"/>
    <s v="80.06800201657111"/>
    <s v="1.5567448453424004"/>
    <n v="770842833"/>
    <x v="1"/>
    <n v="0.99531979999999998"/>
    <x v="1"/>
  </r>
  <r>
    <n v="40"/>
    <n v="1"/>
    <n v="4"/>
    <n v="2"/>
    <n v="2"/>
    <n v="3"/>
    <n v="3"/>
    <n v="22"/>
    <n v="3"/>
    <n v="1"/>
    <n v="3"/>
    <n v="34516"/>
    <n v="0"/>
    <n v="34516"/>
    <n v="0.64"/>
    <n v="1028"/>
    <n v="26"/>
    <n v="0.3"/>
    <n v="0"/>
    <n v="0.98873999999999995"/>
    <n v="1.1259999999999999E-2"/>
    <s v="10.340267795334489"/>
    <s v="51.34367499298519"/>
    <s v="95.95696569081062"/>
    <s v="3.190548712139039"/>
    <n v="713206683"/>
    <x v="1"/>
    <n v="0.99870884000000004"/>
    <x v="1"/>
  </r>
  <r>
    <n v="43"/>
    <n v="1"/>
    <n v="1"/>
    <n v="3"/>
    <n v="1"/>
    <n v="2"/>
    <n v="0"/>
    <n v="36"/>
    <n v="1"/>
    <n v="2"/>
    <n v="3"/>
    <n v="4255"/>
    <n v="1729"/>
    <n v="2526"/>
    <n v="0.55000000000000004"/>
    <n v="3607"/>
    <n v="75"/>
    <n v="0.47099999999999997"/>
    <n v="0.40600000000000003"/>
    <n v="1.7468E-4"/>
    <n v="0.99983"/>
    <s v="35.246114378044595"/>
    <s v="17.73587974660905"/>
    <s v="73.63587076426964"/>
    <s v="3.742301935760315"/>
    <n v="711598533"/>
    <x v="0"/>
    <n v="3.5747702000000001E-4"/>
    <x v="0"/>
  </r>
  <r>
    <n v="57"/>
    <n v="1"/>
    <n v="2"/>
    <n v="5"/>
    <n v="2"/>
    <n v="2"/>
    <n v="3"/>
    <n v="49"/>
    <n v="4"/>
    <n v="3"/>
    <n v="3"/>
    <n v="32182"/>
    <n v="0"/>
    <n v="32182"/>
    <n v="0.52"/>
    <n v="1937"/>
    <n v="46"/>
    <n v="0.70399999999999996"/>
    <n v="0"/>
    <n v="0.99646000000000001"/>
    <n v="3.54449E-3"/>
    <s v="39.61258988391447"/>
    <s v="31.528482388619484"/>
    <s v="17.53677890192755"/>
    <s v="7.891786335831611"/>
    <n v="720362058"/>
    <x v="1"/>
    <n v="0.99838625999999997"/>
    <x v="1"/>
  </r>
  <r>
    <n v="58"/>
    <n v="1"/>
    <n v="1"/>
    <n v="4"/>
    <n v="2"/>
    <n v="3"/>
    <n v="0"/>
    <n v="41"/>
    <n v="4"/>
    <n v="2"/>
    <n v="1"/>
    <n v="2915"/>
    <n v="1494"/>
    <n v="1421"/>
    <n v="0.86099999999999999"/>
    <n v="4235"/>
    <n v="73"/>
    <n v="0.82499999999999996"/>
    <n v="0.51300000000000001"/>
    <s v="7.5811e-05"/>
    <n v="0.99992000000000003"/>
    <s v="17.445703882221522"/>
    <n v="30.164626427490699"/>
    <n v="84.572505312664703"/>
    <s v="16.667129671658735"/>
    <n v="779667408"/>
    <x v="0"/>
    <n v="3.2101269999999999E-4"/>
    <x v="0"/>
  </r>
  <r>
    <n v="33"/>
    <n v="1"/>
    <n v="1"/>
    <n v="4"/>
    <n v="1"/>
    <n v="3"/>
    <n v="0"/>
    <n v="36"/>
    <n v="4"/>
    <n v="3"/>
    <n v="2"/>
    <n v="2946"/>
    <n v="1359"/>
    <n v="1587"/>
    <n v="0.746"/>
    <n v="2017"/>
    <n v="48"/>
    <n v="0.45500000000000002"/>
    <n v="0.46100000000000002"/>
    <n v="1.9866E-4"/>
    <n v="0.99980000000000002"/>
    <s v="33.94767884892945"/>
    <s v="12.269411171196566"/>
    <s v="103.38380536273756"/>
    <s v="12.835236529009505"/>
    <n v="708446808"/>
    <x v="0"/>
    <n v="1.3973408E-3"/>
    <x v="0"/>
  </r>
  <r>
    <n v="48"/>
    <n v="1"/>
    <n v="4"/>
    <n v="3"/>
    <n v="1"/>
    <n v="3"/>
    <n v="0"/>
    <n v="36"/>
    <n v="5"/>
    <n v="1"/>
    <n v="2"/>
    <n v="6798"/>
    <n v="2517"/>
    <n v="4281"/>
    <n v="0.873"/>
    <n v="4327"/>
    <n v="79"/>
    <n v="0.88100000000000001"/>
    <n v="0.37"/>
    <s v="5.6153e-05"/>
    <n v="0.99994000000000005"/>
    <s v="36.42937695061927"/>
    <s v="14.174806961348738"/>
    <s v="159.30441831009583"/>
    <s v="3.341781425514104"/>
    <n v="713856708"/>
    <x v="0"/>
    <n v="3.4692350000000002E-4"/>
    <x v="0"/>
  </r>
  <r>
    <n v="44"/>
    <n v="0"/>
    <n v="2"/>
    <n v="2"/>
    <n v="1"/>
    <n v="4"/>
    <n v="0"/>
    <n v="36"/>
    <n v="5"/>
    <n v="1"/>
    <n v="3"/>
    <n v="4473"/>
    <n v="0"/>
    <n v="4473"/>
    <n v="0.54300000000000004"/>
    <n v="4047"/>
    <n v="56"/>
    <n v="0.75"/>
    <n v="0"/>
    <s v="9.2637e-05"/>
    <n v="0.99990999999999997"/>
    <s v="17.060140018860324"/>
    <s v="24.828250262079354"/>
    <s v="89.66130925637056"/>
    <s v="12.804585604567066"/>
    <n v="714951858"/>
    <x v="0"/>
    <n v="1.3735312E-3"/>
    <x v="0"/>
  </r>
  <r>
    <n v="56"/>
    <n v="0"/>
    <n v="3"/>
    <n v="3"/>
    <n v="1"/>
    <n v="4"/>
    <n v="0"/>
    <n v="47"/>
    <n v="6"/>
    <n v="3"/>
    <n v="4"/>
    <n v="2865"/>
    <n v="2022"/>
    <n v="843"/>
    <n v="0.54700000000000004"/>
    <n v="3441"/>
    <n v="66"/>
    <n v="0.65"/>
    <n v="0.70599999999999996"/>
    <n v="5.2052000000000001E-4"/>
    <n v="0.99948000000000004"/>
    <s v="41.55843766319282"/>
    <s v="36.54551874919075"/>
    <s v="77.53070787613265"/>
    <s v="3.7820406223919063"/>
    <n v="718746933"/>
    <x v="0"/>
    <n v="3.2101269999999999E-4"/>
    <x v="0"/>
  </r>
  <r>
    <n v="63"/>
    <n v="0"/>
    <n v="1"/>
    <n v="3"/>
    <n v="1"/>
    <n v="4"/>
    <n v="0"/>
    <n v="56"/>
    <n v="6"/>
    <n v="1"/>
    <n v="3"/>
    <n v="3055"/>
    <n v="1685"/>
    <n v="1370"/>
    <n v="0.54100000000000004"/>
    <n v="1405"/>
    <n v="40"/>
    <n v="0.48099999999999998"/>
    <n v="0.55200000000000005"/>
    <s v="8.453e-05"/>
    <n v="0.99992000000000003"/>
    <s v="7.766807117893715"/>
    <s v="19.785890200814052"/>
    <n v="93.892577259487396"/>
    <s v="12.202416742218915"/>
    <n v="713366583"/>
    <x v="0"/>
    <n v="1.1982243E-3"/>
    <x v="0"/>
  </r>
  <r>
    <n v="46"/>
    <n v="1"/>
    <n v="3"/>
    <n v="2"/>
    <n v="1"/>
    <n v="4"/>
    <n v="0"/>
    <n v="27"/>
    <n v="1"/>
    <n v="2"/>
    <n v="2"/>
    <n v="6954"/>
    <n v="1502"/>
    <n v="5452"/>
    <n v="0.624"/>
    <n v="7510"/>
    <n v="89"/>
    <n v="0.64800000000000002"/>
    <n v="0.216"/>
    <n v="1.1811000000000001E-4"/>
    <n v="0.99987999999999999"/>
    <s v="35.00707545351717"/>
    <s v="19.567095007852828"/>
    <n v="48.951564900958097"/>
    <s v="6.171712834128876"/>
    <n v="778865583"/>
    <x v="0"/>
    <n v="3.7789578000000003E-4"/>
    <x v="0"/>
  </r>
  <r>
    <n v="47"/>
    <n v="1"/>
    <n v="3"/>
    <n v="6"/>
    <n v="2"/>
    <n v="0"/>
    <n v="1"/>
    <n v="38"/>
    <n v="2"/>
    <n v="4"/>
    <n v="3"/>
    <n v="34516"/>
    <n v="1342"/>
    <n v="33174"/>
    <n v="0.69"/>
    <n v="7283"/>
    <n v="89"/>
    <n v="0.64800000000000002"/>
    <n v="3.9E-2"/>
    <n v="4.8035999999999999E-4"/>
    <n v="0.99951999999999996"/>
    <s v="4.829970445825036"/>
    <s v="10.247530119915828"/>
    <s v="41.42574709136468"/>
    <s v="2.4109164601507964"/>
    <n v="772869033"/>
    <x v="0"/>
    <n v="4.2060707000000003E-4"/>
    <x v="0"/>
  </r>
  <r>
    <n v="36"/>
    <n v="0"/>
    <n v="3"/>
    <n v="3"/>
    <n v="1"/>
    <n v="5"/>
    <n v="0"/>
    <n v="30"/>
    <n v="6"/>
    <n v="2"/>
    <n v="2"/>
    <n v="3399"/>
    <n v="2173"/>
    <n v="1226"/>
    <n v="0.79500000000000004"/>
    <n v="1571"/>
    <n v="34"/>
    <n v="1"/>
    <n v="0.63900000000000001"/>
    <n v="1.1482E-4"/>
    <n v="0.99988999999999995"/>
    <s v="11.27205525322171"/>
    <s v="25.99511839888859"/>
    <s v="16.097532689264245"/>
    <s v="5.561805804733528"/>
    <n v="709364433"/>
    <x v="0"/>
    <n v="9.8706899999999992E-4"/>
    <x v="0"/>
  </r>
  <r>
    <n v="54"/>
    <n v="0"/>
    <n v="4"/>
    <n v="4"/>
    <n v="1"/>
    <n v="4"/>
    <n v="0"/>
    <n v="49"/>
    <n v="3"/>
    <n v="3"/>
    <n v="2"/>
    <n v="2802"/>
    <n v="2219"/>
    <n v="583"/>
    <n v="0.79600000000000004"/>
    <n v="5924"/>
    <n v="88"/>
    <n v="0.63"/>
    <n v="0.79200000000000004"/>
    <n v="2.2196E-4"/>
    <n v="0.99978"/>
    <s v="5.894912965978638"/>
    <s v="27.683240756215685"/>
    <s v="2.9584744929936333"/>
    <s v="4.435980168797486"/>
    <n v="819631158"/>
    <x v="0"/>
    <n v="3.7789578000000003E-4"/>
    <x v="0"/>
  </r>
  <r>
    <n v="48"/>
    <n v="0"/>
    <n v="2"/>
    <n v="6"/>
    <n v="2"/>
    <n v="5"/>
    <n v="0"/>
    <n v="38"/>
    <n v="4"/>
    <n v="4"/>
    <n v="3"/>
    <n v="2792"/>
    <n v="1375"/>
    <n v="1417"/>
    <n v="0.85399999999999998"/>
    <n v="4364"/>
    <n v="62"/>
    <n v="0.879"/>
    <n v="0.49199999999999999"/>
    <n v="4.0182999999999999E-4"/>
    <n v="0.99960000000000004"/>
    <s v="31.323751685959014"/>
    <s v="10.274781964266172"/>
    <n v="35.511983336217902"/>
    <s v="10.488578307869306"/>
    <n v="714895608"/>
    <x v="0"/>
    <n v="3.479205E-4"/>
    <x v="0"/>
  </r>
  <r>
    <n v="53"/>
    <n v="0"/>
    <n v="1"/>
    <n v="0"/>
    <n v="2"/>
    <n v="1"/>
    <n v="0"/>
    <n v="47"/>
    <n v="5"/>
    <n v="3"/>
    <n v="2"/>
    <n v="6605"/>
    <n v="1479"/>
    <n v="5126"/>
    <n v="0.73899999999999999"/>
    <n v="2017"/>
    <n v="47"/>
    <n v="0.67900000000000005"/>
    <n v="0.224"/>
    <n v="1.6415000000000001E-4"/>
    <n v="0.99983999999999995"/>
    <s v="12.985388479515818"/>
    <s v="73.20577901438725"/>
    <s v="86.00206586442836"/>
    <s v="4.770275784623086"/>
    <n v="798158808"/>
    <x v="0"/>
    <n v="1.2055437999999999E-3"/>
    <x v="0"/>
  </r>
  <r>
    <n v="44"/>
    <n v="0"/>
    <n v="4"/>
    <n v="0"/>
    <n v="1"/>
    <n v="4"/>
    <n v="0"/>
    <n v="39"/>
    <n v="4"/>
    <n v="2"/>
    <n v="2"/>
    <n v="8128"/>
    <n v="1846"/>
    <n v="6282"/>
    <n v="0.85699999999999998"/>
    <n v="1224"/>
    <n v="32"/>
    <n v="0.77800000000000002"/>
    <n v="0.22700000000000001"/>
    <n v="1.1605E-4"/>
    <n v="0.99987999999999999"/>
    <s v="10.190793362401967"/>
    <s v="46.38817802018521"/>
    <s v="58.545912954145486"/>
    <s v="6.6325168338130185"/>
    <n v="809292483"/>
    <x v="0"/>
    <n v="1.0337284E-3"/>
    <x v="0"/>
  </r>
  <r>
    <n v="49"/>
    <n v="0"/>
    <n v="4"/>
    <n v="6"/>
    <n v="2"/>
    <n v="4"/>
    <n v="0"/>
    <n v="45"/>
    <n v="5"/>
    <n v="3"/>
    <n v="2"/>
    <n v="9431"/>
    <n v="1785"/>
    <n v="7646"/>
    <n v="0.60299999999999998"/>
    <n v="14261"/>
    <n v="99"/>
    <n v="0.65"/>
    <n v="0.189"/>
    <n v="2.0735E-4"/>
    <n v="0.99978999999999996"/>
    <s v="21.99759006487452"/>
    <n v="79.518454780277693"/>
    <s v="147.8598143451117"/>
    <s v="2.810225011566927"/>
    <n v="827318958"/>
    <x v="0"/>
    <n v="3.4656386999999997E-4"/>
    <x v="0"/>
  </r>
  <r>
    <n v="41"/>
    <n v="0"/>
    <n v="2"/>
    <n v="2"/>
    <n v="2"/>
    <n v="1"/>
    <n v="0"/>
    <n v="25"/>
    <n v="4"/>
    <n v="2"/>
    <n v="2"/>
    <n v="2768"/>
    <n v="2228"/>
    <n v="540"/>
    <n v="0.86399999999999999"/>
    <n v="5112"/>
    <n v="86"/>
    <n v="0.87"/>
    <n v="0.80500000000000005"/>
    <n v="1.1382E-4"/>
    <n v="0.99988999999999995"/>
    <s v="34.15841582999996"/>
    <s v="18.856054978240884"/>
    <s v="77.66911009559497"/>
    <n v="13.885899748419"/>
    <n v="720054183"/>
    <x v="0"/>
    <n v="3.2101269999999999E-4"/>
    <x v="0"/>
  </r>
  <r>
    <n v="50"/>
    <n v="0"/>
    <n v="1"/>
    <n v="6"/>
    <n v="3"/>
    <n v="4"/>
    <n v="0"/>
    <n v="42"/>
    <n v="1"/>
    <n v="1"/>
    <n v="2"/>
    <n v="2210"/>
    <n v="1539"/>
    <n v="671"/>
    <n v="0.84299999999999997"/>
    <n v="4937"/>
    <n v="75"/>
    <n v="0.97399999999999998"/>
    <n v="0.69599999999999995"/>
    <s v="5.6825e-05"/>
    <n v="0.99994000000000005"/>
    <s v="27.75583016611607"/>
    <s v="81.42534367837447"/>
    <s v="26.358923406583774"/>
    <s v="28.88477977150519"/>
    <n v="789992733"/>
    <x v="0"/>
    <n v="3.2101269999999999E-4"/>
    <x v="0"/>
  </r>
  <r>
    <n v="62"/>
    <n v="1"/>
    <n v="0"/>
    <n v="5"/>
    <n v="2"/>
    <n v="1"/>
    <n v="0"/>
    <n v="50"/>
    <n v="3"/>
    <n v="2"/>
    <n v="2"/>
    <n v="7348"/>
    <n v="1466"/>
    <n v="5882"/>
    <n v="1.236"/>
    <n v="3066"/>
    <n v="61"/>
    <n v="0.69399999999999995"/>
    <n v="0.2"/>
    <n v="1.0043E-4"/>
    <n v="0.99990000000000001"/>
    <n v="39.576214414177301"/>
    <s v="7.969160307032898"/>
    <s v="110.36663188036192"/>
    <s v="3.5218205914348304"/>
    <n v="717132633"/>
    <x v="0"/>
    <n v="3.6472460000000001E-4"/>
    <x v="0"/>
  </r>
  <r>
    <n v="45"/>
    <n v="0"/>
    <n v="2"/>
    <n v="2"/>
    <n v="3"/>
    <n v="1"/>
    <n v="0"/>
    <n v="36"/>
    <n v="4"/>
    <n v="3"/>
    <n v="4"/>
    <n v="4947"/>
    <n v="1053"/>
    <n v="3894"/>
    <n v="1.1950000000000001"/>
    <n v="3479"/>
    <n v="76"/>
    <n v="0.81"/>
    <n v="0.21299999999999999"/>
    <n v="5.1599999999999997E-4"/>
    <n v="0.99948000000000004"/>
    <s v="2.885400989014254"/>
    <s v="5.1827389197616345"/>
    <s v="37.97281403874288"/>
    <s v="1.1061835956661763"/>
    <n v="713464983"/>
    <x v="0"/>
    <n v="3.3750932000000002E-4"/>
    <x v="0"/>
  </r>
  <r>
    <n v="53"/>
    <n v="1"/>
    <n v="2"/>
    <n v="3"/>
    <n v="2"/>
    <n v="2"/>
    <n v="0"/>
    <n v="49"/>
    <n v="2"/>
    <n v="3"/>
    <n v="2"/>
    <n v="4142"/>
    <n v="2252"/>
    <n v="1890"/>
    <n v="0.71399999999999997"/>
    <n v="15078"/>
    <n v="117"/>
    <n v="0.746"/>
    <n v="0.54400000000000004"/>
    <n v="1.7485999999999999E-4"/>
    <n v="0.99983"/>
    <s v="6.500189935048766"/>
    <s v="30.72045744875959"/>
    <s v="31.58036336393245"/>
    <s v="5.940256411216065"/>
    <n v="821752908"/>
    <x v="0"/>
    <n v="3.4656386999999997E-4"/>
    <x v="0"/>
  </r>
  <r>
    <n v="45"/>
    <n v="0"/>
    <n v="3"/>
    <n v="5"/>
    <n v="2"/>
    <n v="4"/>
    <n v="0"/>
    <n v="39"/>
    <n v="5"/>
    <n v="4"/>
    <n v="1"/>
    <n v="2551"/>
    <n v="2253"/>
    <n v="298"/>
    <n v="0.68799999999999994"/>
    <n v="3753"/>
    <n v="63"/>
    <n v="0.90900000000000003"/>
    <n v="0.88300000000000001"/>
    <n v="1.3987E-4"/>
    <n v="0.99985999999999997"/>
    <s v="12.905707958619166"/>
    <s v="27.33107232630297"/>
    <s v="145.86164753576986"/>
    <s v="35.98289725162798"/>
    <n v="716096358"/>
    <x v="0"/>
    <n v="3.479205E-4"/>
    <x v="0"/>
  </r>
  <r>
    <n v="53"/>
    <n v="1"/>
    <n v="1"/>
    <n v="2"/>
    <n v="2"/>
    <n v="3"/>
    <n v="0"/>
    <n v="45"/>
    <n v="6"/>
    <n v="3"/>
    <n v="2"/>
    <n v="1826"/>
    <n v="883"/>
    <n v="943"/>
    <n v="0.95299999999999996"/>
    <n v="2199"/>
    <n v="48"/>
    <n v="1"/>
    <n v="0.48399999999999999"/>
    <n v="1.6882999999999999E-4"/>
    <n v="0.99983"/>
    <s v="20.73591444167064"/>
    <s v="33.36779177984767"/>
    <s v="40.84063963798865"/>
    <s v="3.368723295075411"/>
    <n v="708208758"/>
    <x v="0"/>
    <n v="1.6756239000000001E-3"/>
    <x v="0"/>
  </r>
  <r>
    <n v="46"/>
    <n v="1"/>
    <n v="4"/>
    <n v="3"/>
    <n v="0"/>
    <n v="1"/>
    <n v="3"/>
    <n v="36"/>
    <n v="2"/>
    <n v="2"/>
    <n v="3"/>
    <n v="15034"/>
    <n v="1356"/>
    <n v="13678"/>
    <n v="0.754"/>
    <n v="7737"/>
    <n v="84"/>
    <n v="0.75"/>
    <n v="0.09"/>
    <n v="1.7635E-4"/>
    <n v="0.99982000000000004"/>
    <s v="36.95274089163782"/>
    <s v="42.44382097418557"/>
    <s v="71.21930019938874"/>
    <s v="10.966081164234444"/>
    <n v="712453308"/>
    <x v="0"/>
    <n v="3.7913927000000002E-4"/>
    <x v="0"/>
  </r>
  <r>
    <n v="46"/>
    <n v="0"/>
    <n v="4"/>
    <n v="3"/>
    <n v="3"/>
    <n v="4"/>
    <n v="0"/>
    <n v="37"/>
    <n v="3"/>
    <n v="1"/>
    <n v="4"/>
    <n v="2533"/>
    <n v="2136"/>
    <n v="397"/>
    <n v="0.75700000000000001"/>
    <n v="3197"/>
    <n v="50"/>
    <n v="1.1739999999999999"/>
    <n v="0.84299999999999997"/>
    <n v="1.6112E-4"/>
    <n v="0.99983999999999995"/>
    <s v="17.054949884155562"/>
    <s v="6.562552861507298"/>
    <s v="18.344933459872244"/>
    <s v="30.165606882486035"/>
    <n v="708794133"/>
    <x v="0"/>
    <n v="8.6165519999999998E-4"/>
    <x v="0"/>
  </r>
  <r>
    <n v="39"/>
    <n v="1"/>
    <n v="3"/>
    <n v="0"/>
    <n v="1"/>
    <n v="3"/>
    <n v="0"/>
    <n v="30"/>
    <n v="2"/>
    <n v="3"/>
    <n v="3"/>
    <n v="4618"/>
    <n v="0"/>
    <n v="4618"/>
    <n v="0.71699999999999997"/>
    <n v="2476"/>
    <n v="49"/>
    <n v="0.75"/>
    <n v="0"/>
    <n v="0.99673999999999996"/>
    <n v="3.2649799999999998E-3"/>
    <s v="29.59379615788377"/>
    <s v="16.332812191916176"/>
    <s v="4.156423886739741"/>
    <s v="11.960702617948474"/>
    <n v="714930333"/>
    <x v="1"/>
    <n v="0.99819449999999998"/>
    <x v="1"/>
  </r>
  <r>
    <n v="39"/>
    <n v="0"/>
    <n v="1"/>
    <n v="3"/>
    <n v="1"/>
    <n v="5"/>
    <n v="0"/>
    <n v="36"/>
    <n v="1"/>
    <n v="3"/>
    <n v="2"/>
    <n v="2751"/>
    <n v="1158"/>
    <n v="1593"/>
    <n v="0.82099999999999995"/>
    <n v="4861"/>
    <n v="82"/>
    <n v="0.82199999999999995"/>
    <n v="0.42099999999999999"/>
    <n v="1.6412999999999999E-4"/>
    <n v="0.99983999999999995"/>
    <s v="14.951467845688445"/>
    <s v="30.40682573241345"/>
    <s v="31.500351145831218"/>
    <s v="2.767242453029975"/>
    <n v="713183508"/>
    <x v="0"/>
    <n v="3.2101269999999999E-4"/>
    <x v="0"/>
  </r>
  <r>
    <n v="55"/>
    <n v="1"/>
    <n v="1"/>
    <n v="2"/>
    <n v="1"/>
    <n v="1"/>
    <n v="0"/>
    <n v="36"/>
    <n v="2"/>
    <n v="1"/>
    <n v="2"/>
    <n v="3705"/>
    <n v="1355"/>
    <n v="2350"/>
    <n v="0.74199999999999999"/>
    <n v="16089"/>
    <n v="119"/>
    <n v="0.72499999999999998"/>
    <n v="0.36599999999999999"/>
    <s v="5.1697e-05"/>
    <n v="0.99995000000000001"/>
    <s v="18.894825128454865"/>
    <s v="4.653014308275889"/>
    <s v="10.124729748690887"/>
    <s v="15.883250642859446"/>
    <n v="712206033"/>
    <x v="0"/>
    <n v="3.4656386999999997E-4"/>
    <x v="0"/>
  </r>
  <r>
    <n v="41"/>
    <n v="0"/>
    <n v="3"/>
    <n v="0"/>
    <n v="1"/>
    <n v="5"/>
    <n v="0"/>
    <n v="35"/>
    <n v="6"/>
    <n v="2"/>
    <n v="4"/>
    <n v="2255"/>
    <n v="1769"/>
    <n v="486"/>
    <n v="0.76700000000000002"/>
    <n v="4717"/>
    <n v="83"/>
    <n v="0.80400000000000005"/>
    <n v="0.78400000000000003"/>
    <n v="3.2945000000000001E-4"/>
    <n v="0.99966999999999995"/>
    <s v="10.539454768842273"/>
    <s v="58.11620203404533"/>
    <n v="53.562875080723998"/>
    <s v="1.5846338218248086"/>
    <n v="782437008"/>
    <x v="0"/>
    <n v="3.2101269999999999E-4"/>
    <x v="0"/>
  </r>
  <r>
    <n v="60"/>
    <n v="1"/>
    <n v="0"/>
    <n v="6"/>
    <n v="1"/>
    <n v="2"/>
    <n v="0"/>
    <n v="47"/>
    <n v="5"/>
    <n v="1"/>
    <n v="3"/>
    <n v="4541"/>
    <n v="1037"/>
    <n v="3504"/>
    <n v="0.82499999999999996"/>
    <n v="2829"/>
    <n v="44"/>
    <n v="0.46700000000000003"/>
    <n v="0.22800000000000001"/>
    <n v="0.98868999999999996"/>
    <n v="1.1310000000000001E-2"/>
    <s v="9.366783880092752"/>
    <s v="37.17071972213195"/>
    <s v="104.01089545887623"/>
    <n v="4.2199397765646003"/>
    <n v="717915783"/>
    <x v="1"/>
    <n v="0.99559140000000002"/>
    <x v="1"/>
  </r>
  <r>
    <n v="43"/>
    <n v="1"/>
    <n v="4"/>
    <n v="6"/>
    <n v="3"/>
    <n v="0"/>
    <n v="0"/>
    <n v="34"/>
    <n v="5"/>
    <n v="2"/>
    <n v="2"/>
    <n v="33304"/>
    <n v="1833"/>
    <n v="31471"/>
    <n v="0.42799999999999999"/>
    <n v="1448"/>
    <n v="29"/>
    <n v="0.38100000000000001"/>
    <n v="5.5E-2"/>
    <n v="1.3121000000000001E-4"/>
    <n v="0.99987000000000004"/>
    <n v="46.690736474270501"/>
    <s v="17.481274671921643"/>
    <s v="15.317973570563716"/>
    <s v="0.1343707040473082"/>
    <n v="708095133"/>
    <x v="0"/>
    <n v="1.3335287000000001E-3"/>
    <x v="0"/>
  </r>
  <r>
    <n v="30"/>
    <n v="1"/>
    <n v="1"/>
    <n v="0"/>
    <n v="0"/>
    <n v="4"/>
    <n v="0"/>
    <n v="19"/>
    <n v="4"/>
    <n v="3"/>
    <n v="3"/>
    <n v="7970"/>
    <n v="0"/>
    <n v="7970"/>
    <n v="0.77600000000000002"/>
    <n v="1284"/>
    <n v="30"/>
    <n v="0.42899999999999999"/>
    <n v="0"/>
    <n v="0.99639"/>
    <n v="3.6082499999999999E-3"/>
    <s v="34.81724366213372"/>
    <s v="10.38708205631726"/>
    <s v="169.8083463899371"/>
    <s v="7.074016214744042"/>
    <n v="772292358"/>
    <x v="1"/>
    <n v="0.99856453999999994"/>
    <x v="1"/>
  </r>
  <r>
    <n v="52"/>
    <n v="0"/>
    <n v="0"/>
    <n v="5"/>
    <n v="1"/>
    <n v="4"/>
    <n v="0"/>
    <n v="34"/>
    <n v="4"/>
    <n v="4"/>
    <n v="3"/>
    <n v="2001"/>
    <n v="960"/>
    <n v="1041"/>
    <n v="0.67800000000000005"/>
    <n v="4026"/>
    <n v="86"/>
    <n v="0.83"/>
    <n v="0.48"/>
    <n v="3.2257E-4"/>
    <n v="0.99968000000000001"/>
    <s v="18.383181391879862"/>
    <s v="76.93805190357502"/>
    <s v="44.89900838726064"/>
    <s v="8.202137113853885"/>
    <n v="778712658"/>
    <x v="0"/>
    <n v="3.9522952000000002E-4"/>
    <x v="0"/>
  </r>
  <r>
    <n v="50"/>
    <n v="1"/>
    <n v="2"/>
    <n v="0"/>
    <n v="1"/>
    <n v="3"/>
    <n v="0"/>
    <n v="39"/>
    <n v="6"/>
    <n v="4"/>
    <n v="2"/>
    <n v="3606"/>
    <n v="1862"/>
    <n v="1744"/>
    <n v="0.68899999999999995"/>
    <n v="3568"/>
    <n v="92"/>
    <n v="0.80400000000000005"/>
    <n v="0.51600000000000001"/>
    <n v="2.1133999999999999E-4"/>
    <n v="0.99978999999999996"/>
    <s v="21.63961442337973"/>
    <s v="22.68789522261363"/>
    <s v="108.80510163057022"/>
    <s v="24.470844678203008"/>
    <n v="778801608"/>
    <x v="0"/>
    <n v="3.2101269999999999E-4"/>
    <x v="0"/>
  </r>
  <r>
    <n v="61"/>
    <n v="0"/>
    <n v="1"/>
    <n v="5"/>
    <n v="1"/>
    <n v="4"/>
    <n v="0"/>
    <n v="36"/>
    <n v="3"/>
    <n v="2"/>
    <n v="4"/>
    <n v="6859"/>
    <n v="2489"/>
    <n v="4370"/>
    <n v="0.65"/>
    <n v="1617"/>
    <n v="26"/>
    <n v="1"/>
    <n v="0.36299999999999999"/>
    <n v="3.1516999999999998E-4"/>
    <n v="0.99968000000000001"/>
    <s v="33.89846978128573"/>
    <s v="14.514210210433568"/>
    <s v="5.923809568136488"/>
    <s v="7.682255567110081"/>
    <n v="718445883"/>
    <x v="0"/>
    <n v="1.0648312999999999E-3"/>
    <x v="0"/>
  </r>
  <r>
    <n v="55"/>
    <n v="1"/>
    <n v="2"/>
    <n v="2"/>
    <n v="1"/>
    <n v="4"/>
    <n v="1"/>
    <n v="46"/>
    <n v="3"/>
    <n v="5"/>
    <n v="3"/>
    <n v="15987"/>
    <n v="0"/>
    <n v="15987"/>
    <n v="0.82"/>
    <n v="15853"/>
    <n v="117"/>
    <n v="0.56000000000000005"/>
    <n v="0"/>
    <n v="3.8925E-4"/>
    <n v="0.99961"/>
    <s v="75.59239120696114"/>
    <s v="5.827228482089803"/>
    <s v="32.115121293805394"/>
    <s v="13.875414490020969"/>
    <n v="715713408"/>
    <x v="0"/>
    <n v="7.9748953999999998E-4"/>
    <x v="0"/>
  </r>
  <r>
    <n v="42"/>
    <n v="0"/>
    <n v="3"/>
    <n v="3"/>
    <n v="1"/>
    <n v="4"/>
    <n v="0"/>
    <n v="36"/>
    <n v="4"/>
    <n v="3"/>
    <n v="1"/>
    <n v="1676"/>
    <n v="1372"/>
    <n v="304"/>
    <n v="0.52200000000000002"/>
    <n v="4381"/>
    <n v="77"/>
    <n v="0.57099999999999995"/>
    <n v="0.81899999999999995"/>
    <n v="1.0943E-4"/>
    <n v="0.99988999999999995"/>
    <s v="58.71125525376187"/>
    <s v="1.9786375705570136"/>
    <s v="25.76242929145775"/>
    <s v="4.871663674615482"/>
    <n v="713902983"/>
    <x v="0"/>
    <n v="3.2914013999999999E-4"/>
    <x v="0"/>
  </r>
  <r>
    <n v="48"/>
    <n v="0"/>
    <n v="2"/>
    <n v="1"/>
    <n v="1"/>
    <n v="4"/>
    <n v="0"/>
    <n v="36"/>
    <n v="4"/>
    <n v="3"/>
    <n v="4"/>
    <n v="2514"/>
    <n v="2090"/>
    <n v="424"/>
    <n v="0.84199999999999997"/>
    <n v="2603"/>
    <n v="53"/>
    <n v="0.60599999999999998"/>
    <n v="0.83099999999999996"/>
    <n v="0.99865999999999999"/>
    <n v="1.33669E-3"/>
    <n v="20.693360415670099"/>
    <s v="2.100445606823211"/>
    <s v="60.84106861669703"/>
    <s v="36.87882887019501"/>
    <n v="720991833"/>
    <x v="1"/>
    <n v="0.990726"/>
    <x v="1"/>
  </r>
  <r>
    <n v="48"/>
    <n v="0"/>
    <n v="4"/>
    <n v="6"/>
    <n v="1"/>
    <n v="4"/>
    <n v="0"/>
    <n v="43"/>
    <n v="1"/>
    <n v="1"/>
    <n v="0"/>
    <n v="2089"/>
    <n v="1262"/>
    <n v="827"/>
    <n v="0.88600000000000001"/>
    <n v="5069"/>
    <n v="76"/>
    <n v="1.111"/>
    <n v="0.60399999999999998"/>
    <s v="2.342e-05"/>
    <n v="0.99997999999999998"/>
    <s v="0.8165026251990729"/>
    <s v="5.559408114496359"/>
    <s v="34.29452793901641"/>
    <s v="9.620969567387403"/>
    <n v="808967883"/>
    <x v="0"/>
    <n v="3.221314E-4"/>
    <x v="0"/>
  </r>
  <r>
    <n v="53"/>
    <n v="1"/>
    <n v="1"/>
    <n v="2"/>
    <n v="1"/>
    <n v="3"/>
    <n v="0"/>
    <n v="47"/>
    <n v="3"/>
    <n v="3"/>
    <n v="1"/>
    <n v="2540"/>
    <n v="1859"/>
    <n v="681"/>
    <n v="0.76800000000000002"/>
    <n v="4480"/>
    <n v="80"/>
    <n v="0.70199999999999996"/>
    <n v="0.73199999999999998"/>
    <n v="1.0182E-4"/>
    <n v="0.99990000000000001"/>
    <s v="5.536389509966104"/>
    <s v="51.42325333549886"/>
    <s v="7.4050913158789715"/>
    <s v="6.286810289270302"/>
    <n v="802937058"/>
    <x v="0"/>
    <n v="3.2101269999999999E-4"/>
    <x v="0"/>
  </r>
  <r>
    <n v="46"/>
    <n v="0"/>
    <n v="5"/>
    <n v="3"/>
    <n v="3"/>
    <n v="4"/>
    <n v="0"/>
    <n v="37"/>
    <n v="4"/>
    <n v="3"/>
    <n v="3"/>
    <n v="1438.3"/>
    <n v="725"/>
    <n v="713.3"/>
    <n v="0.71499999999999997"/>
    <n v="3916"/>
    <n v="79"/>
    <n v="0.79500000000000004"/>
    <n v="0.504"/>
    <n v="3.0361E-4"/>
    <n v="0.99970000000000003"/>
    <s v="31.29723999428823"/>
    <n v="36.049770471135098"/>
    <s v="98.42371607169214"/>
    <s v="15.611668954285111"/>
    <n v="714658233"/>
    <x v="0"/>
    <n v="5.4489190000000002E-4"/>
    <x v="0"/>
  </r>
  <r>
    <n v="42"/>
    <n v="1"/>
    <n v="4"/>
    <n v="2"/>
    <n v="1"/>
    <n v="2"/>
    <n v="3"/>
    <n v="33"/>
    <n v="1"/>
    <n v="2"/>
    <n v="1"/>
    <n v="6224"/>
    <n v="0"/>
    <n v="6224"/>
    <n v="0.63"/>
    <n v="7612"/>
    <n v="82"/>
    <n v="0.78300000000000003"/>
    <n v="0"/>
    <s v="6.5045e-05"/>
    <n v="0.99992999999999999"/>
    <s v="51.583480615178026"/>
    <s v="14.61856419942378"/>
    <s v="4.375077415902921"/>
    <s v="5.498404925348744"/>
    <n v="713197308"/>
    <x v="0"/>
    <n v="7.9810305E-4"/>
    <x v="0"/>
  </r>
  <r>
    <n v="40"/>
    <n v="0"/>
    <n v="3"/>
    <n v="2"/>
    <n v="2"/>
    <n v="4"/>
    <n v="0"/>
    <n v="31"/>
    <n v="4"/>
    <n v="2"/>
    <n v="3"/>
    <n v="2016"/>
    <n v="978"/>
    <n v="1038"/>
    <n v="0.73599999999999999"/>
    <n v="4379"/>
    <n v="78"/>
    <n v="0.95"/>
    <n v="0.48499999999999999"/>
    <n v="1.9864000000000001E-4"/>
    <n v="0.99980000000000002"/>
    <s v="38.832044770002845"/>
    <s v="30.945914462722765"/>
    <s v="22.12332760886782"/>
    <s v="12.632398671959107"/>
    <n v="720092283"/>
    <x v="0"/>
    <n v="3.8272605000000003E-4"/>
    <x v="0"/>
  </r>
  <r>
    <n v="62"/>
    <n v="0"/>
    <n v="1"/>
    <n v="5"/>
    <n v="1"/>
    <n v="1"/>
    <n v="0"/>
    <n v="43"/>
    <n v="3"/>
    <n v="1"/>
    <n v="1"/>
    <n v="4760"/>
    <n v="0"/>
    <n v="4760"/>
    <n v="0.56399999999999995"/>
    <n v="1459"/>
    <n v="20"/>
    <n v="0.53800000000000003"/>
    <n v="0"/>
    <s v="3.2055e-05"/>
    <n v="0.99997000000000003"/>
    <s v="10.623524325440304"/>
    <s v="6.355953813983743"/>
    <s v="54.24364900748591"/>
    <s v="18.867587174919773"/>
    <n v="717124983"/>
    <x v="0"/>
    <n v="4.5874009999999996E-3"/>
    <x v="0"/>
  </r>
  <r>
    <n v="54"/>
    <n v="1"/>
    <n v="1"/>
    <n v="6"/>
    <n v="2"/>
    <n v="3"/>
    <n v="0"/>
    <n v="49"/>
    <n v="2"/>
    <n v="3"/>
    <n v="3"/>
    <n v="28570"/>
    <n v="2027"/>
    <n v="26543"/>
    <n v="0.749"/>
    <n v="15130"/>
    <n v="102"/>
    <n v="0.75900000000000001"/>
    <n v="7.0999999999999994E-2"/>
    <n v="3.1210999999999999E-4"/>
    <n v="0.99968999999999997"/>
    <s v="47.741476646113846"/>
    <n v="46.574113465171401"/>
    <s v="56.822834843474936"/>
    <s v="17.429136906345615"/>
    <n v="819376683"/>
    <x v="0"/>
    <n v="3.8573547000000003E-4"/>
    <x v="0"/>
  </r>
  <r>
    <n v="38"/>
    <n v="0"/>
    <n v="2"/>
    <n v="2"/>
    <n v="2"/>
    <n v="4"/>
    <n v="0"/>
    <n v="25"/>
    <n v="6"/>
    <n v="2"/>
    <n v="2"/>
    <n v="1438.3"/>
    <n v="538"/>
    <n v="900.3"/>
    <n v="0.67500000000000004"/>
    <n v="4093"/>
    <n v="73"/>
    <n v="0.65900000000000003"/>
    <n v="0.374"/>
    <n v="1.1382E-4"/>
    <n v="0.99988999999999995"/>
    <s v="0.9727165744241316"/>
    <s v="80.75383002284951"/>
    <s v="33.02858384365157"/>
    <s v="35.66117939499973"/>
    <n v="721004133"/>
    <x v="0"/>
    <n v="6.2459736000000004E-4"/>
    <x v="0"/>
  </r>
  <r>
    <n v="47"/>
    <n v="0"/>
    <n v="4"/>
    <n v="2"/>
    <n v="1"/>
    <n v="4"/>
    <n v="0"/>
    <n v="36"/>
    <n v="6"/>
    <n v="1"/>
    <n v="4"/>
    <n v="2178"/>
    <n v="1455"/>
    <n v="723"/>
    <n v="1.0009999999999999"/>
    <n v="5363"/>
    <n v="76"/>
    <n v="0.81"/>
    <n v="0.66800000000000004"/>
    <n v="1.6574E-4"/>
    <n v="0.99983"/>
    <s v="35.34005709687298"/>
    <s v="14.753089843472818"/>
    <s v="88.72401903264311"/>
    <s v="4.814463855342713"/>
    <n v="718041033"/>
    <x v="0"/>
    <n v="4.8380363000000002E-4"/>
    <x v="0"/>
  </r>
  <r>
    <n v="52"/>
    <n v="1"/>
    <n v="3"/>
    <n v="6"/>
    <n v="2"/>
    <n v="3"/>
    <n v="0"/>
    <n v="46"/>
    <n v="5"/>
    <n v="1"/>
    <n v="2"/>
    <n v="2735"/>
    <n v="1942"/>
    <n v="793"/>
    <n v="0.58199999999999996"/>
    <n v="3724"/>
    <n v="66"/>
    <n v="0.69199999999999995"/>
    <n v="0.71"/>
    <s v="6.282e-05"/>
    <n v="0.99994000000000005"/>
    <s v="26.54067034575149"/>
    <s v="11.769181452601424"/>
    <s v="35.15411994828652"/>
    <s v="16.351145772936697"/>
    <n v="794771208"/>
    <x v="0"/>
    <n v="3.2101269999999999E-4"/>
    <x v="0"/>
  </r>
  <r>
    <n v="54"/>
    <n v="0"/>
    <n v="1"/>
    <n v="1"/>
    <n v="3"/>
    <n v="4"/>
    <n v="0"/>
    <n v="43"/>
    <n v="4"/>
    <n v="6"/>
    <n v="4"/>
    <n v="5267"/>
    <n v="0"/>
    <n v="5267"/>
    <n v="0.63100000000000001"/>
    <n v="4196"/>
    <n v="81"/>
    <n v="0.58799999999999997"/>
    <n v="0"/>
    <n v="5.5325999999999997E-4"/>
    <n v="0.99944999999999995"/>
    <s v="26.13874046703345"/>
    <n v="10.0010263111127"/>
    <s v="0.3335015865870229"/>
    <s v="14.483949071486965"/>
    <n v="720436008"/>
    <x v="0"/>
    <n v="7.387203E-4"/>
    <x v="0"/>
  </r>
  <r>
    <n v="54"/>
    <n v="0"/>
    <n v="2"/>
    <n v="3"/>
    <n v="2"/>
    <n v="5"/>
    <n v="0"/>
    <n v="44"/>
    <n v="4"/>
    <n v="3"/>
    <n v="4"/>
    <n v="3778"/>
    <n v="0"/>
    <n v="3778"/>
    <n v="0.73899999999999999"/>
    <n v="2367"/>
    <n v="45"/>
    <n v="0.45200000000000001"/>
    <n v="0"/>
    <n v="0.99800999999999995"/>
    <n v="1.9885300000000001E-3"/>
    <s v="3.8975983028602896"/>
    <s v="40.80006397525768"/>
    <n v="78.723495209934697"/>
    <s v="32.49410045909799"/>
    <n v="712294083"/>
    <x v="1"/>
    <n v="0.99837339999999997"/>
    <x v="1"/>
  </r>
  <r>
    <n v="57"/>
    <n v="0"/>
    <n v="0"/>
    <n v="6"/>
    <n v="1"/>
    <n v="4"/>
    <n v="0"/>
    <n v="42"/>
    <n v="5"/>
    <n v="1"/>
    <n v="4"/>
    <n v="2376"/>
    <n v="1515"/>
    <n v="861"/>
    <n v="0.72"/>
    <n v="3795"/>
    <n v="71"/>
    <n v="0.61399999999999999"/>
    <n v="0.63800000000000001"/>
    <n v="1.4907000000000001E-4"/>
    <n v="0.99985000000000002"/>
    <s v="26.169184768700934"/>
    <s v="73.77037004046826"/>
    <s v="70.05819572616761"/>
    <s v="7.205089456993293"/>
    <n v="714157908"/>
    <x v="0"/>
    <n v="3.2914013999999999E-4"/>
    <x v="0"/>
  </r>
  <r>
    <n v="57"/>
    <n v="0"/>
    <n v="1"/>
    <n v="2"/>
    <n v="3"/>
    <n v="1"/>
    <n v="0"/>
    <n v="49"/>
    <n v="3"/>
    <n v="3"/>
    <n v="2"/>
    <n v="3672"/>
    <n v="886"/>
    <n v="2786"/>
    <n v="1.32"/>
    <n v="1464"/>
    <n v="28"/>
    <n v="0.55600000000000005"/>
    <n v="0.24099999999999999"/>
    <n v="1.6882999999999999E-4"/>
    <n v="0.99983"/>
    <s v="50.94483442130833"/>
    <s v="36.20353728430402"/>
    <s v="38.73259173761918"/>
    <s v="0.7142031338487648"/>
    <n v="715190283"/>
    <x v="0"/>
    <n v="1.4787518E-3"/>
    <x v="0"/>
  </r>
  <r>
    <n v="35"/>
    <n v="0"/>
    <n v="2"/>
    <n v="0"/>
    <n v="2"/>
    <n v="4"/>
    <n v="0"/>
    <n v="18"/>
    <n v="6"/>
    <n v="2"/>
    <n v="0"/>
    <n v="2658"/>
    <n v="0"/>
    <n v="2658"/>
    <n v="0.89100000000000001"/>
    <n v="4667"/>
    <n v="83"/>
    <n v="0.93"/>
    <n v="0"/>
    <s v="4.082e-05"/>
    <n v="0.99995999999999996"/>
    <n v="9.8940381713181402"/>
    <s v="4.844882989367396"/>
    <s v="60.96200757533408"/>
    <s v="0.1025806403511152"/>
    <n v="716028108"/>
    <x v="0"/>
    <n v="7.1297199999999998E-4"/>
    <x v="0"/>
  </r>
  <r>
    <n v="52"/>
    <n v="1"/>
    <n v="3"/>
    <n v="2"/>
    <n v="1"/>
    <n v="3"/>
    <n v="0"/>
    <n v="46"/>
    <n v="4"/>
    <n v="2"/>
    <n v="3"/>
    <n v="15011"/>
    <n v="2517"/>
    <n v="12494"/>
    <n v="0.71299999999999997"/>
    <n v="1821"/>
    <n v="36"/>
    <n v="0.38500000000000001"/>
    <n v="0.16800000000000001"/>
    <n v="0.99499000000000004"/>
    <n v="5.0099999999999997E-3"/>
    <s v="14.155588492674616"/>
    <n v="71.881282920587196"/>
    <s v="132.06017902795492"/>
    <s v="8.983597775785581"/>
    <n v="793712658"/>
    <x v="1"/>
    <n v="0.99480480000000004"/>
    <x v="1"/>
  </r>
  <r>
    <n v="49"/>
    <n v="0"/>
    <n v="3"/>
    <n v="0"/>
    <n v="2"/>
    <n v="5"/>
    <n v="0"/>
    <n v="43"/>
    <n v="4"/>
    <n v="4"/>
    <n v="0"/>
    <n v="23032"/>
    <n v="1960"/>
    <n v="21072"/>
    <n v="0.61899999999999999"/>
    <n v="1289"/>
    <n v="22"/>
    <n v="1"/>
    <n v="8.5000000000000006E-2"/>
    <s v="8.0901e-05"/>
    <n v="0.99992000000000003"/>
    <s v="5.379015892562687"/>
    <s v="0.9546601742156424"/>
    <s v="163.71492778534292"/>
    <s v="14.236694596403249"/>
    <n v="714778833"/>
    <x v="0"/>
    <n v="1.0153692E-3"/>
    <x v="0"/>
  </r>
  <r>
    <n v="45"/>
    <n v="1"/>
    <n v="4"/>
    <n v="1"/>
    <n v="2"/>
    <n v="0"/>
    <n v="1"/>
    <n v="36"/>
    <n v="1"/>
    <n v="3"/>
    <n v="1"/>
    <n v="34516"/>
    <n v="1411"/>
    <n v="33105"/>
    <n v="0.70099999999999996"/>
    <n v="8007"/>
    <n v="96"/>
    <n v="0.77800000000000002"/>
    <n v="4.1000000000000002E-2"/>
    <n v="1.8966999999999999E-4"/>
    <n v="0.99980999999999998"/>
    <s v="11.271606406822883"/>
    <s v="6.026546884346798"/>
    <s v="43.93414457675162"/>
    <s v="22.149788045340443"/>
    <n v="709530408"/>
    <x v="0"/>
    <n v="4.1022256E-4"/>
    <x v="0"/>
  </r>
  <r>
    <n v="45"/>
    <n v="1"/>
    <n v="5"/>
    <n v="5"/>
    <n v="0"/>
    <n v="2"/>
    <n v="3"/>
    <n v="36"/>
    <n v="4"/>
    <n v="2"/>
    <n v="4"/>
    <n v="31756"/>
    <n v="1459"/>
    <n v="30297"/>
    <n v="0.68700000000000006"/>
    <n v="4759"/>
    <n v="70"/>
    <n v="0.55600000000000005"/>
    <n v="4.5999999999999999E-2"/>
    <n v="3.1322000000000001E-4"/>
    <n v="0.99968999999999997"/>
    <s v="12.444754854964163"/>
    <s v="31.98660800144382"/>
    <s v="91.22430964698349"/>
    <s v="22.007776284509863"/>
    <n v="710871108"/>
    <x v="0"/>
    <n v="3.6634394000000002E-4"/>
    <x v="0"/>
  </r>
  <r>
    <n v="41"/>
    <n v="0"/>
    <n v="4"/>
    <n v="3"/>
    <n v="2"/>
    <n v="1"/>
    <n v="0"/>
    <n v="30"/>
    <n v="5"/>
    <n v="3"/>
    <n v="3"/>
    <n v="4432"/>
    <n v="1335"/>
    <n v="3097"/>
    <n v="0.71399999999999997"/>
    <n v="4144"/>
    <n v="79"/>
    <n v="0.75600000000000001"/>
    <n v="0.30099999999999999"/>
    <n v="3.0842E-4"/>
    <n v="0.99968999999999997"/>
    <s v="17.211495983746662"/>
    <n v="9.2657708010186308"/>
    <s v="19.22956225986912"/>
    <s v="11.538786768130274"/>
    <n v="719256483"/>
    <x v="0"/>
    <n v="3.2101269999999999E-4"/>
    <x v="0"/>
  </r>
  <r>
    <n v="42"/>
    <n v="0"/>
    <n v="2"/>
    <n v="2"/>
    <n v="1"/>
    <n v="5"/>
    <n v="0"/>
    <n v="33"/>
    <n v="6"/>
    <n v="1"/>
    <n v="1"/>
    <n v="13770"/>
    <n v="2517"/>
    <n v="11253"/>
    <n v="0.78800000000000003"/>
    <n v="1582"/>
    <n v="36"/>
    <n v="0.38500000000000001"/>
    <n v="0.183"/>
    <s v="3.3214e-05"/>
    <n v="0.99997000000000003"/>
    <s v="16.17763727670071"/>
    <s v="44.01318726681035"/>
    <s v="142.76619152668326"/>
    <s v="12.771819108716937"/>
    <n v="714023808"/>
    <x v="0"/>
    <n v="1.2315542E-3"/>
    <x v="0"/>
  </r>
  <r>
    <n v="55"/>
    <n v="1"/>
    <n v="1"/>
    <n v="3"/>
    <n v="1"/>
    <n v="3"/>
    <n v="0"/>
    <n v="45"/>
    <n v="3"/>
    <n v="3"/>
    <n v="3"/>
    <n v="16794"/>
    <n v="809"/>
    <n v="15985"/>
    <n v="1.5660000000000001"/>
    <n v="1917"/>
    <n v="33"/>
    <n v="0.94099999999999995"/>
    <n v="4.8000000000000001E-2"/>
    <n v="2.7604000000000002E-4"/>
    <n v="0.99972000000000005"/>
    <s v="5.8652647609833455"/>
    <s v="21.404740790516204"/>
    <s v="67.42502516052443"/>
    <s v="12.88845651697183"/>
    <n v="714893733"/>
    <x v="0"/>
    <n v="1.8730486E-3"/>
    <x v="0"/>
  </r>
  <r>
    <n v="46"/>
    <n v="1"/>
    <n v="2"/>
    <n v="3"/>
    <n v="0"/>
    <n v="0"/>
    <n v="0"/>
    <n v="34"/>
    <n v="3"/>
    <n v="2"/>
    <n v="4"/>
    <n v="3659"/>
    <n v="1381"/>
    <n v="2278"/>
    <n v="0.66900000000000004"/>
    <n v="16252"/>
    <n v="112"/>
    <n v="0.623"/>
    <n v="0.377"/>
    <n v="3.1745999999999999E-4"/>
    <n v="0.99968000000000001"/>
    <s v="3.426345946481636"/>
    <n v="6.4963305098030704"/>
    <s v="88.03408299312622"/>
    <s v="9.625944341803194"/>
    <n v="712080333"/>
    <x v="0"/>
    <n v="3.5533762999999998E-4"/>
    <x v="0"/>
  </r>
  <r>
    <n v="47"/>
    <n v="1"/>
    <n v="3"/>
    <n v="6"/>
    <n v="2"/>
    <n v="3"/>
    <n v="0"/>
    <n v="36"/>
    <n v="3"/>
    <n v="1"/>
    <n v="2"/>
    <n v="7421"/>
    <n v="0"/>
    <n v="7421"/>
    <n v="0.70799999999999996"/>
    <n v="4353"/>
    <n v="75"/>
    <n v="0.78600000000000003"/>
    <n v="0"/>
    <s v="6.282e-05"/>
    <n v="0.99994000000000005"/>
    <s v="3.800989020869199"/>
    <s v="66.47876942046928"/>
    <s v="141.97979985896893"/>
    <s v="14.37152893781006"/>
    <n v="709469658"/>
    <x v="0"/>
    <n v="6.9517245999999998E-4"/>
    <x v="0"/>
  </r>
  <r>
    <n v="55"/>
    <n v="1"/>
    <n v="3"/>
    <n v="2"/>
    <n v="1"/>
    <n v="3"/>
    <n v="0"/>
    <n v="36"/>
    <n v="3"/>
    <n v="2"/>
    <n v="3"/>
    <n v="25878"/>
    <n v="1733"/>
    <n v="24145"/>
    <n v="0.438"/>
    <n v="1777"/>
    <n v="54"/>
    <n v="0.86199999999999999"/>
    <n v="6.7000000000000004E-2"/>
    <n v="1.9864000000000001E-4"/>
    <n v="0.99980000000000002"/>
    <n v="6.0149469101908E-2"/>
    <s v="31.699944219060598"/>
    <n v="56.788100704227404"/>
    <s v="14.59485648619093"/>
    <n v="718595583"/>
    <x v="0"/>
    <n v="5.7820470000000004E-4"/>
    <x v="0"/>
  </r>
  <r>
    <n v="45"/>
    <n v="0"/>
    <n v="4"/>
    <n v="1"/>
    <n v="1"/>
    <n v="4"/>
    <n v="0"/>
    <n v="36"/>
    <n v="5"/>
    <n v="3"/>
    <n v="3"/>
    <n v="1663"/>
    <n v="1012"/>
    <n v="651"/>
    <n v="0.88600000000000001"/>
    <n v="2729"/>
    <n v="38"/>
    <n v="0.52"/>
    <n v="0.60899999999999999"/>
    <n v="0.99782999999999999"/>
    <n v="2.1726699999999998E-3"/>
    <s v="35.888851212148126"/>
    <n v="65.387080003044304"/>
    <s v="78.46087006711441"/>
    <s v="11.663931118857738"/>
    <n v="709079883"/>
    <x v="1"/>
    <n v="0.99542456999999995"/>
    <x v="1"/>
  </r>
  <r>
    <n v="36"/>
    <n v="1"/>
    <n v="4"/>
    <n v="2"/>
    <n v="2"/>
    <n v="3"/>
    <n v="0"/>
    <n v="24"/>
    <n v="6"/>
    <n v="1"/>
    <n v="2"/>
    <n v="16335"/>
    <n v="892"/>
    <n v="15443"/>
    <n v="0.67300000000000004"/>
    <n v="2733"/>
    <n v="71"/>
    <n v="0.91900000000000004"/>
    <n v="5.5E-2"/>
    <s v="5.7762e-05"/>
    <n v="0.99994000000000005"/>
    <s v="24.17188120809248"/>
    <n v="9.361193941458E-2"/>
    <s v="42.609770965108375"/>
    <s v="8.580177641131515"/>
    <n v="711561108"/>
    <x v="0"/>
    <n v="5.5831972999999995E-4"/>
    <x v="0"/>
  </r>
  <r>
    <n v="48"/>
    <n v="1"/>
    <n v="3"/>
    <n v="6"/>
    <n v="1"/>
    <n v="0"/>
    <n v="0"/>
    <n v="43"/>
    <n v="5"/>
    <n v="3"/>
    <n v="0"/>
    <n v="6626"/>
    <n v="1558"/>
    <n v="5068"/>
    <n v="1.02"/>
    <n v="2838"/>
    <n v="49"/>
    <n v="1.333"/>
    <n v="0.23499999999999999"/>
    <s v="7.5683e-05"/>
    <n v="0.99992000000000003"/>
    <s v="65.32196709571373"/>
    <s v="1.235490671230096"/>
    <s v="10.084697184787458"/>
    <s v="3.322547001748241"/>
    <n v="808732458"/>
    <x v="0"/>
    <n v="9.2707393999999998E-4"/>
    <x v="0"/>
  </r>
  <r>
    <n v="47"/>
    <n v="1"/>
    <n v="4"/>
    <n v="2"/>
    <n v="1"/>
    <n v="2"/>
    <n v="3"/>
    <n v="39"/>
    <n v="4"/>
    <n v="2"/>
    <n v="4"/>
    <n v="33122"/>
    <n v="1587"/>
    <n v="31535"/>
    <n v="0.47499999999999998"/>
    <n v="3145"/>
    <n v="63"/>
    <n v="0.75"/>
    <n v="4.8000000000000001E-2"/>
    <n v="3.0946000000000001E-4"/>
    <n v="0.99968999999999997"/>
    <s v="23.901016726187475"/>
    <s v="46.41330541615913"/>
    <s v="63.84651802742108"/>
    <s v="8.556606759037278"/>
    <n v="719672283"/>
    <x v="0"/>
    <n v="3.8724514999999998E-4"/>
    <x v="0"/>
  </r>
  <r>
    <n v="46"/>
    <n v="1"/>
    <n v="2"/>
    <n v="6"/>
    <n v="2"/>
    <n v="3"/>
    <n v="0"/>
    <n v="34"/>
    <n v="2"/>
    <n v="3"/>
    <n v="3"/>
    <n v="7077"/>
    <n v="0"/>
    <n v="7077"/>
    <n v="0.83799999999999997"/>
    <n v="2619"/>
    <n v="41"/>
    <n v="0.51900000000000002"/>
    <n v="0"/>
    <n v="0.997"/>
    <n v="2.9974300000000001E-3"/>
    <n v="93.739743531406205"/>
    <s v="79.28010181385669"/>
    <s v="14.245310629220064"/>
    <s v="1.7670027055266175"/>
    <n v="717202083"/>
    <x v="1"/>
    <n v="0.99876772999999996"/>
    <x v="1"/>
  </r>
  <r>
    <n v="50"/>
    <n v="1"/>
    <n v="2"/>
    <n v="4"/>
    <n v="1"/>
    <n v="3"/>
    <n v="0"/>
    <n v="45"/>
    <n v="6"/>
    <n v="3"/>
    <n v="2"/>
    <n v="1867"/>
    <n v="1478"/>
    <n v="389"/>
    <n v="0.72699999999999998"/>
    <n v="4097"/>
    <n v="70"/>
    <n v="0.70699999999999996"/>
    <n v="0.79200000000000004"/>
    <n v="2.1164999999999999E-4"/>
    <n v="0.99978999999999996"/>
    <s v="9.078145518851754"/>
    <n v="6.9716405231268297"/>
    <s v="34.65662704805524"/>
    <s v="0.2574936568717671"/>
    <n v="815589558"/>
    <x v="0"/>
    <n v="3.2101269999999999E-4"/>
    <x v="0"/>
  </r>
  <r>
    <n v="40"/>
    <n v="1"/>
    <n v="3"/>
    <n v="3"/>
    <n v="2"/>
    <n v="3"/>
    <n v="0"/>
    <n v="36"/>
    <n v="2"/>
    <n v="3"/>
    <n v="2"/>
    <n v="4620"/>
    <n v="0"/>
    <n v="4620"/>
    <n v="0.65400000000000003"/>
    <n v="6644"/>
    <n v="61"/>
    <n v="0.69399999999999995"/>
    <n v="0"/>
    <n v="0.99451999999999996"/>
    <n v="5.4799999999999996E-3"/>
    <s v="31.13850384634636"/>
    <s v="52.594317584741965"/>
    <s v="53.75783873648155"/>
    <s v="6.866108750746417"/>
    <n v="710455608"/>
    <x v="1"/>
    <n v="0.99520869999999995"/>
    <x v="1"/>
  </r>
  <r>
    <n v="44"/>
    <n v="0"/>
    <n v="3"/>
    <n v="6"/>
    <n v="1"/>
    <n v="5"/>
    <n v="0"/>
    <n v="25"/>
    <n v="6"/>
    <n v="1"/>
    <n v="3"/>
    <n v="19897"/>
    <n v="2232"/>
    <n v="17665"/>
    <n v="0.67200000000000004"/>
    <n v="3979"/>
    <n v="63"/>
    <n v="0.5"/>
    <n v="0.112"/>
    <n v="1.0566E-4"/>
    <n v="0.99988999999999995"/>
    <n v="5.93787134730161"/>
    <s v="62.38862277104922"/>
    <s v="31.00688442787775"/>
    <s v="8.006031532456776"/>
    <n v="708539583"/>
    <x v="0"/>
    <n v="3.9822448000000001E-4"/>
    <x v="0"/>
  </r>
  <r>
    <n v="44"/>
    <n v="1"/>
    <n v="2"/>
    <n v="5"/>
    <n v="2"/>
    <n v="3"/>
    <n v="3"/>
    <n v="36"/>
    <n v="2"/>
    <n v="3"/>
    <n v="3"/>
    <n v="34516"/>
    <n v="569"/>
    <n v="33947"/>
    <n v="0.91900000000000004"/>
    <n v="8570"/>
    <n v="68"/>
    <n v="0.78900000000000003"/>
    <n v="1.6E-2"/>
    <n v="0.99646000000000001"/>
    <n v="3.54449E-3"/>
    <s v="14.69619721826691"/>
    <s v="3.0513818085339706"/>
    <s v="26.06660994420019"/>
    <s v="10.420359976194598"/>
    <n v="716863458"/>
    <x v="1"/>
    <n v="0.9954307"/>
    <x v="1"/>
  </r>
  <r>
    <n v="46"/>
    <n v="1"/>
    <n v="4"/>
    <n v="3"/>
    <n v="2"/>
    <n v="3"/>
    <n v="0"/>
    <n v="36"/>
    <n v="6"/>
    <n v="1"/>
    <n v="2"/>
    <n v="1438.3"/>
    <n v="0"/>
    <n v="1438.3"/>
    <n v="0.746"/>
    <n v="4461"/>
    <n v="71"/>
    <n v="0.82099999999999995"/>
    <n v="0"/>
    <s v="5.6153e-05"/>
    <n v="0.99994000000000005"/>
    <s v="29.614217158912417"/>
    <s v="22.253324833009867"/>
    <s v="16.13619467188207"/>
    <s v="7.821310766508193"/>
    <n v="713613258"/>
    <x v="0"/>
    <n v="7.4965424999999997E-4"/>
    <x v="0"/>
  </r>
  <r>
    <n v="47"/>
    <n v="0"/>
    <n v="4"/>
    <n v="2"/>
    <n v="0"/>
    <n v="1"/>
    <n v="0"/>
    <n v="30"/>
    <n v="1"/>
    <n v="1"/>
    <n v="1"/>
    <n v="1438.3"/>
    <n v="601"/>
    <n v="837.3"/>
    <n v="1"/>
    <n v="4669"/>
    <n v="83"/>
    <n v="0.72899999999999998"/>
    <n v="0.41799999999999998"/>
    <s v="3.4833e-05"/>
    <n v="0.99997000000000003"/>
    <s v="23.84780012836407"/>
    <s v="28.014821351928127"/>
    <s v="56.76661108402363"/>
    <s v="27.835694991325965"/>
    <n v="779536233"/>
    <x v="0"/>
    <n v="5.7810993000000001E-4"/>
    <x v="0"/>
  </r>
  <r>
    <n v="53"/>
    <n v="1"/>
    <n v="3"/>
    <n v="0"/>
    <n v="2"/>
    <n v="0"/>
    <n v="0"/>
    <n v="36"/>
    <n v="6"/>
    <n v="2"/>
    <n v="0"/>
    <n v="34516"/>
    <n v="1901"/>
    <n v="32615"/>
    <n v="0.91400000000000003"/>
    <n v="1497"/>
    <n v="43"/>
    <n v="1.1499999999999999"/>
    <n v="5.5E-2"/>
    <s v="4.2358e-05"/>
    <n v="0.99995999999999996"/>
    <s v="22.47191819759822"/>
    <n v="9.7212699755179592"/>
    <s v="42.97405532611884"/>
    <s v="13.009629180287618"/>
    <n v="719885883"/>
    <x v="0"/>
    <n v="1.0985557E-3"/>
    <x v="0"/>
  </r>
  <r>
    <n v="47"/>
    <n v="0"/>
    <n v="2"/>
    <n v="0"/>
    <n v="2"/>
    <n v="4"/>
    <n v="0"/>
    <n v="40"/>
    <n v="4"/>
    <n v="3"/>
    <n v="3"/>
    <n v="1789"/>
    <n v="1088"/>
    <n v="701"/>
    <n v="0.68300000000000005"/>
    <n v="4191"/>
    <n v="90"/>
    <n v="0.52500000000000002"/>
    <n v="0.60799999999999998"/>
    <n v="2.9410999999999999E-4"/>
    <n v="0.99970999999999999"/>
    <s v="25.927763158896507"/>
    <s v="8.718011859569819"/>
    <s v="51.88744135860031"/>
    <s v="2.955285180257097"/>
    <n v="740784258"/>
    <x v="0"/>
    <n v="3.2914013999999999E-4"/>
    <x v="0"/>
  </r>
  <r>
    <n v="42"/>
    <n v="0"/>
    <n v="5"/>
    <n v="2"/>
    <n v="1"/>
    <n v="4"/>
    <n v="0"/>
    <n v="38"/>
    <n v="5"/>
    <n v="1"/>
    <n v="2"/>
    <n v="2346"/>
    <n v="1373"/>
    <n v="973"/>
    <n v="0.73"/>
    <n v="4432"/>
    <n v="72"/>
    <n v="0.75600000000000001"/>
    <n v="0.58499999999999996"/>
    <s v="5.6861e-05"/>
    <n v="0.99994000000000005"/>
    <s v="15.141538324519695"/>
    <n v="25.1458051534104"/>
    <s v="5.330585945970111"/>
    <s v="5.944501575156159"/>
    <n v="827712108"/>
    <x v="0"/>
    <n v="3.2101269999999999E-4"/>
    <x v="0"/>
  </r>
  <r>
    <n v="48"/>
    <n v="0"/>
    <n v="1"/>
    <n v="1"/>
    <n v="1"/>
    <n v="4"/>
    <n v="0"/>
    <n v="39"/>
    <n v="3"/>
    <n v="3"/>
    <n v="3"/>
    <n v="4844"/>
    <n v="1576"/>
    <n v="3268"/>
    <n v="0.80900000000000005"/>
    <n v="1489"/>
    <n v="48"/>
    <n v="0.6"/>
    <n v="0.32500000000000001"/>
    <n v="4.1086999999999997E-4"/>
    <n v="0.99958999999999998"/>
    <s v="43.086635983881294"/>
    <s v="70.99799991506546"/>
    <s v="35.87691784238507"/>
    <s v="16.770739624672487"/>
    <n v="708249708"/>
    <x v="0"/>
    <n v="1.0903810999999999E-3"/>
    <x v="0"/>
  </r>
  <r>
    <n v="39"/>
    <n v="0"/>
    <n v="5"/>
    <n v="0"/>
    <n v="2"/>
    <n v="4"/>
    <n v="0"/>
    <n v="30"/>
    <n v="4"/>
    <n v="1"/>
    <n v="2"/>
    <n v="4710"/>
    <n v="1869"/>
    <n v="2841"/>
    <n v="0.85799999999999998"/>
    <n v="4719"/>
    <n v="91"/>
    <n v="0.65500000000000003"/>
    <n v="0.39700000000000002"/>
    <s v="5.5282e-05"/>
    <n v="0.99994000000000005"/>
    <s v="17.61522225926005"/>
    <s v="43.63563020623504"/>
    <n v="42.733868681539398"/>
    <s v="22.18412470560315"/>
    <n v="720334833"/>
    <x v="0"/>
    <n v="3.2101269999999999E-4"/>
    <x v="0"/>
  </r>
  <r>
    <n v="48"/>
    <n v="0"/>
    <n v="3"/>
    <n v="3"/>
    <n v="2"/>
    <n v="1"/>
    <n v="0"/>
    <n v="36"/>
    <n v="5"/>
    <n v="3"/>
    <n v="2"/>
    <n v="3871"/>
    <n v="2055"/>
    <n v="1816"/>
    <n v="0.82399999999999995"/>
    <n v="5480"/>
    <n v="58"/>
    <n v="0.93300000000000005"/>
    <n v="0.53100000000000003"/>
    <n v="1.8144999999999999E-4"/>
    <n v="0.99982000000000004"/>
    <s v="1.6036759064935149"/>
    <s v="14.409140414412615"/>
    <s v="12.100265012722677"/>
    <s v="15.079285479695187"/>
    <n v="713447583"/>
    <x v="0"/>
    <n v="5.2611716E-4"/>
    <x v="0"/>
  </r>
  <r>
    <n v="41"/>
    <n v="1"/>
    <n v="5"/>
    <n v="6"/>
    <n v="1"/>
    <n v="3"/>
    <n v="0"/>
    <n v="31"/>
    <n v="3"/>
    <n v="3"/>
    <n v="1"/>
    <n v="12114"/>
    <n v="1379"/>
    <n v="10735"/>
    <n v="0.67600000000000005"/>
    <n v="3964"/>
    <n v="90"/>
    <n v="0.83699999999999997"/>
    <n v="0.114"/>
    <n v="1.2310000000000001E-4"/>
    <n v="0.99987999999999999"/>
    <n v="10.6494231545385"/>
    <s v="25.79227111937649"/>
    <s v="43.918389641376734"/>
    <s v="15.378744877046216"/>
    <n v="772590408"/>
    <x v="0"/>
    <n v="3.2101269999999999E-4"/>
    <x v="0"/>
  </r>
  <r>
    <n v="54"/>
    <n v="0"/>
    <n v="1"/>
    <n v="5"/>
    <n v="1"/>
    <n v="4"/>
    <n v="0"/>
    <n v="42"/>
    <n v="2"/>
    <n v="2"/>
    <n v="3"/>
    <n v="3181"/>
    <n v="2087"/>
    <n v="1094"/>
    <n v="0.752"/>
    <n v="13392"/>
    <n v="92"/>
    <n v="0.73599999999999999"/>
    <n v="0.65600000000000003"/>
    <n v="1.8474999999999999E-4"/>
    <n v="0.99982000000000004"/>
    <s v="15.653872867820152"/>
    <s v="0.8484719083223634"/>
    <s v="83.76902388746309"/>
    <s v="5.3818702063926525"/>
    <n v="713560758"/>
    <x v="0"/>
    <n v="3.4656386999999997E-4"/>
    <x v="0"/>
  </r>
  <r>
    <n v="57"/>
    <n v="0"/>
    <n v="2"/>
    <n v="5"/>
    <n v="1"/>
    <n v="5"/>
    <n v="0"/>
    <n v="51"/>
    <n v="3"/>
    <n v="6"/>
    <n v="2"/>
    <n v="2404"/>
    <n v="284"/>
    <n v="2120"/>
    <n v="0.86599999999999999"/>
    <n v="2511"/>
    <n v="51"/>
    <n v="0.5"/>
    <n v="0.11799999999999999"/>
    <n v="0.99319999999999997"/>
    <n v="6.7999999999999996E-3"/>
    <s v="18.69683313585279"/>
    <s v="87.74055827759577"/>
    <s v="12.37977145283741"/>
    <s v="4.9932159456012615"/>
    <n v="795599883"/>
    <x v="1"/>
    <n v="0.99824919999999995"/>
    <x v="1"/>
  </r>
  <r>
    <n v="60"/>
    <n v="1"/>
    <n v="1"/>
    <n v="4"/>
    <n v="2"/>
    <n v="3"/>
    <n v="0"/>
    <n v="48"/>
    <n v="3"/>
    <n v="1"/>
    <n v="3"/>
    <n v="30655"/>
    <n v="0"/>
    <n v="30655"/>
    <n v="0.47499999999999998"/>
    <n v="3280"/>
    <n v="78"/>
    <n v="0.625"/>
    <n v="0"/>
    <n v="1.0231E-4"/>
    <n v="0.99990000000000001"/>
    <s v="21.88093391411946"/>
    <s v="20.528211163916637"/>
    <s v="73.66391460956872"/>
    <s v="7.009756033846597"/>
    <n v="716909283"/>
    <x v="0"/>
    <n v="7.1276520000000004E-4"/>
    <x v="0"/>
  </r>
  <r>
    <n v="40"/>
    <n v="0"/>
    <n v="5"/>
    <n v="2"/>
    <n v="1"/>
    <n v="4"/>
    <n v="0"/>
    <n v="30"/>
    <n v="3"/>
    <n v="2"/>
    <n v="2"/>
    <n v="2114"/>
    <n v="1618"/>
    <n v="496"/>
    <n v="0.66400000000000003"/>
    <n v="4518"/>
    <n v="88"/>
    <n v="0.69199999999999995"/>
    <n v="0.76500000000000001"/>
    <n v="1.1751E-4"/>
    <n v="0.99987999999999999"/>
    <s v="42.46104809657568"/>
    <s v="50.33545751434972"/>
    <s v="5.418257472041818"/>
    <s v="14.639165735405326"/>
    <n v="789351783"/>
    <x v="0"/>
    <n v="3.2101269999999999E-4"/>
    <x v="0"/>
  </r>
  <r>
    <n v="53"/>
    <n v="1"/>
    <n v="3"/>
    <n v="6"/>
    <n v="1"/>
    <n v="3"/>
    <n v="0"/>
    <n v="40"/>
    <n v="2"/>
    <n v="2"/>
    <n v="3"/>
    <n v="16747"/>
    <n v="0"/>
    <n v="16747"/>
    <n v="0.80100000000000005"/>
    <n v="4350"/>
    <n v="76"/>
    <n v="0.76700000000000002"/>
    <n v="0"/>
    <n v="2.1834E-4"/>
    <n v="0.99978"/>
    <s v="22.430411270487213"/>
    <n v="64.479627882696903"/>
    <s v="48.60080161127215"/>
    <s v="5.914682257501915"/>
    <n v="710401458"/>
    <x v="0"/>
    <n v="6.9517245999999998E-4"/>
    <x v="0"/>
  </r>
  <r>
    <n v="43"/>
    <n v="0"/>
    <n v="2"/>
    <n v="5"/>
    <n v="2"/>
    <n v="4"/>
    <n v="0"/>
    <n v="24"/>
    <n v="2"/>
    <n v="3"/>
    <n v="2"/>
    <n v="2962"/>
    <n v="2517"/>
    <n v="445"/>
    <n v="1.046"/>
    <n v="929"/>
    <n v="31"/>
    <n v="0.40899999999999997"/>
    <n v="0.85"/>
    <n v="0.99461999999999995"/>
    <n v="5.3800000000000002E-3"/>
    <s v="32.02379252976663"/>
    <s v="50.81230284966275"/>
    <s v="238.59572079388505"/>
    <s v="4.006595603622124"/>
    <n v="714272658"/>
    <x v="1"/>
    <n v="0.99609654999999997"/>
    <x v="1"/>
  </r>
  <r>
    <n v="55"/>
    <n v="1"/>
    <n v="3"/>
    <n v="4"/>
    <n v="1"/>
    <n v="3"/>
    <n v="0"/>
    <n v="36"/>
    <n v="6"/>
    <n v="1"/>
    <n v="0"/>
    <n v="6400"/>
    <n v="1979"/>
    <n v="4421"/>
    <n v="0.69599999999999995"/>
    <n v="4475"/>
    <n v="91"/>
    <n v="0.68500000000000005"/>
    <n v="0.309"/>
    <s v="2.4806e-05"/>
    <n v="0.99997999999999998"/>
    <s v="78.37173207062622"/>
    <s v="68.81648490705484"/>
    <s v="123.3774892712871"/>
    <s v="2.614779958560681"/>
    <n v="718611333"/>
    <x v="0"/>
    <n v="3.2101269999999999E-4"/>
    <x v="0"/>
  </r>
  <r>
    <n v="39"/>
    <n v="0"/>
    <n v="1"/>
    <n v="3"/>
    <n v="2"/>
    <n v="4"/>
    <n v="0"/>
    <n v="33"/>
    <n v="6"/>
    <n v="3"/>
    <n v="2"/>
    <n v="2292"/>
    <n v="1839"/>
    <n v="453"/>
    <n v="0.67500000000000004"/>
    <n v="4043"/>
    <n v="72"/>
    <n v="0.67400000000000004"/>
    <n v="0.80200000000000005"/>
    <n v="1.6412999999999999E-4"/>
    <n v="0.99983999999999995"/>
    <s v="28.148358672683383"/>
    <s v="67.36143621177072"/>
    <s v="44.98138206379841"/>
    <s v="7.385034266625491"/>
    <n v="784827108"/>
    <x v="0"/>
    <n v="3.2101269999999999E-4"/>
    <x v="0"/>
  </r>
  <r>
    <n v="59"/>
    <n v="1"/>
    <n v="0"/>
    <n v="5"/>
    <n v="3"/>
    <n v="2"/>
    <n v="0"/>
    <n v="48"/>
    <n v="2"/>
    <n v="6"/>
    <n v="2"/>
    <n v="13172"/>
    <n v="0"/>
    <n v="13172"/>
    <n v="0.876"/>
    <n v="2598"/>
    <n v="47"/>
    <n v="0.621"/>
    <n v="0"/>
    <n v="0.99207999999999996"/>
    <n v="7.92E-3"/>
    <n v="3.5834418163313799"/>
    <s v="24.900162357283715"/>
    <s v="74.46867833472204"/>
    <s v="22.91367097263941"/>
    <n v="780008358"/>
    <x v="1"/>
    <n v="0.99857795000000005"/>
    <x v="1"/>
  </r>
  <r>
    <n v="40"/>
    <n v="1"/>
    <n v="3"/>
    <n v="2"/>
    <n v="0"/>
    <n v="0"/>
    <n v="0"/>
    <n v="30"/>
    <n v="3"/>
    <n v="2"/>
    <n v="1"/>
    <n v="34516"/>
    <n v="0"/>
    <n v="34516"/>
    <n v="0.64300000000000002"/>
    <n v="3734"/>
    <n v="80"/>
    <n v="0.86"/>
    <n v="0"/>
    <s v="7.1226e-05"/>
    <n v="0.99992999999999999"/>
    <s v="28.625423390652184"/>
    <s v="21.417702558644248"/>
    <s v="116.5653565316158"/>
    <s v="9.728602758765913"/>
    <n v="708273858"/>
    <x v="0"/>
    <n v="6.9517245999999998E-4"/>
    <x v="0"/>
  </r>
  <r>
    <n v="43"/>
    <n v="1"/>
    <n v="2"/>
    <n v="5"/>
    <n v="2"/>
    <n v="0"/>
    <n v="0"/>
    <n v="33"/>
    <n v="5"/>
    <n v="3"/>
    <n v="1"/>
    <n v="30137"/>
    <n v="1368"/>
    <n v="28769"/>
    <n v="0.72099999999999997"/>
    <n v="3522"/>
    <n v="74"/>
    <n v="0.89700000000000002"/>
    <n v="4.4999999999999998E-2"/>
    <n v="1.1153E-4"/>
    <n v="0.99988999999999995"/>
    <n v="32.853815957866097"/>
    <s v="16.011878949831573"/>
    <s v="20.587270750975872"/>
    <s v="16.821576659866384"/>
    <n v="710077008"/>
    <x v="0"/>
    <n v="3.5729867999999997E-4"/>
    <x v="0"/>
  </r>
  <r>
    <n v="45"/>
    <n v="1"/>
    <n v="3"/>
    <n v="2"/>
    <n v="2"/>
    <n v="2"/>
    <n v="3"/>
    <n v="34"/>
    <n v="5"/>
    <n v="1"/>
    <n v="1"/>
    <n v="34516"/>
    <n v="1664"/>
    <n v="32852"/>
    <n v="0.73"/>
    <n v="4912"/>
    <n v="80"/>
    <n v="0.73899999999999999"/>
    <n v="4.8000000000000001E-2"/>
    <s v="3.1141e-05"/>
    <n v="0.99997000000000003"/>
    <s v="27.461443168758134"/>
    <s v="29.197986892282035"/>
    <n v="73.201669493439695"/>
    <s v="12.785453271734116"/>
    <n v="715130808"/>
    <x v="0"/>
    <n v="3.5729867999999997E-4"/>
    <x v="0"/>
  </r>
  <r>
    <n v="52"/>
    <n v="0"/>
    <n v="3"/>
    <n v="6"/>
    <n v="2"/>
    <n v="5"/>
    <n v="0"/>
    <n v="36"/>
    <n v="3"/>
    <n v="1"/>
    <n v="2"/>
    <n v="10273"/>
    <n v="1657"/>
    <n v="8616"/>
    <n v="0.71"/>
    <n v="3778"/>
    <n v="70"/>
    <n v="0.59099999999999997"/>
    <n v="0.161"/>
    <s v="6.282e-05"/>
    <n v="0.99994000000000005"/>
    <s v="2.0120017649296247"/>
    <s v="3.693595739838895"/>
    <s v="17.48783994426814"/>
    <s v="3.755745568337525"/>
    <n v="710431158"/>
    <x v="0"/>
    <n v="3.2914013999999999E-4"/>
    <x v="0"/>
  </r>
  <r>
    <n v="59"/>
    <n v="1"/>
    <n v="1"/>
    <n v="6"/>
    <n v="2"/>
    <n v="1"/>
    <n v="0"/>
    <n v="51"/>
    <n v="3"/>
    <n v="4"/>
    <n v="3"/>
    <n v="3808"/>
    <n v="713"/>
    <n v="3095"/>
    <n v="0.78700000000000003"/>
    <n v="4845"/>
    <n v="88"/>
    <n v="0.63"/>
    <n v="0.187"/>
    <n v="3.7718000000000002E-4"/>
    <n v="0.99961999999999995"/>
    <s v="35.13457830299669"/>
    <s v="39.09524658266863"/>
    <s v="49.56238517569045"/>
    <s v="4.716639183067426"/>
    <n v="718555308"/>
    <x v="0"/>
    <n v="5.5868360000000002E-4"/>
    <x v="0"/>
  </r>
  <r>
    <n v="47"/>
    <n v="0"/>
    <n v="4"/>
    <n v="5"/>
    <n v="2"/>
    <n v="1"/>
    <n v="0"/>
    <n v="33"/>
    <n v="3"/>
    <n v="2"/>
    <n v="1"/>
    <n v="9148"/>
    <n v="561"/>
    <n v="8587"/>
    <n v="0.77400000000000002"/>
    <n v="3451"/>
    <n v="59"/>
    <n v="0.96699999999999997"/>
    <n v="6.0999999999999999E-2"/>
    <s v="7.4017e-05"/>
    <n v="0.99992999999999999"/>
    <s v="12.868065203740542"/>
    <s v="78.76544471544935"/>
    <s v="20.490031889733967"/>
    <s v="6.576712790363489"/>
    <n v="788959758"/>
    <x v="0"/>
    <n v="9.2148624000000002E-4"/>
    <x v="0"/>
  </r>
  <r>
    <n v="41"/>
    <n v="0"/>
    <n v="3"/>
    <n v="0"/>
    <n v="2"/>
    <n v="5"/>
    <n v="0"/>
    <n v="36"/>
    <n v="4"/>
    <n v="2"/>
    <n v="4"/>
    <n v="4210"/>
    <n v="1597"/>
    <n v="2613"/>
    <n v="0.73299999999999998"/>
    <n v="4342"/>
    <n v="72"/>
    <n v="0.67400000000000004"/>
    <n v="0.379"/>
    <n v="3.2945000000000001E-4"/>
    <n v="0.99966999999999995"/>
    <s v="27.44015291174691"/>
    <s v="0.5458442214015647"/>
    <s v="96.71545034106762"/>
    <n v="25.0756278624036"/>
    <n v="714431058"/>
    <x v="0"/>
    <n v="3.2101269999999999E-4"/>
    <x v="0"/>
  </r>
  <r>
    <n v="39"/>
    <n v="0"/>
    <n v="1"/>
    <n v="2"/>
    <n v="1"/>
    <n v="4"/>
    <n v="0"/>
    <n v="36"/>
    <n v="1"/>
    <n v="2"/>
    <n v="3"/>
    <n v="1462"/>
    <n v="0"/>
    <n v="1462"/>
    <n v="0.39300000000000002"/>
    <n v="1998"/>
    <n v="36"/>
    <n v="0.161"/>
    <n v="0"/>
    <n v="0.99446999999999997"/>
    <n v="5.5300000000000002E-3"/>
    <s v="25.406243837772145"/>
    <n v="42.698058631185603"/>
    <s v="68.33163415294489"/>
    <s v="0.1622193990741696"/>
    <n v="714602658"/>
    <x v="1"/>
    <n v="0.99877304"/>
    <x v="1"/>
  </r>
  <r>
    <n v="45"/>
    <n v="0"/>
    <n v="3"/>
    <n v="2"/>
    <n v="2"/>
    <n v="4"/>
    <n v="0"/>
    <n v="28"/>
    <n v="5"/>
    <n v="2"/>
    <n v="2"/>
    <n v="2035"/>
    <n v="1174"/>
    <n v="861"/>
    <n v="0.876"/>
    <n v="4670"/>
    <n v="77"/>
    <n v="0.63800000000000001"/>
    <n v="0.57699999999999996"/>
    <n v="1.1811000000000001E-4"/>
    <n v="0.99987999999999999"/>
    <s v="37.390111393182686"/>
    <s v="3.4102982877168784"/>
    <s v="55.21638664117052"/>
    <s v="18.330351558547072"/>
    <n v="711288558"/>
    <x v="0"/>
    <n v="3.2914013999999999E-4"/>
    <x v="0"/>
  </r>
  <r>
    <n v="44"/>
    <n v="0"/>
    <n v="2"/>
    <n v="4"/>
    <n v="1"/>
    <n v="4"/>
    <n v="3"/>
    <n v="36"/>
    <n v="6"/>
    <n v="3"/>
    <n v="2"/>
    <n v="10580"/>
    <n v="1023"/>
    <n v="9557"/>
    <n v="0.90700000000000003"/>
    <n v="4721"/>
    <n v="81"/>
    <n v="0.8"/>
    <n v="9.7000000000000003E-2"/>
    <n v="1.9123999999999999E-4"/>
    <n v="0.99980999999999998"/>
    <s v="20.88428369393533"/>
    <s v="28.53400142313613"/>
    <s v="71.62157737829033"/>
    <s v="8.315407560968112"/>
    <n v="709306983"/>
    <x v="0"/>
    <n v="3.3750932000000002E-4"/>
    <x v="0"/>
  </r>
  <r>
    <n v="46"/>
    <n v="0"/>
    <n v="4"/>
    <n v="4"/>
    <n v="1"/>
    <n v="4"/>
    <n v="0"/>
    <n v="37"/>
    <n v="5"/>
    <n v="3"/>
    <n v="2"/>
    <n v="3773"/>
    <n v="1972"/>
    <n v="1801"/>
    <n v="0.78300000000000003"/>
    <n v="1528"/>
    <n v="25"/>
    <n v="1.083"/>
    <n v="0.52300000000000002"/>
    <n v="2.2196E-4"/>
    <n v="0.99978"/>
    <s v="3.976804002646927"/>
    <s v="70.10716605140748"/>
    <s v="45.01883387758775"/>
    <s v="1.8364690482319543"/>
    <n v="719451483"/>
    <x v="0"/>
    <n v="9.8706899999999992E-4"/>
    <x v="0"/>
  </r>
  <r>
    <n v="56"/>
    <n v="1"/>
    <n v="2"/>
    <n v="2"/>
    <n v="1"/>
    <n v="1"/>
    <n v="0"/>
    <n v="49"/>
    <n v="3"/>
    <n v="5"/>
    <n v="3"/>
    <n v="3059"/>
    <n v="2387"/>
    <n v="672"/>
    <n v="0.80800000000000005"/>
    <n v="4774"/>
    <n v="81"/>
    <n v="0.76100000000000001"/>
    <n v="0.78"/>
    <n v="3.3786999999999999E-4"/>
    <n v="0.99965999999999999"/>
    <s v="41.34730491389861"/>
    <s v="0.9059826286353064"/>
    <s v="19.31242338551881"/>
    <s v="6.6736724182572695"/>
    <n v="711337158"/>
    <x v="0"/>
    <n v="3.2101269999999999E-4"/>
    <x v="0"/>
  </r>
  <r>
    <n v="42"/>
    <n v="0"/>
    <n v="4"/>
    <n v="0"/>
    <n v="1"/>
    <n v="1"/>
    <n v="0"/>
    <n v="34"/>
    <n v="1"/>
    <n v="3"/>
    <n v="2"/>
    <n v="1695"/>
    <n v="0"/>
    <n v="1695"/>
    <n v="0.45300000000000001"/>
    <n v="2055"/>
    <n v="46"/>
    <n v="0.314"/>
    <n v="0"/>
    <n v="0.99458000000000002"/>
    <n v="5.4200000000000003E-3"/>
    <s v="32.99671880079417"/>
    <s v="14.988147864268898"/>
    <s v="50.75887290340553"/>
    <s v="5.058282378812496"/>
    <n v="715904433"/>
    <x v="1"/>
    <n v="0.99876772999999996"/>
    <x v="1"/>
  </r>
  <r>
    <n v="65"/>
    <n v="1"/>
    <n v="0"/>
    <n v="1"/>
    <n v="2"/>
    <n v="5"/>
    <n v="0"/>
    <n v="56"/>
    <n v="3"/>
    <n v="2"/>
    <n v="2"/>
    <n v="28410"/>
    <n v="1608"/>
    <n v="26802"/>
    <n v="0.91300000000000003"/>
    <n v="2278"/>
    <n v="77"/>
    <n v="1.139"/>
    <n v="5.7000000000000002E-2"/>
    <n v="1.4134E-4"/>
    <n v="0.99985999999999997"/>
    <s v="18.316599116154407"/>
    <s v="28.32366914661819"/>
    <s v="200.87607682408455"/>
    <s v="3.989672840305877"/>
    <n v="716823408"/>
    <x v="0"/>
    <n v="4.6166019999999998E-4"/>
    <x v="0"/>
  </r>
  <r>
    <n v="56"/>
    <n v="0"/>
    <n v="0"/>
    <n v="5"/>
    <n v="2"/>
    <n v="4"/>
    <n v="0"/>
    <n v="36"/>
    <n v="4"/>
    <n v="3"/>
    <n v="1"/>
    <n v="3219"/>
    <n v="2114"/>
    <n v="1105"/>
    <n v="0.65500000000000003"/>
    <n v="4188"/>
    <n v="75"/>
    <n v="0.66700000000000004"/>
    <n v="0.65700000000000003"/>
    <s v="9.5711e-05"/>
    <n v="0.99990000000000001"/>
    <s v="35.47966733343358"/>
    <s v="73.61875364415965"/>
    <s v="7.7725416954791156"/>
    <s v="4.286477060676428"/>
    <n v="778349883"/>
    <x v="0"/>
    <n v="3.2101269999999999E-4"/>
    <x v="0"/>
  </r>
  <r>
    <n v="40"/>
    <n v="0"/>
    <n v="4"/>
    <n v="2"/>
    <n v="1"/>
    <n v="4"/>
    <n v="0"/>
    <n v="36"/>
    <n v="5"/>
    <n v="5"/>
    <n v="1"/>
    <n v="1577"/>
    <n v="1286"/>
    <n v="291"/>
    <n v="0.57099999999999995"/>
    <n v="3453"/>
    <n v="52"/>
    <n v="1.08"/>
    <n v="0.81499999999999995"/>
    <n v="1.2706999999999999E-4"/>
    <n v="0.99987000000000004"/>
    <s v="34.36781600651616"/>
    <s v="22.93342953837562"/>
    <s v="1.7470360542118268"/>
    <n v="2.2296935223847401"/>
    <n v="716231133"/>
    <x v="0"/>
    <n v="7.3065865000000003E-4"/>
    <x v="0"/>
  </r>
  <r>
    <n v="37"/>
    <n v="0"/>
    <n v="1"/>
    <n v="2"/>
    <n v="2"/>
    <n v="1"/>
    <n v="0"/>
    <n v="27"/>
    <n v="6"/>
    <n v="1"/>
    <n v="2"/>
    <n v="2673"/>
    <n v="2517"/>
    <n v="156"/>
    <n v="0.71399999999999997"/>
    <n v="3052"/>
    <n v="63"/>
    <n v="0.75"/>
    <n v="0.94199999999999995"/>
    <s v="5.1697e-05"/>
    <n v="0.99995000000000001"/>
    <s v="26.521614220722054"/>
    <n v="5.3085311859965296"/>
    <s v="22.688691622792447"/>
    <s v="7.5907264143971185"/>
    <n v="712801758"/>
    <x v="0"/>
    <n v="4.0903274000000001E-4"/>
    <x v="0"/>
  </r>
  <r>
    <n v="62"/>
    <n v="0"/>
    <n v="0"/>
    <n v="3"/>
    <n v="2"/>
    <n v="4"/>
    <n v="0"/>
    <n v="36"/>
    <n v="6"/>
    <n v="2"/>
    <n v="1"/>
    <n v="3749"/>
    <n v="1980"/>
    <n v="1769"/>
    <n v="0.70599999999999996"/>
    <n v="5083"/>
    <n v="69"/>
    <n v="0.64300000000000002"/>
    <n v="0.52800000000000002"/>
    <s v="5.7261e-05"/>
    <n v="0.99994000000000005"/>
    <s v="18.62127124491167"/>
    <s v="4.492166169221292"/>
    <n v="68.354714441465106"/>
    <s v="1.7716175601687243"/>
    <n v="717446208"/>
    <x v="0"/>
    <n v="3.2914013999999999E-4"/>
    <x v="0"/>
  </r>
  <r>
    <n v="45"/>
    <n v="0"/>
    <n v="2"/>
    <n v="1"/>
    <n v="2"/>
    <n v="5"/>
    <n v="0"/>
    <n v="36"/>
    <n v="4"/>
    <n v="2"/>
    <n v="4"/>
    <n v="7738"/>
    <n v="947"/>
    <n v="6791"/>
    <n v="0.84499999999999997"/>
    <n v="4255"/>
    <n v="61"/>
    <n v="0.69399999999999995"/>
    <n v="0.122"/>
    <n v="4.7250999999999999E-4"/>
    <n v="0.99953000000000003"/>
    <n v="37.735011067509802"/>
    <s v="12.323482309778631"/>
    <s v="68.79315330191403"/>
    <s v="4.300877193405207"/>
    <n v="712165308"/>
    <x v="0"/>
    <n v="4.2835376000000002E-4"/>
    <x v="0"/>
  </r>
  <r>
    <n v="58"/>
    <n v="0"/>
    <n v="1"/>
    <n v="4"/>
    <n v="0"/>
    <n v="4"/>
    <n v="0"/>
    <n v="52"/>
    <n v="4"/>
    <n v="1"/>
    <n v="3"/>
    <n v="1817"/>
    <n v="0"/>
    <n v="1817"/>
    <n v="0.503"/>
    <n v="2347"/>
    <n v="45"/>
    <n v="0.45200000000000001"/>
    <n v="0"/>
    <n v="0.99031999999999998"/>
    <n v="9.6799999999999994E-3"/>
    <s v="12.50281488068227"/>
    <s v="11.569585645951664"/>
    <s v="50.75723373779151"/>
    <s v="7.541733420022948"/>
    <n v="794172033"/>
    <x v="1"/>
    <n v="0.99873226999999998"/>
    <x v="1"/>
  </r>
  <r>
    <n v="49"/>
    <n v="0"/>
    <n v="3"/>
    <n v="4"/>
    <n v="1"/>
    <n v="1"/>
    <n v="0"/>
    <n v="36"/>
    <n v="5"/>
    <n v="2"/>
    <n v="1"/>
    <n v="1994"/>
    <n v="0"/>
    <n v="1994"/>
    <n v="0.82899999999999996"/>
    <n v="4434"/>
    <n v="69"/>
    <n v="0.56799999999999995"/>
    <n v="0"/>
    <s v="8.381e-05"/>
    <n v="0.99992000000000003"/>
    <n v="30.466192822307399"/>
    <s v="49.06035382816254"/>
    <s v="26.53956455732504"/>
    <s v="15.789470625409582"/>
    <n v="720771933"/>
    <x v="0"/>
    <n v="7.9661230000000003E-4"/>
    <x v="0"/>
  </r>
  <r>
    <n v="53"/>
    <n v="0"/>
    <n v="3"/>
    <n v="3"/>
    <n v="0"/>
    <n v="5"/>
    <n v="0"/>
    <n v="36"/>
    <n v="4"/>
    <n v="3"/>
    <n v="6"/>
    <n v="7939"/>
    <n v="0"/>
    <n v="7939"/>
    <n v="0.55100000000000005"/>
    <n v="2269"/>
    <n v="42"/>
    <n v="0.312"/>
    <n v="0"/>
    <n v="0.99936999999999998"/>
    <n v="6.3173999999999999E-4"/>
    <s v="13.616483396001078"/>
    <s v="11.27728922417649"/>
    <n v="74.455947240185907"/>
    <s v="2.4066649675218272"/>
    <n v="714406158"/>
    <x v="1"/>
    <n v="0.9979905"/>
    <x v="1"/>
  </r>
  <r>
    <n v="36"/>
    <n v="1"/>
    <n v="3"/>
    <n v="0"/>
    <n v="1"/>
    <n v="0"/>
    <n v="0"/>
    <n v="26"/>
    <n v="3"/>
    <n v="2"/>
    <n v="3"/>
    <n v="17116"/>
    <n v="939"/>
    <n v="16177"/>
    <n v="1.575"/>
    <n v="2547"/>
    <n v="45"/>
    <n v="0.73099999999999998"/>
    <n v="5.5E-2"/>
    <n v="1.9312999999999999E-4"/>
    <n v="0.99980999999999998"/>
    <s v="19.820577904809277"/>
    <s v="29.711025467514016"/>
    <s v="123.13891333796172"/>
    <s v="2.9800420679966915"/>
    <n v="713769258"/>
    <x v="0"/>
    <n v="1.5977236999999999E-3"/>
    <x v="0"/>
  </r>
  <r>
    <n v="53"/>
    <n v="0"/>
    <n v="3"/>
    <n v="5"/>
    <n v="1"/>
    <n v="5"/>
    <n v="0"/>
    <n v="36"/>
    <n v="6"/>
    <n v="2"/>
    <n v="2"/>
    <n v="2447"/>
    <n v="1558"/>
    <n v="889"/>
    <n v="0.51100000000000001"/>
    <n v="1716"/>
    <n v="38"/>
    <n v="0.46200000000000002"/>
    <n v="0.63700000000000001"/>
    <n v="1.2144E-4"/>
    <n v="0.99987999999999999"/>
    <s v="18.921639623049376"/>
    <s v="29.008709752016465"/>
    <s v="34.09475151878006"/>
    <s v="5.992992981348577"/>
    <n v="716375883"/>
    <x v="0"/>
    <n v="1.1982243E-3"/>
    <x v="0"/>
  </r>
  <r>
    <n v="36"/>
    <n v="1"/>
    <n v="1"/>
    <n v="2"/>
    <n v="2"/>
    <n v="2"/>
    <n v="0"/>
    <n v="24"/>
    <n v="3"/>
    <n v="2"/>
    <n v="1"/>
    <n v="20101"/>
    <n v="1299"/>
    <n v="18802"/>
    <n v="0.85799999999999998"/>
    <n v="14732"/>
    <n v="115"/>
    <n v="0.85499999999999998"/>
    <n v="6.5000000000000002E-2"/>
    <s v="6.4428e-05"/>
    <n v="0.99994000000000005"/>
    <s v="27.76681319542608"/>
    <s v="14.939670956248492"/>
    <n v="70.409034126174802"/>
    <s v="29.51182196372513"/>
    <n v="712363158"/>
    <x v="0"/>
    <n v="3.8573547000000003E-4"/>
    <x v="0"/>
  </r>
  <r>
    <n v="53"/>
    <n v="1"/>
    <n v="2"/>
    <n v="5"/>
    <n v="1"/>
    <n v="3"/>
    <n v="0"/>
    <n v="36"/>
    <n v="1"/>
    <n v="3"/>
    <n v="3"/>
    <n v="4503"/>
    <n v="0"/>
    <n v="4503"/>
    <n v="0.65900000000000003"/>
    <n v="748"/>
    <n v="20"/>
    <n v="0.42899999999999999"/>
    <n v="0"/>
    <n v="0.99680000000000002"/>
    <n v="3.2037400000000001E-3"/>
    <s v="17.564096537807128"/>
    <s v="47.58978599198121"/>
    <s v="6.000623653566415"/>
    <n v="7.8483146993029003"/>
    <n v="719418933"/>
    <x v="1"/>
    <n v="0.99877890000000003"/>
    <x v="1"/>
  </r>
  <r>
    <n v="51"/>
    <n v="0"/>
    <n v="1"/>
    <n v="3"/>
    <n v="2"/>
    <n v="5"/>
    <n v="0"/>
    <n v="41"/>
    <n v="3"/>
    <n v="3"/>
    <n v="2"/>
    <n v="9701"/>
    <n v="0"/>
    <n v="9701"/>
    <n v="1.024"/>
    <n v="9404"/>
    <n v="62"/>
    <n v="0.82399999999999995"/>
    <n v="0"/>
    <n v="0.99395"/>
    <n v="6.0499999999999998E-3"/>
    <s v="19.576818383597047"/>
    <s v="31.76322726688499"/>
    <s v="109.38107112760474"/>
    <s v="13.830531551555058"/>
    <n v="709971708"/>
    <x v="1"/>
    <n v="0.9954307"/>
    <x v="1"/>
  </r>
  <r>
    <n v="49"/>
    <n v="0"/>
    <n v="4"/>
    <n v="6"/>
    <n v="2"/>
    <n v="4"/>
    <n v="0"/>
    <n v="36"/>
    <n v="4"/>
    <n v="1"/>
    <n v="4"/>
    <n v="1976"/>
    <n v="1694"/>
    <n v="282"/>
    <n v="1.054"/>
    <n v="3675"/>
    <n v="81"/>
    <n v="0.84099999999999997"/>
    <n v="0.85699999999999998"/>
    <n v="1.8217999999999999E-4"/>
    <n v="0.99982000000000004"/>
    <s v="56.074736605054966"/>
    <s v="93.51920690133844"/>
    <s v="102.8975296595166"/>
    <s v="4.262363826194044"/>
    <n v="712653183"/>
    <x v="0"/>
    <n v="3.221314E-4"/>
    <x v="0"/>
  </r>
  <r>
    <n v="33"/>
    <n v="0"/>
    <n v="4"/>
    <n v="0"/>
    <n v="1"/>
    <n v="1"/>
    <n v="0"/>
    <n v="26"/>
    <n v="1"/>
    <n v="2"/>
    <n v="3"/>
    <n v="2874"/>
    <n v="2517"/>
    <n v="357"/>
    <n v="0.73"/>
    <n v="4794"/>
    <n v="88"/>
    <n v="0.6"/>
    <n v="0.876"/>
    <n v="1.9519000000000001E-4"/>
    <n v="0.99980000000000002"/>
    <s v="16.96370905662213"/>
    <s v="46.551969364521135"/>
    <s v="18.520327094438507"/>
    <s v="10.384304168335838"/>
    <n v="715829358"/>
    <x v="0"/>
    <n v="3.5570623000000002E-4"/>
    <x v="0"/>
  </r>
  <r>
    <n v="31"/>
    <n v="1"/>
    <n v="1"/>
    <n v="0"/>
    <n v="2"/>
    <n v="1"/>
    <n v="0"/>
    <n v="22"/>
    <n v="4"/>
    <n v="1"/>
    <n v="3"/>
    <n v="9096"/>
    <n v="0"/>
    <n v="9096"/>
    <n v="0.76800000000000002"/>
    <n v="2318"/>
    <n v="54"/>
    <n v="0.68799999999999994"/>
    <n v="0"/>
    <s v="8.4537e-05"/>
    <n v="0.99992000000000003"/>
    <s v="2.840382080558145"/>
    <s v="31.862326955423452"/>
    <s v="20.671128692422524"/>
    <n v="9.6144691916142904"/>
    <n v="716692683"/>
    <x v="0"/>
    <n v="2.0529374E-3"/>
    <x v="0"/>
  </r>
  <r>
    <n v="46"/>
    <n v="1"/>
    <n v="4"/>
    <n v="6"/>
    <n v="1"/>
    <n v="3"/>
    <n v="0"/>
    <n v="39"/>
    <n v="3"/>
    <n v="3"/>
    <n v="2"/>
    <n v="34516"/>
    <n v="289"/>
    <n v="34227"/>
    <n v="0.95"/>
    <n v="8964"/>
    <n v="76"/>
    <n v="1.054"/>
    <n v="8.0000000000000002E-3"/>
    <n v="0.99519999999999997"/>
    <n v="4.7986299999999999E-3"/>
    <s v="48.84390254564512"/>
    <n v="65.205072618785707"/>
    <s v="26.11266440540177"/>
    <s v="8.038884030667097"/>
    <n v="757291008"/>
    <x v="1"/>
    <n v="0.99507409999999996"/>
    <x v="1"/>
  </r>
  <r>
    <n v="41"/>
    <n v="1"/>
    <n v="5"/>
    <n v="2"/>
    <n v="1"/>
    <n v="2"/>
    <n v="0"/>
    <n v="36"/>
    <n v="4"/>
    <n v="4"/>
    <n v="3"/>
    <n v="4575"/>
    <n v="1344"/>
    <n v="3231"/>
    <n v="0.46"/>
    <n v="4726"/>
    <n v="64"/>
    <n v="0.56100000000000005"/>
    <n v="0.29399999999999998"/>
    <n v="3.7742E-4"/>
    <n v="0.99961999999999995"/>
    <s v="20.03102121028565"/>
    <s v="16.756868111242937"/>
    <s v="1.8673432589925123"/>
    <s v="16.009499070020002"/>
    <n v="709747308"/>
    <x v="0"/>
    <n v="3.4604817999999999E-4"/>
    <x v="0"/>
  </r>
  <r>
    <n v="36"/>
    <n v="0"/>
    <n v="0"/>
    <n v="5"/>
    <n v="2"/>
    <n v="5"/>
    <n v="0"/>
    <n v="18"/>
    <n v="5"/>
    <n v="3"/>
    <n v="2"/>
    <n v="3667"/>
    <n v="948"/>
    <n v="2719"/>
    <n v="0.64100000000000001"/>
    <n v="2781"/>
    <n v="59"/>
    <n v="0.84399999999999997"/>
    <n v="0.25900000000000001"/>
    <n v="1.5871E-4"/>
    <n v="0.99983999999999995"/>
    <s v="71.32221424170747"/>
    <n v="45.184994879761803"/>
    <s v="23.25704098306129"/>
    <s v="0.6203996527969109"/>
    <n v="712489158"/>
    <x v="0"/>
    <n v="5.6419130000000001E-4"/>
    <x v="0"/>
  </r>
  <r>
    <n v="50"/>
    <n v="0"/>
    <n v="1"/>
    <n v="2"/>
    <n v="2"/>
    <n v="1"/>
    <n v="0"/>
    <n v="36"/>
    <n v="2"/>
    <n v="1"/>
    <n v="3"/>
    <n v="2833"/>
    <n v="1622"/>
    <n v="1211"/>
    <n v="0.95099999999999996"/>
    <n v="14341"/>
    <n v="101"/>
    <n v="0.71199999999999997"/>
    <n v="0.57299999999999995"/>
    <s v="8.6952e-05"/>
    <n v="0.99990999999999997"/>
    <s v="34.93492998118881"/>
    <s v="39.23154556030702"/>
    <s v="28.89358938555622"/>
    <n v="7.0935125384974604"/>
    <n v="711727083"/>
    <x v="0"/>
    <n v="3.4777042999999998E-4"/>
    <x v="0"/>
  </r>
  <r>
    <n v="45"/>
    <n v="0"/>
    <n v="2"/>
    <n v="2"/>
    <n v="1"/>
    <n v="5"/>
    <n v="0"/>
    <n v="37"/>
    <n v="6"/>
    <n v="1"/>
    <n v="2"/>
    <n v="14470"/>
    <n v="1157"/>
    <n v="13313"/>
    <n v="0.96599999999999997"/>
    <n v="1207"/>
    <n v="21"/>
    <n v="0.90900000000000003"/>
    <n v="0.08"/>
    <s v="5.5077e-05"/>
    <n v="0.99994000000000005"/>
    <s v="37.58287444895251"/>
    <s v="30.961633888012283"/>
    <s v="12.996172302791951"/>
    <s v="2.233796343689089"/>
    <n v="709327383"/>
    <x v="0"/>
    <n v="1.041906E-3"/>
    <x v="0"/>
  </r>
  <r>
    <n v="39"/>
    <n v="0"/>
    <n v="2"/>
    <n v="2"/>
    <n v="1"/>
    <n v="1"/>
    <n v="0"/>
    <n v="26"/>
    <n v="4"/>
    <n v="1"/>
    <n v="1"/>
    <n v="3649"/>
    <n v="929"/>
    <n v="2720"/>
    <n v="0.63300000000000001"/>
    <n v="3964"/>
    <n v="77"/>
    <n v="0.75"/>
    <n v="0.255"/>
    <s v="3.3214e-05"/>
    <n v="0.99997000000000003"/>
    <n v="9.4070847124984702"/>
    <s v="10.490619493471597"/>
    <s v="5.475293631479588"/>
    <s v="22.819514492937568"/>
    <n v="716689383"/>
    <x v="0"/>
    <n v="3.9522952000000002E-4"/>
    <x v="0"/>
  </r>
  <r>
    <n v="56"/>
    <n v="0"/>
    <n v="1"/>
    <n v="5"/>
    <n v="0"/>
    <n v="5"/>
    <n v="0"/>
    <n v="52"/>
    <n v="6"/>
    <n v="1"/>
    <n v="2"/>
    <n v="17561"/>
    <n v="0"/>
    <n v="17561"/>
    <n v="0.94"/>
    <n v="1608"/>
    <n v="33"/>
    <n v="1.2"/>
    <n v="0"/>
    <s v="5.3155e-05"/>
    <n v="0.99995000000000001"/>
    <s v="16.88575440261459"/>
    <s v="53.32682797901814"/>
    <s v="88.56143715444091"/>
    <s v="1.9821896032884645"/>
    <n v="822893133"/>
    <x v="0"/>
    <n v="3.1488503E-3"/>
    <x v="0"/>
  </r>
  <r>
    <n v="44"/>
    <n v="1"/>
    <n v="4"/>
    <n v="6"/>
    <n v="2"/>
    <n v="2"/>
    <n v="0"/>
    <n v="36"/>
    <n v="3"/>
    <n v="1"/>
    <n v="4"/>
    <n v="10998"/>
    <n v="1586"/>
    <n v="9412"/>
    <n v="0.90700000000000003"/>
    <n v="2237"/>
    <n v="33"/>
    <n v="0.435"/>
    <n v="0.14399999999999999"/>
    <n v="1.8217999999999999E-4"/>
    <n v="0.99982000000000004"/>
    <s v="47.338947857867936"/>
    <s v="38.42940717318474"/>
    <s v="6.110030618775752"/>
    <s v="15.171173656630112"/>
    <n v="714779733"/>
    <x v="0"/>
    <n v="1.5429998E-3"/>
    <x v="0"/>
  </r>
  <r>
    <n v="47"/>
    <n v="0"/>
    <n v="5"/>
    <n v="4"/>
    <n v="0"/>
    <n v="4"/>
    <n v="0"/>
    <n v="30"/>
    <n v="4"/>
    <n v="1"/>
    <n v="2"/>
    <n v="5016"/>
    <n v="2286"/>
    <n v="2730"/>
    <n v="0.66900000000000004"/>
    <n v="17038"/>
    <n v="122"/>
    <n v="0.64900000000000002"/>
    <n v="0.45600000000000002"/>
    <s v="6.6908e-05"/>
    <n v="0.99992999999999999"/>
    <s v="19.34958844441387"/>
    <s v="40.30804858492299"/>
    <s v="24.05128975930343"/>
    <s v="5.385347429573949"/>
    <n v="717783483"/>
    <x v="0"/>
    <n v="3.5533762999999998E-4"/>
    <x v="0"/>
  </r>
  <r>
    <n v="51"/>
    <n v="0"/>
    <n v="3"/>
    <n v="0"/>
    <n v="2"/>
    <n v="4"/>
    <n v="0"/>
    <n v="36"/>
    <n v="3"/>
    <n v="3"/>
    <n v="3"/>
    <n v="8960"/>
    <n v="2222"/>
    <n v="6738"/>
    <n v="0.38200000000000001"/>
    <n v="1853"/>
    <n v="40"/>
    <n v="0.33300000000000002"/>
    <n v="0.248"/>
    <n v="0.99673999999999996"/>
    <n v="3.2649799999999998E-3"/>
    <s v="44.50064928323882"/>
    <s v="92.14484149022778"/>
    <s v="30.61947027688421"/>
    <n v="2.4931712643595998"/>
    <n v="716022258"/>
    <x v="1"/>
    <n v="0.99494959999999999"/>
    <x v="1"/>
  </r>
  <r>
    <n v="45"/>
    <n v="0"/>
    <n v="2"/>
    <n v="5"/>
    <n v="1"/>
    <n v="5"/>
    <n v="0"/>
    <n v="36"/>
    <n v="2"/>
    <n v="1"/>
    <n v="3"/>
    <n v="8103"/>
    <n v="0"/>
    <n v="8103"/>
    <n v="0.98599999999999999"/>
    <n v="5221"/>
    <n v="82"/>
    <n v="0.67300000000000004"/>
    <n v="0"/>
    <s v="9.5249e-05"/>
    <n v="0.99990000000000001"/>
    <s v="16.66341168032134"/>
    <s v="38.88131624934432"/>
    <s v="109.07732033107418"/>
    <s v="29.225290510545083"/>
    <n v="716366208"/>
    <x v="0"/>
    <n v="7.4699510000000001E-4"/>
    <x v="0"/>
  </r>
  <r>
    <n v="54"/>
    <n v="0"/>
    <n v="4"/>
    <n v="0"/>
    <n v="2"/>
    <n v="4"/>
    <n v="0"/>
    <n v="46"/>
    <n v="3"/>
    <n v="2"/>
    <n v="1"/>
    <n v="4166"/>
    <n v="989"/>
    <n v="3177"/>
    <n v="0.96699999999999997"/>
    <n v="4584"/>
    <n v="70"/>
    <n v="1.258"/>
    <n v="0.23699999999999999"/>
    <s v="6.9988e-05"/>
    <n v="0.99992999999999999"/>
    <s v="48.830251757384985"/>
    <s v="33.586290965105654"/>
    <s v="46.14392115853924"/>
    <s v="6.642727066934356"/>
    <n v="714293358"/>
    <x v="0"/>
    <n v="3.3750932000000002E-4"/>
    <x v="0"/>
  </r>
  <r>
    <n v="47"/>
    <n v="1"/>
    <n v="5"/>
    <n v="3"/>
    <n v="2"/>
    <n v="4"/>
    <n v="0"/>
    <n v="35"/>
    <n v="4"/>
    <n v="3"/>
    <n v="5"/>
    <n v="4165"/>
    <n v="0"/>
    <n v="4165"/>
    <n v="0.81299999999999994"/>
    <n v="17093"/>
    <n v="111"/>
    <n v="0.82"/>
    <n v="0"/>
    <n v="8.9585999999999995E-4"/>
    <n v="0.99909999999999999"/>
    <s v="52.93392340877397"/>
    <s v="47.38304274860347"/>
    <s v="72.09161576953866"/>
    <s v="7.927777930718959"/>
    <n v="780613758"/>
    <x v="0"/>
    <n v="5.6555665999999997E-2"/>
    <x v="0"/>
  </r>
  <r>
    <n v="32"/>
    <n v="1"/>
    <n v="0"/>
    <n v="4"/>
    <n v="2"/>
    <n v="1"/>
    <n v="0"/>
    <n v="14"/>
    <n v="1"/>
    <n v="1"/>
    <n v="3"/>
    <n v="4015"/>
    <n v="0"/>
    <n v="4015"/>
    <n v="1.0449999999999999"/>
    <n v="8363"/>
    <n v="65"/>
    <n v="0.80600000000000005"/>
    <n v="0"/>
    <n v="0.98941999999999997"/>
    <n v="1.0580000000000001E-2"/>
    <s v="3.7653580688484656"/>
    <s v="3.2403036935923586"/>
    <s v="47.64611507965356"/>
    <s v="0.9526280585152244"/>
    <n v="712265508"/>
    <x v="1"/>
    <n v="0.9954307"/>
    <x v="1"/>
  </r>
  <r>
    <n v="40"/>
    <n v="0"/>
    <n v="3"/>
    <n v="5"/>
    <n v="2"/>
    <n v="4"/>
    <n v="0"/>
    <n v="27"/>
    <n v="5"/>
    <n v="4"/>
    <n v="2"/>
    <n v="2035"/>
    <n v="0"/>
    <n v="2035"/>
    <n v="0.77900000000000003"/>
    <n v="4107"/>
    <n v="82"/>
    <n v="0.78300000000000003"/>
    <n v="0"/>
    <n v="2.3191999999999999E-4"/>
    <n v="0.99977000000000005"/>
    <s v="7.473711397151482"/>
    <s v="21.121315299781404"/>
    <s v="52.365955129192855"/>
    <s v="1.9009615717265151"/>
    <n v="710453283"/>
    <x v="0"/>
    <n v="6.9517245999999998E-4"/>
    <x v="0"/>
  </r>
  <r>
    <n v="62"/>
    <n v="0"/>
    <n v="0"/>
    <n v="3"/>
    <n v="1"/>
    <n v="4"/>
    <n v="0"/>
    <n v="51"/>
    <n v="6"/>
    <n v="3"/>
    <n v="4"/>
    <n v="1438.3"/>
    <n v="0"/>
    <n v="1438.3"/>
    <n v="0.70199999999999996"/>
    <n v="1445"/>
    <n v="38"/>
    <n v="0.31"/>
    <n v="0"/>
    <n v="4.3049000000000001E-4"/>
    <n v="0.99956999999999996"/>
    <s v="48.27249902333412"/>
    <n v="6.89980580286666"/>
    <s v="29.12922468542716"/>
    <s v="8.538929402763662"/>
    <n v="772155108"/>
    <x v="0"/>
    <n v="4.459518E-3"/>
    <x v="0"/>
  </r>
  <r>
    <n v="51"/>
    <n v="0"/>
    <n v="1"/>
    <n v="3"/>
    <n v="1"/>
    <n v="4"/>
    <n v="0"/>
    <n v="43"/>
    <n v="5"/>
    <n v="1"/>
    <n v="3"/>
    <n v="1822"/>
    <n v="1114"/>
    <n v="708"/>
    <n v="0.53900000000000003"/>
    <n v="5210"/>
    <n v="73"/>
    <n v="0.55300000000000005"/>
    <n v="0.61099999999999999"/>
    <s v="8.453e-05"/>
    <n v="0.99992000000000003"/>
    <s v="23.579590302575205"/>
    <s v="87.16411427083143"/>
    <n v="3.3371811408568401"/>
    <s v="3.5883687084963145"/>
    <n v="718481283"/>
    <x v="0"/>
    <n v="3.2914013999999999E-4"/>
    <x v="0"/>
  </r>
  <r>
    <n v="59"/>
    <n v="0"/>
    <n v="1"/>
    <n v="3"/>
    <n v="2"/>
    <n v="5"/>
    <n v="0"/>
    <n v="52"/>
    <n v="2"/>
    <n v="1"/>
    <n v="1"/>
    <n v="7427"/>
    <n v="2421"/>
    <n v="5006"/>
    <n v="0.70099999999999996"/>
    <n v="4636"/>
    <n v="91"/>
    <n v="0.82"/>
    <n v="0.32600000000000001"/>
    <s v="3.0307e-05"/>
    <n v="0.99997000000000003"/>
    <s v="15.563245553292315"/>
    <s v="31.40087736291096"/>
    <s v="131.5557988309924"/>
    <s v="13.898072829246807"/>
    <n v="751143858"/>
    <x v="0"/>
    <n v="3.2101269999999999E-4"/>
    <x v="0"/>
  </r>
  <r>
    <n v="37"/>
    <n v="1"/>
    <n v="3"/>
    <n v="2"/>
    <n v="3"/>
    <n v="1"/>
    <n v="0"/>
    <n v="31"/>
    <n v="6"/>
    <n v="1"/>
    <n v="2"/>
    <n v="8504"/>
    <n v="1956"/>
    <n v="6548"/>
    <n v="0.96299999999999997"/>
    <n v="1881"/>
    <n v="51"/>
    <n v="0.41699999999999998"/>
    <n v="0.23"/>
    <s v="5.7151e-05"/>
    <n v="0.99994000000000005"/>
    <s v="13.651439602089074"/>
    <s v="29.748608009919124"/>
    <s v="10.457057207921313"/>
    <s v="3.928028288522239"/>
    <n v="767753958"/>
    <x v="0"/>
    <n v="1.0636228E-3"/>
    <x v="0"/>
  </r>
  <r>
    <n v="42"/>
    <n v="0"/>
    <n v="2"/>
    <n v="5"/>
    <n v="1"/>
    <n v="5"/>
    <n v="0"/>
    <n v="37"/>
    <n v="6"/>
    <n v="1"/>
    <n v="1"/>
    <n v="5099"/>
    <n v="958"/>
    <n v="4141"/>
    <n v="0.60699999999999998"/>
    <n v="4025"/>
    <n v="73"/>
    <n v="0.52100000000000002"/>
    <n v="0.188"/>
    <s v="3.415e-05"/>
    <n v="0.99997000000000003"/>
    <s v="8.884500585297838"/>
    <s v="45.39025342313013"/>
    <s v="57.18675813334152"/>
    <s v="3.3427242683574168"/>
    <n v="817958733"/>
    <x v="0"/>
    <n v="4.052347E-4"/>
    <x v="0"/>
  </r>
  <r>
    <n v="36"/>
    <n v="1"/>
    <n v="3"/>
    <n v="6"/>
    <n v="1"/>
    <n v="2"/>
    <n v="0"/>
    <n v="30"/>
    <n v="5"/>
    <n v="2"/>
    <n v="3"/>
    <n v="13080"/>
    <n v="0"/>
    <n v="13080"/>
    <n v="0.68500000000000005"/>
    <n v="1999"/>
    <n v="44"/>
    <n v="0.57099999999999995"/>
    <n v="0"/>
    <n v="2.1834E-4"/>
    <n v="0.99978"/>
    <s v="68.37916420883484"/>
    <n v="64.2052228980846"/>
    <s v="50.82072985355517"/>
    <s v="2.873634881190747"/>
    <n v="716355783"/>
    <x v="0"/>
    <n v="4.7956155999999998E-3"/>
    <x v="0"/>
  </r>
  <r>
    <n v="37"/>
    <n v="1"/>
    <n v="2"/>
    <n v="5"/>
    <n v="3"/>
    <n v="1"/>
    <n v="0"/>
    <n v="36"/>
    <n v="2"/>
    <n v="3"/>
    <n v="2"/>
    <n v="3250"/>
    <n v="1721"/>
    <n v="1529"/>
    <n v="0.44600000000000001"/>
    <n v="1714"/>
    <n v="32"/>
    <n v="0.39100000000000001"/>
    <n v="0.53"/>
    <n v="0.99461999999999995"/>
    <n v="5.3800000000000002E-3"/>
    <s v="26.217860311471807"/>
    <s v="8.749137397084192"/>
    <s v="22.80388286575685"/>
    <s v="2.519654124539587"/>
    <n v="712597233"/>
    <x v="1"/>
    <n v="0.99566540000000003"/>
    <x v="1"/>
  </r>
  <r>
    <n v="42"/>
    <n v="0"/>
    <n v="4"/>
    <n v="2"/>
    <n v="2"/>
    <n v="5"/>
    <n v="0"/>
    <n v="36"/>
    <n v="3"/>
    <n v="3"/>
    <n v="3"/>
    <n v="9396"/>
    <n v="1870"/>
    <n v="7526"/>
    <n v="0.71399999999999997"/>
    <n v="4301"/>
    <n v="71"/>
    <n v="0.65100000000000002"/>
    <n v="0.19900000000000001"/>
    <n v="3.1725999999999998E-4"/>
    <n v="0.99968000000000001"/>
    <s v="10.23918789621391"/>
    <s v="53.46159588493189"/>
    <s v="87.99465938709058"/>
    <s v="5.007832195355368"/>
    <n v="715415508"/>
    <x v="0"/>
    <n v="3.2101269999999999E-4"/>
    <x v="0"/>
  </r>
  <r>
    <n v="52"/>
    <n v="1"/>
    <n v="3"/>
    <n v="2"/>
    <n v="0"/>
    <n v="0"/>
    <n v="3"/>
    <n v="42"/>
    <n v="6"/>
    <n v="2"/>
    <n v="3"/>
    <n v="34516"/>
    <n v="1230"/>
    <n v="33286"/>
    <n v="0.60799999999999998"/>
    <n v="2100"/>
    <n v="38"/>
    <n v="0.40699999999999997"/>
    <n v="3.5999999999999997E-2"/>
    <n v="1.7949E-4"/>
    <n v="0.99982000000000004"/>
    <s v="16.425759430535653"/>
    <s v="47.09929048723313"/>
    <s v="15.526387189286018"/>
    <s v="22.03473536250405"/>
    <n v="789893808"/>
    <x v="0"/>
    <n v="1.6691644E-3"/>
    <x v="0"/>
  </r>
  <r>
    <n v="44"/>
    <n v="0"/>
    <n v="3"/>
    <n v="6"/>
    <n v="2"/>
    <n v="1"/>
    <n v="0"/>
    <n v="26"/>
    <n v="4"/>
    <n v="3"/>
    <n v="0"/>
    <n v="7277"/>
    <n v="0"/>
    <n v="7277"/>
    <n v="0.75800000000000001"/>
    <n v="4458"/>
    <n v="71"/>
    <n v="0.57799999999999996"/>
    <n v="0"/>
    <s v="7.5683e-05"/>
    <n v="0.99992000000000003"/>
    <s v="10.455845232163734"/>
    <s v="17.268260823005754"/>
    <s v="53.37979552595623"/>
    <n v="32.745270861540803"/>
    <n v="788792583"/>
    <x v="0"/>
    <n v="7.9661230000000003E-4"/>
    <x v="0"/>
  </r>
  <r>
    <n v="38"/>
    <n v="0"/>
    <n v="1"/>
    <n v="1"/>
    <n v="2"/>
    <n v="4"/>
    <n v="0"/>
    <n v="36"/>
    <n v="2"/>
    <n v="2"/>
    <n v="2"/>
    <n v="3466"/>
    <n v="2517"/>
    <n v="949"/>
    <n v="0.69899999999999995"/>
    <n v="13140"/>
    <n v="94"/>
    <n v="0.70899999999999996"/>
    <n v="0.72599999999999998"/>
    <n v="1.5459999999999999E-4"/>
    <n v="0.99985000000000002"/>
    <s v="22.72341659612104"/>
    <s v="30.70009446944572"/>
    <n v="26.100127621442301"/>
    <s v="36.07442940481849"/>
    <n v="718663983"/>
    <x v="0"/>
    <n v="3.7453471999999999E-4"/>
    <x v="0"/>
  </r>
  <r>
    <n v="34"/>
    <n v="1"/>
    <n v="3"/>
    <n v="5"/>
    <n v="0"/>
    <n v="0"/>
    <n v="0"/>
    <n v="28"/>
    <n v="4"/>
    <n v="3"/>
    <n v="3"/>
    <n v="9180"/>
    <n v="1814"/>
    <n v="7366"/>
    <n v="0.628"/>
    <n v="2646"/>
    <n v="49"/>
    <n v="0.63300000000000001"/>
    <n v="0.19800000000000001"/>
    <n v="3.2275000000000001E-4"/>
    <n v="0.99968000000000001"/>
    <s v="30.886932703681232"/>
    <s v="43.28975074173746"/>
    <n v="48.773517003596403"/>
    <s v="7.057238602800345"/>
    <n v="801048483"/>
    <x v="0"/>
    <n v="1.0948938000000001E-3"/>
    <x v="0"/>
  </r>
  <r>
    <n v="51"/>
    <n v="0"/>
    <n v="3"/>
    <n v="6"/>
    <n v="2"/>
    <n v="4"/>
    <n v="0"/>
    <n v="39"/>
    <n v="5"/>
    <n v="1"/>
    <n v="3"/>
    <n v="2990"/>
    <n v="0"/>
    <n v="2990"/>
    <n v="0.59799999999999998"/>
    <n v="4065"/>
    <n v="76"/>
    <n v="0.76700000000000002"/>
    <n v="0"/>
    <n v="1.0566E-4"/>
    <n v="0.99988999999999995"/>
    <s v="44.68988225987484"/>
    <s v="19.954018117301175"/>
    <s v="17.387939601984748"/>
    <s v="9.803865263395908"/>
    <n v="712546233"/>
    <x v="0"/>
    <n v="6.9517245999999998E-4"/>
    <x v="0"/>
  </r>
  <r>
    <n v="35"/>
    <n v="0"/>
    <n v="0"/>
    <n v="6"/>
    <n v="1"/>
    <n v="4"/>
    <n v="0"/>
    <n v="24"/>
    <n v="5"/>
    <n v="3"/>
    <n v="1"/>
    <n v="3436"/>
    <n v="2493"/>
    <n v="943"/>
    <n v="0.82399999999999995"/>
    <n v="5211"/>
    <n v="90"/>
    <n v="0.76500000000000001"/>
    <n v="0.72599999999999998"/>
    <n v="1.0232E-4"/>
    <n v="0.99990000000000001"/>
    <s v="45.27410715077454"/>
    <s v="46.04511086213011"/>
    <s v="29.08085358683034"/>
    <s v="15.75408251510324"/>
    <n v="708406083"/>
    <x v="0"/>
    <n v="3.4692350000000002E-4"/>
    <x v="0"/>
  </r>
  <r>
    <n v="43"/>
    <n v="0"/>
    <n v="3"/>
    <n v="2"/>
    <n v="2"/>
    <n v="5"/>
    <n v="0"/>
    <n v="33"/>
    <n v="3"/>
    <n v="3"/>
    <n v="1"/>
    <n v="2341"/>
    <n v="1818"/>
    <n v="523"/>
    <n v="0.83299999999999996"/>
    <n v="4356"/>
    <n v="70"/>
    <n v="0.628"/>
    <n v="0.77700000000000002"/>
    <n v="1.1256000000000001E-4"/>
    <n v="0.99988999999999995"/>
    <s v="38.63104420929303"/>
    <s v="41.725487131935694"/>
    <s v="58.15456591363253"/>
    <s v="4.621595528427791"/>
    <n v="778245633"/>
    <x v="0"/>
    <n v="3.2914013999999999E-4"/>
    <x v="0"/>
  </r>
  <r>
    <n v="65"/>
    <n v="0"/>
    <n v="2"/>
    <n v="0"/>
    <n v="2"/>
    <n v="1"/>
    <n v="0"/>
    <n v="54"/>
    <n v="4"/>
    <n v="3"/>
    <n v="2"/>
    <n v="3009"/>
    <n v="721"/>
    <n v="2288"/>
    <n v="0.68"/>
    <n v="4070"/>
    <n v="71"/>
    <n v="0.61399999999999999"/>
    <n v="0.24"/>
    <n v="1.7488000000000001E-4"/>
    <n v="0.99983"/>
    <s v="42.601371406154975"/>
    <s v="112.19129376449676"/>
    <s v="60.87962029983578"/>
    <s v="0.2973679584775893"/>
    <n v="712554183"/>
    <x v="0"/>
    <n v="5.5868360000000002E-4"/>
    <x v="0"/>
  </r>
  <r>
    <n v="54"/>
    <n v="1"/>
    <n v="1"/>
    <n v="0"/>
    <n v="1"/>
    <n v="3"/>
    <n v="0"/>
    <n v="42"/>
    <n v="4"/>
    <n v="1"/>
    <n v="4"/>
    <n v="9642"/>
    <n v="2517"/>
    <n v="7125"/>
    <n v="0.61399999999999999"/>
    <n v="1401"/>
    <n v="35"/>
    <n v="0.45800000000000002"/>
    <n v="0.26100000000000001"/>
    <n v="1.4422E-4"/>
    <n v="0.99985999999999997"/>
    <s v="29.16417822517006"/>
    <s v="13.386105447436725"/>
    <s v="62.726652772792896"/>
    <s v="8.625932882371481"/>
    <n v="715079208"/>
    <x v="0"/>
    <n v="1.2315542E-3"/>
    <x v="0"/>
  </r>
  <r>
    <n v="41"/>
    <n v="0"/>
    <n v="4"/>
    <n v="6"/>
    <n v="2"/>
    <n v="1"/>
    <n v="0"/>
    <n v="31"/>
    <n v="5"/>
    <n v="1"/>
    <n v="2"/>
    <n v="2128"/>
    <n v="1383"/>
    <n v="745"/>
    <n v="0.67900000000000005"/>
    <n v="3968"/>
    <n v="81"/>
    <n v="0.76100000000000001"/>
    <n v="0.65"/>
    <s v="6.3492e-05"/>
    <n v="0.99994000000000005"/>
    <s v="38.10473855075362"/>
    <s v="46.71449693079772"/>
    <s v="11.875582163762228"/>
    <s v="24.506818409768496"/>
    <n v="779166783"/>
    <x v="0"/>
    <n v="3.2101269999999999E-4"/>
    <x v="0"/>
  </r>
  <r>
    <n v="44"/>
    <n v="1"/>
    <n v="3"/>
    <n v="2"/>
    <n v="3"/>
    <n v="4"/>
    <n v="0"/>
    <n v="39"/>
    <n v="5"/>
    <n v="2"/>
    <n v="4"/>
    <n v="2978"/>
    <n v="2134"/>
    <n v="844"/>
    <n v="0.57899999999999996"/>
    <n v="1413"/>
    <n v="46"/>
    <n v="0.39400000000000002"/>
    <n v="0.71699999999999997"/>
    <n v="3.3886000000000002E-4"/>
    <n v="0.99965999999999999"/>
    <s v="12.839061329091766"/>
    <s v="34.33135064763034"/>
    <s v="15.186324365148574"/>
    <s v="4.523224274456021"/>
    <n v="813952233"/>
    <x v="0"/>
    <n v="1.1982243E-3"/>
    <x v="0"/>
  </r>
  <r>
    <n v="48"/>
    <n v="1"/>
    <n v="1"/>
    <n v="2"/>
    <n v="3"/>
    <n v="4"/>
    <n v="0"/>
    <n v="43"/>
    <n v="5"/>
    <n v="3"/>
    <n v="3"/>
    <n v="7199"/>
    <n v="1031"/>
    <n v="6168"/>
    <n v="1.212"/>
    <n v="4041"/>
    <n v="73"/>
    <n v="0.69799999999999995"/>
    <n v="0.14299999999999999"/>
    <n v="2.8394999999999999E-4"/>
    <n v="0.99972000000000005"/>
    <s v="46.98381022636494"/>
    <s v="47.06972622882136"/>
    <s v="5.103709052575501"/>
    <n v="9.9369621798477401E-2"/>
    <n v="709300458"/>
    <x v="0"/>
    <n v="3.3750932000000002E-4"/>
    <x v="0"/>
  </r>
  <r>
    <n v="46"/>
    <n v="0"/>
    <n v="2"/>
    <n v="6"/>
    <n v="1"/>
    <n v="4"/>
    <n v="0"/>
    <n v="36"/>
    <n v="2"/>
    <n v="3"/>
    <n v="1"/>
    <n v="3123"/>
    <n v="1639"/>
    <n v="1484"/>
    <n v="0.78800000000000003"/>
    <n v="4117"/>
    <n v="76"/>
    <n v="1.111"/>
    <n v="0.52500000000000002"/>
    <n v="1.1924E-4"/>
    <n v="0.99987999999999999"/>
    <n v="60.9049240228183"/>
    <s v="23.439430233219436"/>
    <s v="13.87888286848804"/>
    <s v="3.857361636983308"/>
    <n v="714969183"/>
    <x v="0"/>
    <n v="3.2101269999999999E-4"/>
    <x v="0"/>
  </r>
  <r>
    <n v="49"/>
    <n v="0"/>
    <n v="1"/>
    <n v="5"/>
    <n v="1"/>
    <n v="1"/>
    <n v="0"/>
    <n v="39"/>
    <n v="2"/>
    <n v="3"/>
    <n v="3"/>
    <n v="8061"/>
    <n v="2517"/>
    <n v="5544"/>
    <n v="0.35199999999999998"/>
    <n v="1224"/>
    <n v="31"/>
    <n v="0.40899999999999997"/>
    <n v="0.312"/>
    <n v="0.99658999999999998"/>
    <n v="3.4124899999999998E-3"/>
    <s v="20.74793497181867"/>
    <s v="84.54573638329617"/>
    <s v="18.56985834893035"/>
    <s v="4.221658650207382"/>
    <n v="715858008"/>
    <x v="1"/>
    <n v="0.99578226000000003"/>
    <x v="1"/>
  </r>
  <r>
    <n v="46"/>
    <n v="0"/>
    <n v="2"/>
    <n v="2"/>
    <n v="2"/>
    <n v="4"/>
    <n v="0"/>
    <n v="34"/>
    <n v="2"/>
    <n v="2"/>
    <n v="1"/>
    <n v="1438.3"/>
    <n v="0"/>
    <n v="1438.3"/>
    <n v="0.74"/>
    <n v="5013"/>
    <n v="81"/>
    <n v="1.0249999999999999"/>
    <n v="0"/>
    <s v="6.864e-05"/>
    <n v="0.99992999999999999"/>
    <s v="1.8637517064351112"/>
    <s v="17.74305391776803"/>
    <s v="82.03954955980849"/>
    <n v="8.8356899900663297"/>
    <n v="771546708"/>
    <x v="0"/>
    <n v="6.9517245999999998E-4"/>
    <x v="0"/>
  </r>
  <r>
    <n v="54"/>
    <n v="0"/>
    <n v="1"/>
    <n v="0"/>
    <n v="2"/>
    <n v="4"/>
    <n v="0"/>
    <n v="41"/>
    <n v="5"/>
    <n v="2"/>
    <n v="2"/>
    <n v="3478"/>
    <n v="941"/>
    <n v="2537"/>
    <n v="0.71099999999999997"/>
    <n v="4607"/>
    <n v="83"/>
    <n v="0.93"/>
    <n v="0.27100000000000002"/>
    <n v="1.0387000000000001E-4"/>
    <n v="0.99990000000000001"/>
    <s v="34.972523691862285"/>
    <n v="60.638075010807"/>
    <s v="34.74380543563842"/>
    <s v="6.520306291779763"/>
    <n v="716675358"/>
    <x v="0"/>
    <n v="3.9522952000000002E-4"/>
    <x v="0"/>
  </r>
  <r>
    <n v="43"/>
    <n v="1"/>
    <n v="4"/>
    <n v="5"/>
    <n v="1"/>
    <n v="2"/>
    <n v="3"/>
    <n v="30"/>
    <n v="1"/>
    <n v="3"/>
    <n v="1"/>
    <n v="29856"/>
    <n v="1576"/>
    <n v="28280"/>
    <n v="0.8"/>
    <n v="14887"/>
    <n v="119"/>
    <n v="0.54500000000000004"/>
    <n v="5.2999999999999999E-2"/>
    <n v="1.0569E-4"/>
    <n v="0.99988999999999995"/>
    <n v="8.7827027560484106E-2"/>
    <s v="65.47173494947033"/>
    <n v="9.9357323156341604"/>
    <s v="15.272143512688402"/>
    <n v="718728108"/>
    <x v="0"/>
    <n v="3.9550033E-4"/>
    <x v="0"/>
  </r>
  <r>
    <n v="51"/>
    <n v="0"/>
    <n v="3"/>
    <n v="5"/>
    <n v="1"/>
    <n v="4"/>
    <n v="0"/>
    <n v="33"/>
    <n v="3"/>
    <n v="3"/>
    <n v="3"/>
    <n v="7428"/>
    <n v="0"/>
    <n v="7428"/>
    <n v="0.873"/>
    <n v="8078"/>
    <n v="62"/>
    <n v="0.72199999999999998"/>
    <n v="0"/>
    <n v="0.99690999999999996"/>
    <n v="3.08778E-3"/>
    <s v="31.59569131326004"/>
    <s v="26.043606508814573"/>
    <s v="36.27161497976562"/>
    <s v="0.5182811452731231"/>
    <n v="779333883"/>
    <x v="1"/>
    <n v="0.99531170000000002"/>
    <x v="1"/>
  </r>
  <r>
    <n v="53"/>
    <n v="1"/>
    <n v="1"/>
    <n v="2"/>
    <n v="3"/>
    <n v="2"/>
    <n v="3"/>
    <n v="44"/>
    <n v="5"/>
    <n v="2"/>
    <n v="1"/>
    <n v="26365"/>
    <n v="680"/>
    <n v="25685"/>
    <n v="0.498"/>
    <n v="3411"/>
    <n v="68"/>
    <n v="0.78900000000000003"/>
    <n v="2.5999999999999999E-2"/>
    <s v="5.8215e-05"/>
    <n v="0.99994000000000005"/>
    <s v="39.74247134016867"/>
    <s v="45.00568467929379"/>
    <s v="66.29866772965882"/>
    <s v="10.685391326952114"/>
    <n v="714542058"/>
    <x v="0"/>
    <n v="6.0646630000000005E-4"/>
    <x v="0"/>
  </r>
  <r>
    <n v="39"/>
    <n v="0"/>
    <n v="2"/>
    <n v="0"/>
    <n v="1"/>
    <n v="1"/>
    <n v="0"/>
    <n v="29"/>
    <n v="5"/>
    <n v="3"/>
    <n v="2"/>
    <n v="1438.3"/>
    <n v="722"/>
    <n v="716.3"/>
    <n v="0.89400000000000002"/>
    <n v="4983"/>
    <n v="53"/>
    <n v="1.1200000000000001"/>
    <n v="0.502"/>
    <n v="1.7488000000000001E-4"/>
    <n v="0.99983"/>
    <s v="15.569267458961976"/>
    <s v="5.254069832639861"/>
    <s v="0.2550516070647889"/>
    <s v="10.648746551922772"/>
    <n v="789345408"/>
    <x v="0"/>
    <n v="1.1718057E-3"/>
    <x v="0"/>
  </r>
  <r>
    <n v="45"/>
    <n v="1"/>
    <n v="4"/>
    <n v="6"/>
    <n v="2"/>
    <n v="2"/>
    <n v="0"/>
    <n v="36"/>
    <n v="5"/>
    <n v="2"/>
    <n v="1"/>
    <n v="15100"/>
    <n v="2004"/>
    <n v="13096"/>
    <n v="0.9"/>
    <n v="4135"/>
    <n v="76"/>
    <n v="0.68899999999999995"/>
    <n v="0.13300000000000001"/>
    <s v="7.9128e-05"/>
    <n v="0.99992000000000003"/>
    <s v="15.143721600170814"/>
    <s v="5.174269944799438"/>
    <s v="3.492046553042685"/>
    <s v="3.075082760114824"/>
    <n v="713866308"/>
    <x v="0"/>
    <n v="3.3750932000000002E-4"/>
    <x v="0"/>
  </r>
  <r>
    <n v="33"/>
    <n v="0"/>
    <n v="2"/>
    <n v="5"/>
    <n v="1"/>
    <n v="4"/>
    <n v="0"/>
    <n v="22"/>
    <n v="4"/>
    <n v="2"/>
    <n v="4"/>
    <n v="1544"/>
    <n v="0"/>
    <n v="1544"/>
    <n v="0.67700000000000005"/>
    <n v="1731"/>
    <n v="40"/>
    <n v="0.73899999999999999"/>
    <n v="0"/>
    <n v="3.3576999999999999E-4"/>
    <n v="0.99965999999999999"/>
    <s v="29.93027940680801"/>
    <s v="41.32719444473054"/>
    <s v="137.16465964824562"/>
    <s v="5.179059290980811"/>
    <n v="712757808"/>
    <x v="0"/>
    <n v="3.6896945E-3"/>
    <x v="0"/>
  </r>
  <r>
    <n v="48"/>
    <n v="0"/>
    <n v="2"/>
    <n v="6"/>
    <n v="1"/>
    <n v="4"/>
    <n v="0"/>
    <n v="41"/>
    <n v="6"/>
    <n v="1"/>
    <n v="3"/>
    <n v="3632"/>
    <n v="1294"/>
    <n v="2338"/>
    <n v="0.92400000000000004"/>
    <n v="4339"/>
    <n v="86"/>
    <n v="0.68600000000000005"/>
    <n v="0.35599999999999998"/>
    <n v="1.0183000000000001E-4"/>
    <n v="0.99990000000000001"/>
    <s v="41.533028900734095"/>
    <s v="24.300474554837024"/>
    <n v="36.0708124663335"/>
    <s v="26.73526180858191"/>
    <n v="756919683"/>
    <x v="0"/>
    <n v="3.221314E-4"/>
    <x v="0"/>
  </r>
  <r>
    <n v="35"/>
    <n v="1"/>
    <n v="1"/>
    <n v="4"/>
    <n v="1"/>
    <n v="3"/>
    <n v="0"/>
    <n v="27"/>
    <n v="3"/>
    <n v="3"/>
    <n v="4"/>
    <n v="25516"/>
    <n v="1363"/>
    <n v="24153"/>
    <n v="1.1719999999999999"/>
    <n v="2317"/>
    <n v="38"/>
    <n v="0.72699999999999998"/>
    <n v="5.2999999999999999E-2"/>
    <n v="5.6988000000000004E-4"/>
    <n v="0.99943000000000004"/>
    <s v="6.970792185569166"/>
    <s v="3.2211515162618665"/>
    <s v="70.18935519594459"/>
    <s v="12.98942350928392"/>
    <n v="773082033"/>
    <x v="0"/>
    <n v="1.2567718999999999E-3"/>
    <x v="0"/>
  </r>
  <r>
    <n v="35"/>
    <n v="0"/>
    <n v="3"/>
    <n v="2"/>
    <n v="2"/>
    <n v="4"/>
    <n v="0"/>
    <n v="23"/>
    <n v="6"/>
    <n v="3"/>
    <n v="1"/>
    <n v="2211"/>
    <n v="1370"/>
    <n v="841"/>
    <n v="0.78100000000000003"/>
    <n v="4359"/>
    <n v="79"/>
    <n v="0.92700000000000005"/>
    <n v="0.62"/>
    <n v="1.1256000000000001E-4"/>
    <n v="0.99988999999999995"/>
    <s v="7.247522254484971"/>
    <s v="28.589146266253582"/>
    <s v="43.44084663213993"/>
    <s v="16.644049905025813"/>
    <n v="711967158"/>
    <x v="0"/>
    <n v="3.2101269999999999E-4"/>
    <x v="0"/>
  </r>
  <r>
    <n v="45"/>
    <n v="0"/>
    <n v="1"/>
    <n v="2"/>
    <n v="1"/>
    <n v="4"/>
    <n v="0"/>
    <n v="40"/>
    <n v="5"/>
    <n v="3"/>
    <n v="2"/>
    <n v="2493"/>
    <n v="1655"/>
    <n v="838"/>
    <n v="0.90700000000000003"/>
    <n v="4473"/>
    <n v="76"/>
    <n v="0.9"/>
    <n v="0.66400000000000003"/>
    <n v="1.6882999999999999E-4"/>
    <n v="0.99983"/>
    <s v="27.93428117556636"/>
    <s v="10.14649569151936"/>
    <s v="15.13696917161218"/>
    <s v="11.41869656180863"/>
    <n v="814785108"/>
    <x v="0"/>
    <n v="3.221314E-4"/>
    <x v="0"/>
  </r>
  <r>
    <n v="46"/>
    <n v="1"/>
    <n v="2"/>
    <n v="3"/>
    <n v="3"/>
    <n v="2"/>
    <n v="0"/>
    <n v="42"/>
    <n v="3"/>
    <n v="3"/>
    <n v="2"/>
    <n v="7116"/>
    <n v="693"/>
    <n v="6423"/>
    <n v="0.75900000000000001"/>
    <n v="4759"/>
    <n v="81"/>
    <n v="0.84099999999999997"/>
    <n v="9.7000000000000003E-2"/>
    <n v="1.7485999999999999E-4"/>
    <n v="0.99983"/>
    <s v="38.53069891164514"/>
    <n v="32.671003688178203"/>
    <s v="180.06676735356584"/>
    <n v="5.0887380128211497"/>
    <n v="822121608"/>
    <x v="0"/>
    <n v="5.4489190000000002E-4"/>
    <x v="0"/>
  </r>
  <r>
    <n v="46"/>
    <n v="1"/>
    <n v="4"/>
    <n v="3"/>
    <n v="1"/>
    <n v="3"/>
    <n v="0"/>
    <n v="38"/>
    <n v="5"/>
    <n v="1"/>
    <n v="2"/>
    <n v="28327"/>
    <n v="582"/>
    <n v="27745"/>
    <n v="0.91200000000000003"/>
    <n v="3475"/>
    <n v="52"/>
    <n v="0.73299999999999998"/>
    <n v="2.1000000000000001E-2"/>
    <s v="5.6153e-05"/>
    <n v="0.99994000000000005"/>
    <s v="9.911559805588798"/>
    <s v="24.93396761812608"/>
    <s v="18.92810937614509"/>
    <s v="8.929585678240482"/>
    <n v="710635083"/>
    <x v="0"/>
    <n v="2.2292751999999998E-3"/>
    <x v="0"/>
  </r>
  <r>
    <n v="49"/>
    <n v="1"/>
    <n v="3"/>
    <n v="3"/>
    <n v="1"/>
    <n v="2"/>
    <n v="0"/>
    <n v="29"/>
    <n v="4"/>
    <n v="3"/>
    <n v="1"/>
    <n v="1438.3"/>
    <n v="535"/>
    <n v="903.3"/>
    <n v="0.67800000000000005"/>
    <n v="3016"/>
    <n v="80"/>
    <n v="0.73899999999999999"/>
    <n v="0.372"/>
    <n v="1.0943E-4"/>
    <n v="0.99988999999999995"/>
    <s v="17.28165311716147"/>
    <n v="5.4112151393801797"/>
    <s v="33.03772928015177"/>
    <s v="0.5285055881173458"/>
    <n v="788755158"/>
    <x v="0"/>
    <n v="7.1374944000000004E-4"/>
    <x v="0"/>
  </r>
  <r>
    <n v="55"/>
    <n v="1"/>
    <n v="2"/>
    <n v="6"/>
    <n v="2"/>
    <n v="3"/>
    <n v="0"/>
    <n v="46"/>
    <n v="2"/>
    <n v="1"/>
    <n v="1"/>
    <n v="10795"/>
    <n v="0"/>
    <n v="10795"/>
    <n v="0.85499999999999998"/>
    <n v="7855"/>
    <n v="81"/>
    <n v="0.52800000000000002"/>
    <n v="0"/>
    <s v="3.6508e-05"/>
    <n v="0.99995999999999996"/>
    <s v="12.49905252926559"/>
    <s v="4.500427879341306"/>
    <s v="67.67411658631673"/>
    <s v="10.036774856034128"/>
    <n v="789469083"/>
    <x v="0"/>
    <n v="1.1617003E-3"/>
    <x v="0"/>
  </r>
  <r>
    <n v="49"/>
    <n v="1"/>
    <n v="4"/>
    <n v="2"/>
    <n v="1"/>
    <n v="2"/>
    <n v="0"/>
    <n v="39"/>
    <n v="3"/>
    <n v="2"/>
    <n v="2"/>
    <n v="5937"/>
    <n v="2120"/>
    <n v="3817"/>
    <n v="0.65400000000000003"/>
    <n v="4228"/>
    <n v="70"/>
    <n v="0.75"/>
    <n v="0.35699999999999998"/>
    <n v="1.1937E-4"/>
    <n v="0.99987999999999999"/>
    <s v="22.84988149000673"/>
    <s v="11.62498181355036"/>
    <s v="23.239006422747533"/>
    <s v="8.395980207403856"/>
    <n v="780206958"/>
    <x v="0"/>
    <n v="3.2101269999999999E-4"/>
    <x v="0"/>
  </r>
  <r>
    <n v="55"/>
    <n v="0"/>
    <n v="1"/>
    <n v="6"/>
    <n v="1"/>
    <n v="4"/>
    <n v="0"/>
    <n v="36"/>
    <n v="3"/>
    <n v="1"/>
    <n v="0"/>
    <n v="2677"/>
    <n v="1555"/>
    <n v="1122"/>
    <n v="0.63900000000000001"/>
    <n v="4757"/>
    <n v="81"/>
    <n v="0.68799999999999994"/>
    <n v="0.58099999999999996"/>
    <s v="2.0961e-05"/>
    <n v="0.99997999999999998"/>
    <s v="2.985374184447981"/>
    <s v="26.766406175128704"/>
    <s v="107.0332826374947"/>
    <s v="20.86575922369007"/>
    <n v="717967833"/>
    <x v="0"/>
    <n v="3.2101269999999999E-4"/>
    <x v="0"/>
  </r>
  <r>
    <n v="65"/>
    <n v="0"/>
    <n v="1"/>
    <n v="3"/>
    <n v="2"/>
    <n v="4"/>
    <n v="0"/>
    <n v="55"/>
    <n v="3"/>
    <n v="3"/>
    <n v="2"/>
    <n v="4010"/>
    <n v="1504"/>
    <n v="2506"/>
    <n v="0.76600000000000001"/>
    <n v="3807"/>
    <n v="61"/>
    <n v="0.56399999999999995"/>
    <n v="0.375"/>
    <n v="1.6412999999999999E-4"/>
    <n v="0.99983999999999995"/>
    <s v="23.70830981905712"/>
    <s v="37.49026219030962"/>
    <s v="92.23285227233497"/>
    <s v="10.790829140524629"/>
    <n v="715532208"/>
    <x v="0"/>
    <n v="3.5672840999999999E-4"/>
    <x v="0"/>
  </r>
  <r>
    <n v="53"/>
    <n v="1"/>
    <n v="2"/>
    <n v="5"/>
    <n v="1"/>
    <n v="1"/>
    <n v="0"/>
    <n v="47"/>
    <n v="3"/>
    <n v="1"/>
    <n v="3"/>
    <n v="5579"/>
    <n v="1423"/>
    <n v="4156"/>
    <n v="0.503"/>
    <n v="1514"/>
    <n v="47"/>
    <n v="1.1359999999999999"/>
    <n v="0.255"/>
    <s v="9.5249e-05"/>
    <n v="0.99990000000000001"/>
    <s v="6.238730806160603"/>
    <s v="19.81667923898467"/>
    <n v="94.069175773639401"/>
    <s v="16.887064913285982"/>
    <n v="795795408"/>
    <x v="0"/>
    <n v="1.0249399E-3"/>
    <x v="0"/>
  </r>
  <r>
    <n v="45"/>
    <n v="0"/>
    <n v="2"/>
    <n v="0"/>
    <n v="0"/>
    <n v="1"/>
    <n v="0"/>
    <n v="27"/>
    <n v="6"/>
    <n v="3"/>
    <n v="2"/>
    <n v="2901"/>
    <n v="2384"/>
    <n v="517"/>
    <n v="0.71699999999999997"/>
    <n v="3835"/>
    <n v="78"/>
    <n v="0.59199999999999997"/>
    <n v="0.82199999999999995"/>
    <n v="1.7488000000000001E-4"/>
    <n v="0.99983"/>
    <s v="15.48656852675043"/>
    <s v="9.628468945475756"/>
    <s v="33.28230336978284"/>
    <s v="10.55203974694864"/>
    <n v="717862308"/>
    <x v="0"/>
    <n v="3.2914013999999999E-4"/>
    <x v="0"/>
  </r>
  <r>
    <n v="51"/>
    <n v="1"/>
    <n v="2"/>
    <n v="5"/>
    <n v="2"/>
    <n v="0"/>
    <n v="0"/>
    <n v="35"/>
    <n v="1"/>
    <n v="2"/>
    <n v="2"/>
    <n v="34516"/>
    <n v="1068"/>
    <n v="33448"/>
    <n v="0.96599999999999997"/>
    <n v="16428"/>
    <n v="123"/>
    <n v="0.80900000000000005"/>
    <n v="3.1E-2"/>
    <n v="1.1703E-4"/>
    <n v="0.99987999999999999"/>
    <s v="56.80834208259745"/>
    <s v="39.20135590031046"/>
    <s v="22.889768784710117"/>
    <s v="4.932610454967791"/>
    <n v="717663033"/>
    <x v="0"/>
    <n v="4.0555582000000002E-4"/>
    <x v="0"/>
  </r>
  <r>
    <n v="36"/>
    <n v="0"/>
    <n v="2"/>
    <n v="6"/>
    <n v="0"/>
    <n v="1"/>
    <n v="0"/>
    <n v="20"/>
    <n v="4"/>
    <n v="3"/>
    <n v="2"/>
    <n v="9735"/>
    <n v="1245"/>
    <n v="8490"/>
    <n v="1.079"/>
    <n v="2967"/>
    <n v="80"/>
    <n v="0.73899999999999999"/>
    <n v="0.128"/>
    <n v="1.9771E-4"/>
    <n v="0.99980000000000002"/>
    <s v="5.211638890186324"/>
    <s v="30.69560761029477"/>
    <s v="23.07073665479288"/>
    <s v="26.04245566116088"/>
    <n v="720532908"/>
    <x v="0"/>
    <n v="3.6219966999999999E-4"/>
    <x v="0"/>
  </r>
  <r>
    <n v="47"/>
    <n v="1"/>
    <n v="4"/>
    <n v="2"/>
    <n v="1"/>
    <n v="2"/>
    <n v="0"/>
    <n v="34"/>
    <n v="6"/>
    <n v="3"/>
    <n v="0"/>
    <n v="9261"/>
    <n v="1605"/>
    <n v="7656"/>
    <n v="0.57099999999999995"/>
    <n v="2468"/>
    <n v="44"/>
    <n v="0.41899999999999998"/>
    <n v="0.17299999999999999"/>
    <s v="6.9589e-05"/>
    <n v="0.99992999999999999"/>
    <s v="28.77232678170471"/>
    <s v="59.30863796462598"/>
    <s v="118.1583475010744"/>
    <s v="2.952349321724248"/>
    <n v="709693833"/>
    <x v="0"/>
    <n v="1.4998564000000001E-3"/>
    <x v="0"/>
  </r>
  <r>
    <n v="42"/>
    <n v="1"/>
    <n v="4"/>
    <n v="0"/>
    <n v="3"/>
    <n v="2"/>
    <n v="0"/>
    <n v="35"/>
    <n v="3"/>
    <n v="3"/>
    <n v="3"/>
    <n v="2516"/>
    <n v="1360"/>
    <n v="1156"/>
    <n v="1.1930000000000001"/>
    <n v="4692"/>
    <n v="79"/>
    <n v="0.68100000000000005"/>
    <n v="0.54100000000000004"/>
    <n v="3.0844999999999999E-4"/>
    <n v="0.99968999999999997"/>
    <s v="52.30568765216263"/>
    <s v="17.83213074304465"/>
    <s v="39.35510907879066"/>
    <s v="19.48612330432873"/>
    <n v="719112258"/>
    <x v="0"/>
    <n v="3.221314E-4"/>
    <x v="0"/>
  </r>
  <r>
    <n v="65"/>
    <n v="0"/>
    <n v="0"/>
    <n v="5"/>
    <n v="2"/>
    <n v="4"/>
    <n v="0"/>
    <n v="50"/>
    <n v="3"/>
    <n v="4"/>
    <n v="4"/>
    <n v="1697"/>
    <n v="377"/>
    <n v="1320"/>
    <n v="1.048"/>
    <n v="2799"/>
    <n v="49"/>
    <n v="0.48499999999999999"/>
    <n v="0.222"/>
    <n v="0.99819000000000002"/>
    <n v="1.8132000000000001E-3"/>
    <s v="4.685420284059058"/>
    <s v="25.378568125228256"/>
    <s v="36.92734232863265"/>
    <s v="1.0554411644935968"/>
    <n v="780105483"/>
    <x v="1"/>
    <n v="0.99752969999999996"/>
    <x v="1"/>
  </r>
  <r>
    <n v="60"/>
    <n v="0"/>
    <n v="1"/>
    <n v="5"/>
    <n v="1"/>
    <n v="4"/>
    <n v="0"/>
    <n v="36"/>
    <n v="5"/>
    <n v="1"/>
    <n v="0"/>
    <n v="1913"/>
    <n v="1272"/>
    <n v="641"/>
    <n v="1.008"/>
    <n v="1448"/>
    <n v="22"/>
    <n v="1"/>
    <n v="0.66500000000000004"/>
    <s v="1.9607e-05"/>
    <n v="0.99997999999999998"/>
    <s v="16.27422033902062"/>
    <s v="48.207022693147714"/>
    <s v="39.37779743837528"/>
    <s v="8.909588629963025"/>
    <n v="714606558"/>
    <x v="0"/>
    <n v="9.8706899999999992E-4"/>
    <x v="0"/>
  </r>
  <r>
    <n v="44"/>
    <n v="0"/>
    <n v="3"/>
    <n v="2"/>
    <n v="1"/>
    <n v="5"/>
    <n v="0"/>
    <n v="27"/>
    <n v="5"/>
    <n v="1"/>
    <n v="1"/>
    <n v="7751"/>
    <n v="1965"/>
    <n v="5786"/>
    <n v="0.78200000000000003"/>
    <n v="4543"/>
    <n v="90"/>
    <n v="0.73099999999999998"/>
    <n v="0.254"/>
    <s v="3.4465e-05"/>
    <n v="0.99997000000000003"/>
    <s v="2.0167674854867905"/>
    <s v="6.218858202071513"/>
    <s v="13.69334576281374"/>
    <s v="23.599745926374293"/>
    <n v="709245783"/>
    <x v="0"/>
    <n v="3.2101269999999999E-4"/>
    <x v="0"/>
  </r>
  <r>
    <n v="45"/>
    <n v="0"/>
    <n v="4"/>
    <n v="3"/>
    <n v="2"/>
    <n v="4"/>
    <n v="0"/>
    <n v="35"/>
    <n v="3"/>
    <n v="2"/>
    <n v="2"/>
    <n v="1502"/>
    <n v="0"/>
    <n v="1502"/>
    <n v="0.73899999999999999"/>
    <n v="4890"/>
    <n v="61"/>
    <n v="0.79400000000000004"/>
    <n v="0"/>
    <n v="1.1603999999999999E-4"/>
    <n v="0.99987999999999999"/>
    <s v="2.6804018657963304"/>
    <s v="9.551394886029566"/>
    <s v="32.16296106468629"/>
    <s v="17.215865076771696"/>
    <n v="804337233"/>
    <x v="0"/>
    <n v="8.1245880000000001E-4"/>
    <x v="0"/>
  </r>
  <r>
    <n v="48"/>
    <n v="0"/>
    <n v="5"/>
    <n v="0"/>
    <n v="0"/>
    <n v="1"/>
    <n v="0"/>
    <n v="40"/>
    <n v="3"/>
    <n v="1"/>
    <n v="1"/>
    <n v="4365"/>
    <n v="0"/>
    <n v="4365"/>
    <n v="0.59799999999999998"/>
    <n v="3542"/>
    <n v="57"/>
    <n v="1.111"/>
    <n v="0"/>
    <s v="3.3338e-05"/>
    <n v="0.99997000000000003"/>
    <s v="35.24277690068693"/>
    <s v="9.487680670794168"/>
    <s v="128.0532106901763"/>
    <s v="11.136223104980704"/>
    <n v="717636933"/>
    <x v="0"/>
    <n v="1.1686337999999999E-3"/>
    <x v="0"/>
  </r>
  <r>
    <n v="40"/>
    <n v="1"/>
    <n v="2"/>
    <n v="3"/>
    <n v="0"/>
    <n v="1"/>
    <n v="0"/>
    <n v="32"/>
    <n v="1"/>
    <n v="3"/>
    <n v="2"/>
    <n v="7566"/>
    <n v="1618"/>
    <n v="5948"/>
    <n v="0.72"/>
    <n v="7570"/>
    <n v="88"/>
    <n v="0.54400000000000004"/>
    <n v="0.214"/>
    <n v="1.7485999999999999E-4"/>
    <n v="0.99983"/>
    <s v="33.376781921919225"/>
    <s v="41.71648853481343"/>
    <s v="144.61632706442478"/>
    <s v="20.536376554341427"/>
    <n v="715298808"/>
    <x v="0"/>
    <n v="3.7789578000000003E-4"/>
    <x v="0"/>
  </r>
  <r>
    <n v="57"/>
    <n v="0"/>
    <n v="3"/>
    <n v="3"/>
    <n v="2"/>
    <n v="5"/>
    <n v="0"/>
    <n v="36"/>
    <n v="1"/>
    <n v="4"/>
    <n v="2"/>
    <n v="8389"/>
    <n v="1960"/>
    <n v="6429"/>
    <n v="0.38400000000000001"/>
    <n v="1334"/>
    <n v="38"/>
    <n v="0.40699999999999997"/>
    <n v="0.23400000000000001"/>
    <n v="0.99546000000000001"/>
    <n v="4.5386799999999998E-3"/>
    <s v="1.5047649808192842"/>
    <s v="25.05837259585834"/>
    <s v="69.53244273762142"/>
    <s v="3.850573156347578"/>
    <n v="717813558"/>
    <x v="1"/>
    <n v="0.99566540000000003"/>
    <x v="1"/>
  </r>
  <r>
    <n v="50"/>
    <n v="0"/>
    <n v="3"/>
    <n v="6"/>
    <n v="1"/>
    <n v="4"/>
    <n v="0"/>
    <n v="34"/>
    <n v="6"/>
    <n v="1"/>
    <n v="3"/>
    <n v="7623"/>
    <n v="2517"/>
    <n v="5106"/>
    <n v="1.0069999999999999"/>
    <n v="1367"/>
    <n v="29"/>
    <n v="1.071"/>
    <n v="0.33"/>
    <n v="1.0566E-4"/>
    <n v="0.99988999999999995"/>
    <s v="50.23053356164391"/>
    <s v="9.227693779802582"/>
    <s v="57.51779707105398"/>
    <s v="12.807060924696788"/>
    <n v="779773533"/>
    <x v="0"/>
    <n v="1.0254878999999999E-3"/>
    <x v="0"/>
  </r>
  <r>
    <n v="52"/>
    <n v="0"/>
    <n v="3"/>
    <n v="2"/>
    <n v="1"/>
    <n v="4"/>
    <n v="0"/>
    <n v="46"/>
    <n v="6"/>
    <n v="5"/>
    <n v="3"/>
    <n v="2814"/>
    <n v="2162"/>
    <n v="652"/>
    <n v="0.58799999999999997"/>
    <n v="4271"/>
    <n v="88"/>
    <n v="0.83299999999999996"/>
    <n v="0.76800000000000002"/>
    <n v="3.5060000000000001E-4"/>
    <n v="0.99965000000000004"/>
    <s v="19.43381277608496"/>
    <s v="21.13022137981373"/>
    <s v="28.81190647468556"/>
    <s v="21.996599037282905"/>
    <n v="713981283"/>
    <x v="0"/>
    <n v="3.2101269999999999E-4"/>
    <x v="0"/>
  </r>
  <r>
    <n v="43"/>
    <n v="1"/>
    <n v="5"/>
    <n v="6"/>
    <n v="1"/>
    <n v="2"/>
    <n v="0"/>
    <n v="36"/>
    <n v="3"/>
    <n v="5"/>
    <n v="1"/>
    <n v="7411"/>
    <n v="1341"/>
    <n v="6070"/>
    <n v="0.79900000000000004"/>
    <n v="4278"/>
    <n v="80"/>
    <n v="0.63300000000000001"/>
    <n v="0.18099999999999999"/>
    <n v="1.3749000000000001E-4"/>
    <n v="0.99985999999999997"/>
    <s v="17.85210189657378"/>
    <s v="32.51541085333934"/>
    <s v="97.62192400357762"/>
    <s v="2.781827464636497"/>
    <n v="711120333"/>
    <x v="0"/>
    <n v="3.2914013999999999E-4"/>
    <x v="0"/>
  </r>
  <r>
    <n v="56"/>
    <n v="1"/>
    <n v="2"/>
    <n v="6"/>
    <n v="1"/>
    <n v="2"/>
    <n v="0"/>
    <n v="49"/>
    <n v="3"/>
    <n v="3"/>
    <n v="3"/>
    <n v="4058"/>
    <n v="793"/>
    <n v="3265"/>
    <n v="0.75800000000000001"/>
    <n v="15865"/>
    <n v="105"/>
    <n v="0.66700000000000004"/>
    <n v="0.19500000000000001"/>
    <n v="3.3251E-4"/>
    <n v="0.99966999999999995"/>
    <n v="3.5839262404572101"/>
    <s v="3.704006946328249"/>
    <s v="46.378543786066444"/>
    <s v="7.382180048871082"/>
    <n v="767348733"/>
    <x v="0"/>
    <n v="5.6749790000000001E-4"/>
    <x v="0"/>
  </r>
  <r>
    <n v="52"/>
    <n v="0"/>
    <n v="3"/>
    <n v="6"/>
    <n v="2"/>
    <n v="4"/>
    <n v="0"/>
    <n v="41"/>
    <n v="2"/>
    <n v="3"/>
    <n v="2"/>
    <n v="1438.3"/>
    <n v="787"/>
    <n v="651.29999999999995"/>
    <n v="0.60099999999999998"/>
    <n v="4956"/>
    <n v="89"/>
    <n v="0.745"/>
    <n v="0.54700000000000004"/>
    <n v="2.0515999999999999E-4"/>
    <n v="0.99978999999999996"/>
    <s v="14.342844255386604"/>
    <s v="26.36647447893203"/>
    <s v="43.41166353989683"/>
    <s v="1.0153929353192628"/>
    <n v="715657833"/>
    <x v="0"/>
    <n v="5.2566850000000003E-4"/>
    <x v="0"/>
  </r>
  <r>
    <n v="43"/>
    <n v="0"/>
    <n v="3"/>
    <n v="6"/>
    <n v="2"/>
    <n v="1"/>
    <n v="0"/>
    <n v="36"/>
    <n v="5"/>
    <n v="2"/>
    <n v="4"/>
    <n v="2594"/>
    <n v="1686"/>
    <n v="908"/>
    <n v="0.624"/>
    <n v="4503"/>
    <n v="67"/>
    <n v="0.81100000000000005"/>
    <n v="0.65"/>
    <n v="3.7246000000000002E-4"/>
    <n v="0.99963000000000002"/>
    <s v="0.6832474833549935"/>
    <s v="31.261595255146165"/>
    <s v="15.789837036335095"/>
    <s v="14.542510560275538"/>
    <n v="717987258"/>
    <x v="0"/>
    <n v="3.2101269999999999E-4"/>
    <x v="0"/>
  </r>
  <r>
    <n v="39"/>
    <n v="0"/>
    <n v="1"/>
    <n v="2"/>
    <n v="1"/>
    <n v="1"/>
    <n v="0"/>
    <n v="30"/>
    <n v="6"/>
    <n v="1"/>
    <n v="2"/>
    <n v="2909"/>
    <n v="1274"/>
    <n v="1635"/>
    <n v="0.59299999999999997"/>
    <n v="1532"/>
    <n v="26"/>
    <n v="0.3"/>
    <n v="0.438"/>
    <s v="5.1697e-05"/>
    <n v="0.99995000000000001"/>
    <s v="16.858899938679667"/>
    <s v="33.35892768086415"/>
    <s v="147.64188861053566"/>
    <s v="5.235228581974811"/>
    <n v="789435783"/>
    <x v="0"/>
    <n v="1.1982243E-3"/>
    <x v="0"/>
  </r>
  <r>
    <n v="45"/>
    <n v="0"/>
    <n v="4"/>
    <n v="2"/>
    <n v="1"/>
    <n v="5"/>
    <n v="0"/>
    <n v="35"/>
    <n v="6"/>
    <n v="3"/>
    <n v="0"/>
    <n v="2801"/>
    <n v="2043"/>
    <n v="758"/>
    <n v="0.58299999999999996"/>
    <n v="1241"/>
    <n v="46"/>
    <n v="0.64300000000000002"/>
    <n v="0.72899999999999998"/>
    <s v="6.9589e-05"/>
    <n v="0.99992999999999999"/>
    <s v="44.87906182416906"/>
    <s v="2.4455988953523145"/>
    <s v="176.37285891524493"/>
    <s v="5.563188925311413"/>
    <n v="778239933"/>
    <x v="0"/>
    <n v="1.0598798E-3"/>
    <x v="0"/>
  </r>
  <r>
    <n v="49"/>
    <n v="1"/>
    <n v="4"/>
    <n v="5"/>
    <n v="1"/>
    <n v="3"/>
    <n v="0"/>
    <n v="40"/>
    <n v="3"/>
    <n v="1"/>
    <n v="1"/>
    <n v="8714"/>
    <n v="2252"/>
    <n v="6462"/>
    <n v="0.83099999999999996"/>
    <n v="1536"/>
    <n v="38"/>
    <n v="0.65200000000000002"/>
    <n v="0.25800000000000001"/>
    <s v="3.5816e-05"/>
    <n v="0.99995999999999996"/>
    <s v="23.652768325092104"/>
    <s v="36.00827378144661"/>
    <s v="24.21161231369057"/>
    <s v="11.014512907985644"/>
    <n v="709186983"/>
    <x v="0"/>
    <n v="1.0634780000000001E-3"/>
    <x v="0"/>
  </r>
  <r>
    <n v="60"/>
    <n v="1"/>
    <n v="1"/>
    <n v="6"/>
    <n v="2"/>
    <n v="4"/>
    <n v="0"/>
    <n v="52"/>
    <n v="5"/>
    <n v="3"/>
    <n v="2"/>
    <n v="2486"/>
    <n v="1464"/>
    <n v="1022"/>
    <n v="0.73099999999999998"/>
    <n v="1378"/>
    <n v="27"/>
    <n v="0.42099999999999999"/>
    <n v="0.58899999999999997"/>
    <n v="1.8558E-4"/>
    <n v="0.99980999999999998"/>
    <s v="32.65432562646871"/>
    <s v="27.44717736927861"/>
    <n v="4.0830936256026096"/>
    <s v="9.877882212234166"/>
    <n v="713670333"/>
    <x v="0"/>
    <n v="1.1982243E-3"/>
    <x v="0"/>
  </r>
  <r>
    <n v="49"/>
    <n v="0"/>
    <n v="1"/>
    <n v="2"/>
    <n v="1"/>
    <n v="1"/>
    <n v="0"/>
    <n v="36"/>
    <n v="5"/>
    <n v="3"/>
    <n v="1"/>
    <n v="2721"/>
    <n v="1527"/>
    <n v="1194"/>
    <n v="0.74299999999999999"/>
    <n v="4622"/>
    <n v="88"/>
    <n v="0.72499999999999998"/>
    <n v="0.56100000000000005"/>
    <n v="1.0182E-4"/>
    <n v="0.99990000000000001"/>
    <n v="0.79567883659752103"/>
    <s v="6.352157064095836"/>
    <s v="25.23213811967052"/>
    <s v="1.9356240688887736"/>
    <n v="709239483"/>
    <x v="0"/>
    <n v="3.2101269999999999E-4"/>
    <x v="0"/>
  </r>
  <r>
    <n v="49"/>
    <n v="0"/>
    <n v="0"/>
    <n v="1"/>
    <n v="1"/>
    <n v="4"/>
    <n v="0"/>
    <n v="40"/>
    <n v="3"/>
    <n v="4"/>
    <n v="4"/>
    <n v="3547"/>
    <n v="2517"/>
    <n v="1030"/>
    <n v="0.80500000000000005"/>
    <n v="2715"/>
    <n v="45"/>
    <n v="0.73099999999999998"/>
    <n v="0.71"/>
    <n v="0.99870999999999999"/>
    <n v="1.2889500000000001E-3"/>
    <s v="2.0949338389559093"/>
    <s v="19.85182104223796"/>
    <n v="60.824379623303003"/>
    <s v="9.839179879689024"/>
    <n v="715445058"/>
    <x v="1"/>
    <n v="0.99387309999999995"/>
    <x v="1"/>
  </r>
  <r>
    <n v="44"/>
    <n v="1"/>
    <n v="5"/>
    <n v="3"/>
    <n v="1"/>
    <n v="3"/>
    <n v="0"/>
    <n v="36"/>
    <n v="3"/>
    <n v="2"/>
    <n v="2"/>
    <n v="2509"/>
    <n v="1464"/>
    <n v="1045"/>
    <n v="1.25"/>
    <n v="3166"/>
    <n v="72"/>
    <n v="0.94599999999999995"/>
    <n v="0.58299999999999996"/>
    <n v="1.1423E-4"/>
    <n v="0.99988999999999995"/>
    <s v="33.372931103354055"/>
    <s v="35.60115647041456"/>
    <n v="24.468563064095999"/>
    <s v="5.940706783639834"/>
    <n v="716263533"/>
    <x v="0"/>
    <n v="3.221314E-4"/>
    <x v="0"/>
  </r>
  <r>
    <n v="48"/>
    <n v="0"/>
    <n v="3"/>
    <n v="4"/>
    <n v="1"/>
    <n v="5"/>
    <n v="0"/>
    <n v="38"/>
    <n v="6"/>
    <n v="1"/>
    <n v="3"/>
    <n v="4025"/>
    <n v="0"/>
    <n v="4025"/>
    <n v="0.88700000000000001"/>
    <n v="4445"/>
    <n v="92"/>
    <n v="0.67300000000000004"/>
    <n v="0"/>
    <n v="1.1311000000000001E-4"/>
    <n v="0.99988999999999995"/>
    <s v="5.981279714926465"/>
    <s v="43.24776884038323"/>
    <s v="53.25502093211665"/>
    <s v="9.527404009739076"/>
    <n v="720563958"/>
    <x v="0"/>
    <n v="7.4699510000000001E-4"/>
    <x v="0"/>
  </r>
  <r>
    <n v="29"/>
    <n v="0"/>
    <n v="1"/>
    <n v="3"/>
    <n v="2"/>
    <n v="4"/>
    <n v="0"/>
    <n v="23"/>
    <n v="3"/>
    <n v="1"/>
    <n v="2"/>
    <n v="3318"/>
    <n v="927"/>
    <n v="2391"/>
    <n v="0.93400000000000005"/>
    <n v="3011"/>
    <n v="83"/>
    <n v="0.80400000000000005"/>
    <n v="0.27900000000000003"/>
    <s v="5.0256e-05"/>
    <n v="0.99995000000000001"/>
    <s v="6.394322040063444"/>
    <n v="52.105115749003602"/>
    <s v="12.182177046348794"/>
    <s v="9.674213625035948"/>
    <n v="798769458"/>
    <x v="0"/>
    <n v="4.5322975999999998E-4"/>
    <x v="0"/>
  </r>
  <r>
    <n v="48"/>
    <n v="0"/>
    <n v="5"/>
    <n v="5"/>
    <n v="1"/>
    <n v="1"/>
    <n v="0"/>
    <n v="43"/>
    <n v="4"/>
    <n v="1"/>
    <n v="3"/>
    <n v="2866"/>
    <n v="921"/>
    <n v="1945"/>
    <n v="0.65400000000000003"/>
    <n v="4615"/>
    <n v="72"/>
    <n v="0.6"/>
    <n v="0.32100000000000001"/>
    <s v="9.8335e-05"/>
    <n v="0.99990000000000001"/>
    <s v="10.394483335495574"/>
    <s v="0.6148906459386888"/>
    <s v="51.88989098985292"/>
    <s v="3.1333510968749856"/>
    <n v="815596608"/>
    <x v="0"/>
    <n v="4.2026640000000001E-4"/>
    <x v="0"/>
  </r>
  <r>
    <n v="48"/>
    <n v="0"/>
    <n v="1"/>
    <n v="2"/>
    <n v="2"/>
    <n v="4"/>
    <n v="0"/>
    <n v="41"/>
    <n v="6"/>
    <n v="2"/>
    <n v="4"/>
    <n v="3001"/>
    <n v="482"/>
    <n v="2519"/>
    <n v="0.81399999999999995"/>
    <n v="2403"/>
    <n v="42"/>
    <n v="0.61499999999999999"/>
    <n v="0.161"/>
    <n v="0.99675000000000002"/>
    <n v="3.25077E-3"/>
    <s v="17.965590603829696"/>
    <s v="23.42544510288164"/>
    <s v="70.42093659944837"/>
    <s v="3.371429176039193"/>
    <n v="755467683"/>
    <x v="1"/>
    <n v="0.99775069999999999"/>
    <x v="1"/>
  </r>
  <r>
    <n v="51"/>
    <n v="0"/>
    <n v="4"/>
    <n v="3"/>
    <n v="2"/>
    <n v="4"/>
    <n v="0"/>
    <n v="33"/>
    <n v="2"/>
    <n v="4"/>
    <n v="3"/>
    <n v="3068"/>
    <n v="2071"/>
    <n v="997"/>
    <n v="0.85399999999999998"/>
    <n v="5524"/>
    <n v="71"/>
    <n v="0.97199999999999998"/>
    <n v="0.67500000000000004"/>
    <n v="3.7272E-4"/>
    <n v="0.99963000000000002"/>
    <s v="6.188204647403105"/>
    <s v="27.227223822468403"/>
    <s v="71.56226002062311"/>
    <s v="10.623102108831604"/>
    <n v="714745608"/>
    <x v="0"/>
    <n v="5.5846529999999995E-4"/>
    <x v="0"/>
  </r>
  <r>
    <n v="49"/>
    <n v="0"/>
    <n v="4"/>
    <n v="5"/>
    <n v="2"/>
    <n v="4"/>
    <n v="0"/>
    <n v="44"/>
    <n v="4"/>
    <n v="2"/>
    <n v="2"/>
    <n v="2659"/>
    <n v="0"/>
    <n v="2659"/>
    <n v="0.84"/>
    <n v="4546"/>
    <n v="81"/>
    <n v="0.88400000000000001"/>
    <n v="0"/>
    <n v="1.2274000000000001E-4"/>
    <n v="0.99987999999999999"/>
    <s v="63.90415838369532"/>
    <s v="7.823773354322506"/>
    <s v="42.49173493611583"/>
    <s v="7.800843037139325"/>
    <n v="803938908"/>
    <x v="0"/>
    <n v="7.1049936000000004E-4"/>
    <x v="0"/>
  </r>
  <r>
    <n v="54"/>
    <n v="1"/>
    <n v="3"/>
    <n v="2"/>
    <n v="1"/>
    <n v="3"/>
    <n v="0"/>
    <n v="49"/>
    <n v="2"/>
    <n v="3"/>
    <n v="3"/>
    <n v="11114"/>
    <n v="2482"/>
    <n v="8632"/>
    <n v="1.08"/>
    <n v="5044"/>
    <n v="81"/>
    <n v="0.68799999999999994"/>
    <n v="0.223"/>
    <n v="3.1389999999999999E-4"/>
    <n v="0.99968999999999997"/>
    <s v="34.51388335461307"/>
    <s v="47.10471453757346"/>
    <s v="53.60238547910223"/>
    <s v="14.00627806157464"/>
    <n v="807604233"/>
    <x v="0"/>
    <n v="3.6475050000000001E-4"/>
    <x v="0"/>
  </r>
  <r>
    <n v="41"/>
    <n v="0"/>
    <n v="4"/>
    <n v="5"/>
    <n v="2"/>
    <n v="5"/>
    <n v="0"/>
    <n v="33"/>
    <n v="6"/>
    <n v="4"/>
    <n v="3"/>
    <n v="5802"/>
    <n v="2490"/>
    <n v="3312"/>
    <n v="0.84899999999999998"/>
    <n v="3386"/>
    <n v="53"/>
    <n v="1.038"/>
    <n v="0.42899999999999999"/>
    <n v="3.9420999999999998E-4"/>
    <n v="0.99961"/>
    <s v="13.591458913829138"/>
    <s v="72.40324064210125"/>
    <s v="76.12813802683631"/>
    <s v="9.194791344853204"/>
    <n v="714862083"/>
    <x v="0"/>
    <n v="6.9461320000000003E-4"/>
    <x v="0"/>
  </r>
  <r>
    <n v="56"/>
    <n v="1"/>
    <n v="1"/>
    <n v="5"/>
    <n v="1"/>
    <n v="0"/>
    <n v="0"/>
    <n v="50"/>
    <n v="4"/>
    <n v="3"/>
    <n v="5"/>
    <n v="16254"/>
    <n v="1518"/>
    <n v="14736"/>
    <n v="1.256"/>
    <n v="2502"/>
    <n v="55"/>
    <n v="0.57099999999999995"/>
    <n v="9.2999999999999999E-2"/>
    <n v="8.6149000000000002E-4"/>
    <n v="0.99914000000000003"/>
    <s v="54.14765876678784"/>
    <s v="54.90124310611423"/>
    <s v="26.773645715269083"/>
    <s v="8.576090679073278"/>
    <n v="799026633"/>
    <x v="0"/>
    <n v="4.0728914999999997E-2"/>
    <x v="0"/>
  </r>
  <r>
    <n v="57"/>
    <n v="0"/>
    <n v="1"/>
    <n v="5"/>
    <n v="2"/>
    <n v="4"/>
    <n v="0"/>
    <n v="46"/>
    <n v="2"/>
    <n v="3"/>
    <n v="3"/>
    <n v="9129"/>
    <n v="0"/>
    <n v="9129"/>
    <n v="0.73299999999999998"/>
    <n v="7733"/>
    <n v="81"/>
    <n v="0.88400000000000001"/>
    <n v="0"/>
    <n v="0.99658999999999998"/>
    <n v="3.4124899999999998E-3"/>
    <s v="42.70896237928047"/>
    <s v="10.537139116546385"/>
    <s v="31.917084034688184"/>
    <s v="19.81810031532995"/>
    <n v="717174558"/>
    <x v="1"/>
    <n v="0.9941506"/>
    <x v="1"/>
  </r>
  <r>
    <n v="43"/>
    <n v="1"/>
    <n v="3"/>
    <n v="5"/>
    <n v="3"/>
    <n v="3"/>
    <n v="0"/>
    <n v="31"/>
    <n v="5"/>
    <n v="1"/>
    <n v="4"/>
    <n v="28700"/>
    <n v="769"/>
    <n v="27931"/>
    <n v="0.90100000000000002"/>
    <n v="3395"/>
    <n v="71"/>
    <n v="0.57799999999999996"/>
    <n v="2.7E-2"/>
    <n v="1.6861E-4"/>
    <n v="0.99983"/>
    <s v="31.562577120235577"/>
    <s v="84.25099921075879"/>
    <s v="11.920057565875636"/>
    <s v="15.85122170744867"/>
    <n v="771725808"/>
    <x v="0"/>
    <n v="6.3069709999999998E-4"/>
    <x v="0"/>
  </r>
  <r>
    <n v="47"/>
    <n v="0"/>
    <n v="4"/>
    <n v="5"/>
    <n v="1"/>
    <n v="1"/>
    <n v="0"/>
    <n v="36"/>
    <n v="3"/>
    <n v="1"/>
    <n v="3"/>
    <n v="14241"/>
    <n v="2081"/>
    <n v="12160"/>
    <n v="0.90900000000000003"/>
    <n v="1581"/>
    <n v="44"/>
    <n v="0.83299999999999996"/>
    <n v="0.14599999999999999"/>
    <s v="9.9893e-05"/>
    <n v="0.99990000000000001"/>
    <s v="32.87896269375845"/>
    <s v="29.655364586824657"/>
    <s v="46.47043648066021"/>
    <s v="24.160751222691797"/>
    <n v="716302383"/>
    <x v="0"/>
    <n v="1.0249399E-3"/>
    <x v="0"/>
  </r>
  <r>
    <n v="42"/>
    <n v="0"/>
    <n v="2"/>
    <n v="4"/>
    <n v="0"/>
    <n v="4"/>
    <n v="0"/>
    <n v="26"/>
    <n v="5"/>
    <n v="2"/>
    <n v="3"/>
    <n v="2120"/>
    <n v="1527"/>
    <n v="593"/>
    <n v="0.74399999999999999"/>
    <n v="4741"/>
    <n v="86"/>
    <n v="0.72"/>
    <n v="0.72"/>
    <n v="2.2525E-4"/>
    <n v="0.99977000000000005"/>
    <s v="54.10734388480184"/>
    <s v="45.65780322135475"/>
    <s v="58.13248813040151"/>
    <s v="22.194110442526423"/>
    <n v="788840283"/>
    <x v="0"/>
    <n v="3.2101269999999999E-4"/>
    <x v="0"/>
  </r>
  <r>
    <n v="49"/>
    <n v="1"/>
    <n v="4"/>
    <n v="2"/>
    <n v="2"/>
    <n v="3"/>
    <n v="0"/>
    <n v="36"/>
    <n v="5"/>
    <n v="1"/>
    <n v="3"/>
    <n v="1963"/>
    <n v="1516"/>
    <n v="447"/>
    <n v="0.872"/>
    <n v="4150"/>
    <n v="75"/>
    <n v="0.74399999999999999"/>
    <n v="0.77200000000000002"/>
    <s v="9.7154e-05"/>
    <n v="0.99990000000000001"/>
    <s v="30.889405081573333"/>
    <s v="29.993066582387428"/>
    <s v="89.62013533273404"/>
    <s v="2.2962414153174047"/>
    <n v="714850158"/>
    <x v="0"/>
    <n v="3.2101269999999999E-4"/>
    <x v="0"/>
  </r>
  <r>
    <n v="40"/>
    <n v="0"/>
    <n v="3"/>
    <n v="5"/>
    <n v="2"/>
    <n v="4"/>
    <n v="0"/>
    <n v="33"/>
    <n v="4"/>
    <n v="3"/>
    <n v="2"/>
    <n v="3804"/>
    <n v="1917"/>
    <n v="1887"/>
    <n v="0.74399999999999999"/>
    <n v="14321"/>
    <n v="102"/>
    <n v="0.75900000000000001"/>
    <n v="0.504"/>
    <n v="1.9191E-4"/>
    <n v="0.99980999999999998"/>
    <s v="53.026870223381806"/>
    <s v="14.01647243008216"/>
    <s v="19.82048615711385"/>
    <s v="6.068469692829963"/>
    <n v="709578258"/>
    <x v="0"/>
    <n v="3.4656386999999997E-4"/>
    <x v="0"/>
  </r>
  <r>
    <n v="41"/>
    <n v="0"/>
    <n v="2"/>
    <n v="6"/>
    <n v="2"/>
    <n v="4"/>
    <n v="0"/>
    <n v="29"/>
    <n v="6"/>
    <n v="3"/>
    <n v="0"/>
    <n v="2701"/>
    <n v="1839"/>
    <n v="862"/>
    <n v="0.76500000000000001"/>
    <n v="4406"/>
    <n v="80"/>
    <n v="0.77800000000000002"/>
    <n v="0.68100000000000005"/>
    <s v="7.2936e-05"/>
    <n v="0.99992999999999999"/>
    <s v="48.20646848782889"/>
    <n v="46.441664453789201"/>
    <s v="7.719205212217012"/>
    <s v="14.023317512006251"/>
    <n v="719620983"/>
    <x v="0"/>
    <n v="3.2101269999999999E-4"/>
    <x v="0"/>
  </r>
  <r>
    <n v="56"/>
    <n v="0"/>
    <n v="2"/>
    <n v="5"/>
    <n v="2"/>
    <n v="4"/>
    <n v="0"/>
    <n v="36"/>
    <n v="1"/>
    <n v="3"/>
    <n v="5"/>
    <n v="1883"/>
    <n v="400"/>
    <n v="1483"/>
    <n v="0.52800000000000002"/>
    <n v="1954"/>
    <n v="45"/>
    <n v="0.5"/>
    <n v="0.21199999999999999"/>
    <n v="0.99890999999999996"/>
    <n v="1.08742E-3"/>
    <s v="19.669173791398716"/>
    <s v="17.976786816683003"/>
    <s v="0.6644950108007512"/>
    <s v="5.261833241744698"/>
    <n v="717371583"/>
    <x v="1"/>
    <n v="0.99771947000000005"/>
    <x v="1"/>
  </r>
  <r>
    <n v="51"/>
    <n v="1"/>
    <n v="2"/>
    <n v="0"/>
    <n v="2"/>
    <n v="0"/>
    <n v="0"/>
    <n v="41"/>
    <n v="6"/>
    <n v="3"/>
    <n v="2"/>
    <n v="26714"/>
    <n v="2517"/>
    <n v="24197"/>
    <n v="0.75800000000000001"/>
    <n v="1686"/>
    <n v="50"/>
    <n v="0.72399999999999998"/>
    <n v="9.4E-2"/>
    <n v="1.7488000000000001E-4"/>
    <n v="0.99983"/>
    <s v="41.93613287450591"/>
    <s v="41.10774296230053"/>
    <s v="59.498521434914586"/>
    <s v="21.141051168113872"/>
    <n v="715993608"/>
    <x v="0"/>
    <n v="9.1166643000000001E-4"/>
    <x v="0"/>
  </r>
  <r>
    <n v="63"/>
    <n v="1"/>
    <n v="2"/>
    <n v="3"/>
    <n v="1"/>
    <n v="1"/>
    <n v="0"/>
    <n v="36"/>
    <n v="2"/>
    <n v="2"/>
    <n v="2"/>
    <n v="5007"/>
    <n v="930"/>
    <n v="4077"/>
    <n v="0.88500000000000001"/>
    <n v="1050"/>
    <n v="28"/>
    <n v="1.1539999999999999"/>
    <n v="0.186"/>
    <n v="1.1065000000000001E-4"/>
    <n v="0.99988999999999995"/>
    <s v="20.642145753463485"/>
    <s v="9.679212140628293"/>
    <s v="60.15159168460389"/>
    <s v="12.34460407806646"/>
    <n v="715203108"/>
    <x v="0"/>
    <n v="1.687235E-3"/>
    <x v="0"/>
  </r>
  <r>
    <n v="48"/>
    <n v="0"/>
    <n v="4"/>
    <n v="6"/>
    <n v="1"/>
    <n v="4"/>
    <n v="0"/>
    <n v="41"/>
    <n v="3"/>
    <n v="3"/>
    <n v="3"/>
    <n v="2447"/>
    <n v="1267"/>
    <n v="1180"/>
    <n v="0.44900000000000001"/>
    <n v="2132"/>
    <n v="37"/>
    <n v="0.37"/>
    <n v="0.51800000000000002"/>
    <n v="0.99714000000000003"/>
    <n v="2.8584499999999998E-3"/>
    <s v="52.60750787580467"/>
    <n v="31.0854700338618"/>
    <s v="66.39574010943116"/>
    <s v="6.668886111585276"/>
    <n v="711531858"/>
    <x v="1"/>
    <n v="0.99585044"/>
    <x v="1"/>
  </r>
  <r>
    <n v="40"/>
    <n v="0"/>
    <n v="4"/>
    <n v="2"/>
    <n v="2"/>
    <n v="4"/>
    <n v="0"/>
    <n v="25"/>
    <n v="4"/>
    <n v="2"/>
    <n v="3"/>
    <n v="1438.3"/>
    <n v="0"/>
    <n v="1438.3"/>
    <n v="0.628"/>
    <n v="2493"/>
    <n v="42"/>
    <n v="0.5"/>
    <n v="0"/>
    <n v="0.99504000000000004"/>
    <n v="4.9552399999999996E-3"/>
    <s v="4.804529808523433"/>
    <s v="38.15555356703708"/>
    <s v="1.9292959081634276"/>
    <s v="2.759036268427381"/>
    <n v="713463708"/>
    <x v="1"/>
    <n v="0.99873226999999998"/>
    <x v="1"/>
  </r>
  <r>
    <n v="34"/>
    <n v="0"/>
    <n v="1"/>
    <n v="2"/>
    <n v="2"/>
    <n v="4"/>
    <n v="1"/>
    <n v="28"/>
    <n v="4"/>
    <n v="3"/>
    <n v="2"/>
    <n v="15987"/>
    <n v="0"/>
    <n v="15987"/>
    <n v="1.494"/>
    <n v="2327"/>
    <n v="65"/>
    <n v="0.80600000000000005"/>
    <n v="0"/>
    <n v="1.9451000000000001E-4"/>
    <n v="0.99980999999999998"/>
    <s v="4.103010165047466"/>
    <s v="7.330767586776559"/>
    <s v="41.33554310894118"/>
    <s v="0.3491306725382222"/>
    <n v="803347908"/>
    <x v="0"/>
    <n v="9.4788404999999998E-4"/>
    <x v="0"/>
  </r>
  <r>
    <n v="43"/>
    <n v="0"/>
    <n v="0"/>
    <n v="2"/>
    <n v="1"/>
    <n v="4"/>
    <n v="0"/>
    <n v="37"/>
    <n v="3"/>
    <n v="1"/>
    <n v="4"/>
    <n v="6380"/>
    <n v="1160"/>
    <n v="5220"/>
    <n v="0.753"/>
    <n v="17119"/>
    <n v="124"/>
    <n v="0.79700000000000004"/>
    <n v="0.182"/>
    <n v="1.3562000000000001E-4"/>
    <n v="0.99985999999999997"/>
    <s v="30.463773558433243"/>
    <s v="42.42123327016518"/>
    <s v="13.23176407810641"/>
    <s v="14.543244002419684"/>
    <n v="785038908"/>
    <x v="0"/>
    <n v="3.4656386999999997E-4"/>
    <x v="0"/>
  </r>
  <r>
    <n v="44"/>
    <n v="0"/>
    <n v="3"/>
    <n v="2"/>
    <n v="1"/>
    <n v="4"/>
    <n v="0"/>
    <n v="40"/>
    <n v="6"/>
    <n v="2"/>
    <n v="2"/>
    <n v="2232"/>
    <n v="2002"/>
    <n v="230"/>
    <n v="1.107"/>
    <n v="3803"/>
    <n v="68"/>
    <n v="0.51100000000000001"/>
    <n v="0.89700000000000002"/>
    <n v="1.1811000000000001E-4"/>
    <n v="0.99987999999999999"/>
    <s v="16.92543875258177"/>
    <n v="11.9896825089151"/>
    <n v="83.863068154516796"/>
    <s v="5.095072367960447"/>
    <n v="827408058"/>
    <x v="0"/>
    <n v="3.4559219999999999E-4"/>
    <x v="0"/>
  </r>
  <r>
    <n v="44"/>
    <n v="0"/>
    <n v="3"/>
    <n v="6"/>
    <n v="2"/>
    <n v="5"/>
    <n v="0"/>
    <n v="33"/>
    <n v="5"/>
    <n v="3"/>
    <n v="1"/>
    <n v="8064"/>
    <n v="2417"/>
    <n v="5647"/>
    <n v="0.64400000000000002"/>
    <n v="4412"/>
    <n v="67"/>
    <n v="0.86099999999999999"/>
    <n v="0.3"/>
    <n v="1.2373000000000001E-4"/>
    <n v="0.99987999999999999"/>
    <s v="1.482402070568592"/>
    <n v="6.26419459820114"/>
    <s v="8.014806211230091"/>
    <s v="3.8721046856281873"/>
    <n v="720959058"/>
    <x v="0"/>
    <n v="3.2101269999999999E-4"/>
    <x v="0"/>
  </r>
  <r>
    <n v="51"/>
    <n v="1"/>
    <n v="2"/>
    <n v="4"/>
    <n v="3"/>
    <n v="3"/>
    <n v="0"/>
    <n v="43"/>
    <n v="4"/>
    <n v="2"/>
    <n v="0"/>
    <n v="4830"/>
    <n v="1970"/>
    <n v="2860"/>
    <n v="0.79900000000000004"/>
    <n v="4850"/>
    <n v="80"/>
    <n v="0.63300000000000001"/>
    <n v="0.40799999999999997"/>
    <s v="4.9404e-05"/>
    <n v="0.99995000000000001"/>
    <s v="6.862195733047207"/>
    <s v="35.569716632910485"/>
    <s v="57.46092466915452"/>
    <s v="6.780866239366187"/>
    <n v="717775608"/>
    <x v="0"/>
    <n v="3.2914013999999999E-4"/>
    <x v="0"/>
  </r>
  <r>
    <n v="46"/>
    <n v="1"/>
    <n v="3"/>
    <n v="2"/>
    <n v="1"/>
    <n v="2"/>
    <n v="0"/>
    <n v="36"/>
    <n v="2"/>
    <n v="3"/>
    <n v="4"/>
    <n v="4267"/>
    <n v="0"/>
    <n v="4267"/>
    <n v="0.86199999999999999"/>
    <n v="1067"/>
    <n v="23"/>
    <n v="0.76900000000000002"/>
    <n v="0"/>
    <n v="0.99814000000000003"/>
    <n v="1.8631699999999999E-3"/>
    <s v="49.34001334600631"/>
    <s v="5.695616388111748"/>
    <s v="79.03855185512728"/>
    <s v="15.448504967135024"/>
    <n v="720185058"/>
    <x v="1"/>
    <n v="0.99814619999999998"/>
    <x v="1"/>
  </r>
  <r>
    <n v="52"/>
    <n v="0"/>
    <n v="1"/>
    <n v="2"/>
    <n v="1"/>
    <n v="1"/>
    <n v="0"/>
    <n v="46"/>
    <n v="5"/>
    <n v="1"/>
    <n v="2"/>
    <n v="2442"/>
    <n v="1507"/>
    <n v="935"/>
    <n v="0.63100000000000001"/>
    <n v="4535"/>
    <n v="85"/>
    <n v="0.80900000000000005"/>
    <n v="0.61699999999999999"/>
    <s v="5.1697e-05"/>
    <n v="0.99995000000000001"/>
    <s v="42.24366086410116"/>
    <s v="18.067187072802447"/>
    <s v="79.42095251306486"/>
    <n v="4.6862942007743502"/>
    <n v="787268733"/>
    <x v="0"/>
    <n v="3.2101269999999999E-4"/>
    <x v="0"/>
  </r>
  <r>
    <n v="42"/>
    <n v="0"/>
    <n v="4"/>
    <n v="6"/>
    <n v="1"/>
    <n v="5"/>
    <n v="0"/>
    <n v="36"/>
    <n v="1"/>
    <n v="4"/>
    <n v="2"/>
    <n v="7469"/>
    <n v="837"/>
    <n v="6632"/>
    <n v="0.82799999999999996"/>
    <n v="8281"/>
    <n v="80"/>
    <n v="0.73899999999999999"/>
    <n v="0.112"/>
    <n v="2.5057999999999998E-4"/>
    <n v="0.99975000000000003"/>
    <s v="28.195846069388946"/>
    <s v="48.01877321941363"/>
    <s v="3.3927973394861475"/>
    <s v="4.009209966062463"/>
    <n v="712381683"/>
    <x v="0"/>
    <n v="7.701629E-4"/>
    <x v="0"/>
  </r>
  <r>
    <n v="28"/>
    <n v="1"/>
    <n v="1"/>
    <n v="3"/>
    <n v="0"/>
    <n v="4"/>
    <n v="0"/>
    <n v="36"/>
    <n v="5"/>
    <n v="3"/>
    <n v="4"/>
    <n v="2265"/>
    <n v="1935"/>
    <n v="330"/>
    <n v="0.65300000000000002"/>
    <n v="2306"/>
    <n v="61"/>
    <n v="0.52500000000000002"/>
    <n v="0.85399999999999998"/>
    <n v="4.7085999999999997E-4"/>
    <n v="0.99953000000000003"/>
    <s v="12.988352396121494"/>
    <s v="51.42412823159891"/>
    <n v="57.227618759220697"/>
    <s v="5.573498100385659"/>
    <n v="711225933"/>
    <x v="0"/>
    <n v="4.3839816000000001E-4"/>
    <x v="0"/>
  </r>
  <r>
    <n v="46"/>
    <n v="1"/>
    <n v="3"/>
    <n v="2"/>
    <n v="3"/>
    <n v="1"/>
    <n v="0"/>
    <n v="34"/>
    <n v="3"/>
    <n v="6"/>
    <n v="1"/>
    <n v="2259"/>
    <n v="1346"/>
    <n v="913"/>
    <n v="0.81299999999999994"/>
    <n v="7745"/>
    <n v="88"/>
    <n v="0.51700000000000002"/>
    <n v="0.59599999999999997"/>
    <s v="8.8856e-05"/>
    <n v="0.99990999999999997"/>
    <s v="11.000985961584812"/>
    <n v="6.6465451321326601"/>
    <s v="15.162965345429075"/>
    <s v="14.646342842783593"/>
    <n v="711203658"/>
    <x v="0"/>
    <n v="3.7789578000000003E-4"/>
    <x v="0"/>
  </r>
  <r>
    <n v="37"/>
    <n v="0"/>
    <n v="3"/>
    <n v="2"/>
    <n v="2"/>
    <n v="4"/>
    <n v="0"/>
    <n v="24"/>
    <n v="2"/>
    <n v="1"/>
    <n v="4"/>
    <n v="2802"/>
    <n v="2460"/>
    <n v="342"/>
    <n v="1.0289999999999999"/>
    <n v="1406"/>
    <n v="28"/>
    <n v="7.6999999999999999E-2"/>
    <n v="0.878"/>
    <n v="0.99394000000000005"/>
    <n v="6.0600000000000003E-3"/>
    <s v="52.18061109864088"/>
    <s v="45.76180105083056"/>
    <n v="64.9070873402937"/>
    <s v="37.70322868038653"/>
    <n v="758583708"/>
    <x v="1"/>
    <n v="0.9945927"/>
    <x v="1"/>
  </r>
  <r>
    <n v="36"/>
    <n v="1"/>
    <n v="1"/>
    <n v="2"/>
    <n v="2"/>
    <n v="0"/>
    <n v="0"/>
    <n v="20"/>
    <n v="3"/>
    <n v="2"/>
    <n v="2"/>
    <n v="34516"/>
    <n v="0"/>
    <n v="34516"/>
    <n v="0.53100000000000003"/>
    <n v="2686"/>
    <n v="59"/>
    <n v="0.78800000000000003"/>
    <n v="0"/>
    <n v="1.0684E-4"/>
    <n v="0.99988999999999995"/>
    <s v="52.846039864808304"/>
    <s v="50.06837003758553"/>
    <s v="96.30511308320035"/>
    <s v="5.758094883508279"/>
    <n v="719806233"/>
    <x v="0"/>
    <n v="1.1550830000000001E-3"/>
    <x v="0"/>
  </r>
  <r>
    <n v="35"/>
    <n v="1"/>
    <n v="1"/>
    <n v="3"/>
    <n v="1"/>
    <n v="3"/>
    <n v="0"/>
    <n v="25"/>
    <n v="6"/>
    <n v="1"/>
    <n v="2"/>
    <n v="23991"/>
    <n v="2307"/>
    <n v="21684"/>
    <n v="0.91200000000000003"/>
    <n v="1843"/>
    <n v="43"/>
    <n v="0.72"/>
    <n v="9.6000000000000002E-2"/>
    <s v="5.0256e-05"/>
    <n v="0.99995000000000001"/>
    <s v="17.960652935707706"/>
    <s v="39.54216883831104"/>
    <s v="144.15898004148517"/>
    <s v="2.3026534963869696"/>
    <n v="715901508"/>
    <x v="0"/>
    <n v="1.0337284E-3"/>
    <x v="0"/>
  </r>
  <r>
    <n v="40"/>
    <n v="1"/>
    <n v="4"/>
    <n v="6"/>
    <n v="1"/>
    <n v="2"/>
    <n v="0"/>
    <n v="36"/>
    <n v="3"/>
    <n v="2"/>
    <n v="3"/>
    <n v="22956"/>
    <n v="1407"/>
    <n v="21549"/>
    <n v="0.70899999999999996"/>
    <n v="5554"/>
    <n v="64"/>
    <n v="0.6"/>
    <n v="6.0999999999999999E-2"/>
    <n v="2.2068000000000001E-4"/>
    <n v="0.99978"/>
    <s v="48.61767465071396"/>
    <s v="29.509327694371777"/>
    <s v="17.040117143274433"/>
    <s v="16.160454482161065"/>
    <n v="826410708"/>
    <x v="0"/>
    <n v="6.5296335000000001E-4"/>
    <x v="0"/>
  </r>
  <r>
    <n v="47"/>
    <n v="1"/>
    <n v="5"/>
    <n v="3"/>
    <n v="1"/>
    <n v="2"/>
    <n v="0"/>
    <n v="38"/>
    <n v="4"/>
    <n v="1"/>
    <n v="2"/>
    <n v="7357"/>
    <n v="1069"/>
    <n v="6288"/>
    <n v="0.77"/>
    <n v="3943"/>
    <n v="64"/>
    <n v="0.64100000000000001"/>
    <n v="0.14499999999999999"/>
    <s v="5.5277e-05"/>
    <n v="0.99994000000000005"/>
    <s v="7.534629511269423"/>
    <s v="12.531521004989097"/>
    <s v="17.939825788499395"/>
    <n v="2.4356081924734498"/>
    <n v="772879158"/>
    <x v="0"/>
    <n v="3.4604817999999999E-4"/>
    <x v="0"/>
  </r>
  <r>
    <n v="55"/>
    <n v="0"/>
    <n v="2"/>
    <n v="2"/>
    <n v="2"/>
    <n v="4"/>
    <n v="0"/>
    <n v="47"/>
    <n v="5"/>
    <n v="3"/>
    <n v="2"/>
    <n v="6347"/>
    <n v="0"/>
    <n v="6347"/>
    <n v="0.46600000000000003"/>
    <n v="1161"/>
    <n v="44"/>
    <n v="0.375"/>
    <n v="0"/>
    <n v="1.7987E-4"/>
    <n v="0.99982000000000004"/>
    <n v="14.629555113426701"/>
    <s v="47.08365650098521"/>
    <s v="26.560067211656637"/>
    <s v="11.289582704930154"/>
    <n v="717292758"/>
    <x v="0"/>
    <n v="4.459518E-3"/>
    <x v="0"/>
  </r>
  <r>
    <n v="43"/>
    <n v="1"/>
    <n v="3"/>
    <n v="2"/>
    <n v="2"/>
    <n v="4"/>
    <n v="0"/>
    <n v="31"/>
    <n v="3"/>
    <n v="1"/>
    <n v="2"/>
    <n v="4098"/>
    <n v="1776"/>
    <n v="2322"/>
    <n v="0.67300000000000004"/>
    <n v="3939"/>
    <n v="84"/>
    <n v="0.64700000000000002"/>
    <n v="0.433"/>
    <s v="5.7151e-05"/>
    <n v="0.99994000000000005"/>
    <s v="21.15474823423002"/>
    <s v="3.2224533288057917"/>
    <s v="0.2964485664804833"/>
    <n v="4.4663053039466902"/>
    <n v="771460158"/>
    <x v="0"/>
    <n v="3.2914013999999999E-4"/>
    <x v="0"/>
  </r>
  <r>
    <n v="39"/>
    <n v="0"/>
    <n v="3"/>
    <n v="3"/>
    <n v="3"/>
    <n v="4"/>
    <n v="0"/>
    <n v="36"/>
    <n v="2"/>
    <n v="3"/>
    <n v="2"/>
    <n v="1817"/>
    <n v="0"/>
    <n v="1817"/>
    <n v="0.58299999999999996"/>
    <n v="2216"/>
    <n v="44"/>
    <n v="0.83299999999999996"/>
    <n v="0"/>
    <n v="0.99451999999999996"/>
    <n v="5.4799999999999996E-3"/>
    <s v="22.207750213591613"/>
    <s v="1.455342991386642"/>
    <s v="63.00649060776841"/>
    <s v="17.062158983588468"/>
    <n v="712853358"/>
    <x v="1"/>
    <n v="0.99845386000000003"/>
    <x v="1"/>
  </r>
  <r>
    <n v="54"/>
    <n v="0"/>
    <n v="3"/>
    <n v="5"/>
    <n v="2"/>
    <n v="1"/>
    <n v="0"/>
    <n v="41"/>
    <n v="3"/>
    <n v="1"/>
    <n v="3"/>
    <n v="2488"/>
    <n v="2196"/>
    <n v="292"/>
    <n v="0.73299999999999998"/>
    <n v="4361"/>
    <n v="75"/>
    <n v="0.63"/>
    <n v="0.88300000000000001"/>
    <s v="9.8837e-05"/>
    <n v="0.99990000000000001"/>
    <s v="3.4861887403613454"/>
    <s v="40.88751357452713"/>
    <n v="74.914092204390002"/>
    <s v="4.477877330115103"/>
    <n v="718819158"/>
    <x v="0"/>
    <n v="3.2914013999999999E-4"/>
    <x v="0"/>
  </r>
  <r>
    <n v="40"/>
    <n v="0"/>
    <n v="3"/>
    <n v="3"/>
    <n v="1"/>
    <n v="1"/>
    <n v="3"/>
    <n v="34"/>
    <n v="2"/>
    <n v="2"/>
    <n v="2"/>
    <n v="19000"/>
    <n v="1568"/>
    <n v="17432"/>
    <n v="0.68799999999999994"/>
    <n v="8443"/>
    <n v="97"/>
    <n v="0.86499999999999999"/>
    <n v="8.3000000000000004E-2"/>
    <n v="1.0374000000000001E-4"/>
    <n v="0.99990000000000001"/>
    <s v="3.906724069584976"/>
    <s v="44.40274338427288"/>
    <s v="103.99482137303546"/>
    <s v="7.749927033844985"/>
    <n v="812534958"/>
    <x v="0"/>
    <n v="3.8905455999999999E-4"/>
    <x v="0"/>
  </r>
  <r>
    <n v="50"/>
    <n v="1"/>
    <n v="2"/>
    <n v="2"/>
    <n v="2"/>
    <n v="0"/>
    <n v="0"/>
    <n v="42"/>
    <n v="2"/>
    <n v="1"/>
    <n v="2"/>
    <n v="31782"/>
    <n v="0"/>
    <n v="31782"/>
    <n v="1.056"/>
    <n v="4800"/>
    <n v="53"/>
    <n v="0.39500000000000002"/>
    <n v="0"/>
    <n v="0.98216999999999999"/>
    <n v="1.7829999999999999E-2"/>
    <s v="26.80921765375676"/>
    <s v="16.394895583018602"/>
    <n v="79.489414481637795"/>
    <s v="4.393453751535764"/>
    <n v="790051758"/>
    <x v="1"/>
    <n v="0.99778160000000005"/>
    <x v="1"/>
  </r>
  <r>
    <n v="46"/>
    <n v="0"/>
    <n v="3"/>
    <n v="5"/>
    <n v="2"/>
    <n v="1"/>
    <n v="0"/>
    <n v="36"/>
    <n v="3"/>
    <n v="2"/>
    <n v="2"/>
    <n v="7020"/>
    <n v="1784"/>
    <n v="5236"/>
    <n v="0.81499999999999995"/>
    <n v="16937"/>
    <n v="116"/>
    <n v="0.73099999999999998"/>
    <n v="0.254"/>
    <n v="1.2144E-4"/>
    <n v="0.99987999999999999"/>
    <s v="32.11015858424308"/>
    <s v="19.07968506883016"/>
    <s v="78.71481058183366"/>
    <s v="3.631859734767686"/>
    <n v="708942408"/>
    <x v="0"/>
    <n v="3.4656386999999997E-4"/>
    <x v="0"/>
  </r>
  <r>
    <n v="61"/>
    <n v="1"/>
    <n v="1"/>
    <n v="5"/>
    <n v="2"/>
    <n v="1"/>
    <n v="0"/>
    <n v="36"/>
    <n v="6"/>
    <n v="1"/>
    <n v="1"/>
    <n v="5039"/>
    <n v="1352"/>
    <n v="3687"/>
    <n v="0.79700000000000004"/>
    <n v="3300"/>
    <n v="68"/>
    <n v="0.54500000000000004"/>
    <n v="0.26800000000000002"/>
    <s v="3.2055e-05"/>
    <n v="0.99997000000000003"/>
    <s v="8.425469656498485"/>
    <s v="25.724994402845304"/>
    <s v="3.273393391482732"/>
    <s v="11.31132366421222"/>
    <n v="714946908"/>
    <x v="0"/>
    <n v="3.2914013999999999E-4"/>
    <x v="0"/>
  </r>
  <r>
    <n v="46"/>
    <n v="0"/>
    <n v="4"/>
    <n v="6"/>
    <n v="2"/>
    <n v="4"/>
    <n v="0"/>
    <n v="33"/>
    <n v="5"/>
    <n v="3"/>
    <n v="5"/>
    <n v="2879"/>
    <n v="0"/>
    <n v="2879"/>
    <n v="1.0309999999999999"/>
    <n v="4684"/>
    <n v="56"/>
    <n v="0.55600000000000005"/>
    <n v="0"/>
    <n v="0.99902999999999997"/>
    <n v="9.7000000000000005E-4"/>
    <s v="25.89164906448181"/>
    <s v="20.34676329295753"/>
    <s v="115.74115890517368"/>
    <s v="13.562039064265583"/>
    <n v="720939933"/>
    <x v="1"/>
    <n v="0.99305975000000002"/>
    <x v="1"/>
  </r>
  <r>
    <n v="45"/>
    <n v="0"/>
    <n v="3"/>
    <n v="2"/>
    <n v="1"/>
    <n v="4"/>
    <n v="0"/>
    <n v="34"/>
    <n v="6"/>
    <n v="2"/>
    <n v="3"/>
    <n v="2641"/>
    <n v="1336"/>
    <n v="1305"/>
    <n v="1.0189999999999999"/>
    <n v="4224"/>
    <n v="77"/>
    <n v="0.79100000000000004"/>
    <n v="0.50600000000000001"/>
    <n v="1.9864000000000001E-4"/>
    <n v="0.99980000000000002"/>
    <s v="44.33793637818851"/>
    <s v="28.45353119984948"/>
    <s v="192.40654641555125"/>
    <s v="4.394994474715677"/>
    <n v="779164608"/>
    <x v="0"/>
    <n v="3.221314E-4"/>
    <x v="0"/>
  </r>
  <r>
    <n v="42"/>
    <n v="1"/>
    <n v="3"/>
    <n v="5"/>
    <n v="2"/>
    <n v="1"/>
    <n v="0"/>
    <n v="36"/>
    <n v="3"/>
    <n v="1"/>
    <n v="0"/>
    <n v="9599"/>
    <n v="1554"/>
    <n v="8045"/>
    <n v="1.087"/>
    <n v="1154"/>
    <n v="38"/>
    <n v="1.2350000000000001"/>
    <n v="0.16200000000000001"/>
    <s v="2.1676e-05"/>
    <n v="0.99997999999999998"/>
    <n v="86.551351156114094"/>
    <s v="8.378481212149278"/>
    <n v="64.047116460399295"/>
    <s v="4.607812238459703"/>
    <n v="716545383"/>
    <x v="0"/>
    <n v="1.0249399E-3"/>
    <x v="0"/>
  </r>
  <r>
    <n v="45"/>
    <n v="1"/>
    <n v="4"/>
    <n v="1"/>
    <n v="1"/>
    <n v="3"/>
    <n v="0"/>
    <n v="39"/>
    <n v="2"/>
    <n v="3"/>
    <n v="2"/>
    <n v="1438.3"/>
    <n v="1162"/>
    <n v="276.3"/>
    <n v="0.53900000000000003"/>
    <n v="4598"/>
    <n v="86"/>
    <n v="0.623"/>
    <n v="0.80800000000000005"/>
    <n v="2.7296999999999998E-4"/>
    <n v="0.99973000000000001"/>
    <s v="7.428967252727622"/>
    <s v="60.623533390164354"/>
    <n v="117.612127201135"/>
    <s v="8.660707364898714"/>
    <n v="799242033"/>
    <x v="0"/>
    <n v="3.2914013999999999E-4"/>
    <x v="0"/>
  </r>
  <r>
    <n v="45"/>
    <n v="0"/>
    <n v="3"/>
    <n v="2"/>
    <n v="1"/>
    <n v="4"/>
    <n v="3"/>
    <n v="39"/>
    <n v="1"/>
    <n v="2"/>
    <n v="3"/>
    <n v="10186"/>
    <n v="1608"/>
    <n v="8578"/>
    <n v="0.71199999999999997"/>
    <n v="14023"/>
    <n v="106"/>
    <n v="0.76700000000000002"/>
    <n v="0.158"/>
    <n v="1.7949E-4"/>
    <n v="0.99982000000000004"/>
    <s v="19.575245703182723"/>
    <n v="9.0245641651914692"/>
    <s v="98.47862082983292"/>
    <s v="19.294686556752985"/>
    <n v="794740458"/>
    <x v="0"/>
    <n v="3.4656386999999997E-4"/>
    <x v="0"/>
  </r>
  <r>
    <n v="60"/>
    <n v="0"/>
    <n v="1"/>
    <n v="5"/>
    <n v="2"/>
    <n v="5"/>
    <n v="0"/>
    <n v="50"/>
    <n v="6"/>
    <n v="3"/>
    <n v="3"/>
    <n v="7459"/>
    <n v="1717"/>
    <n v="5742"/>
    <n v="1.0009999999999999"/>
    <n v="4328"/>
    <n v="68"/>
    <n v="0.58099999999999996"/>
    <n v="0.23"/>
    <n v="2.9196000000000002E-4"/>
    <n v="0.99970999999999999"/>
    <s v="29.54985995218293"/>
    <s v="35.87410585322941"/>
    <s v="58.54977786400104"/>
    <s v="6.440249378031825"/>
    <n v="720108783"/>
    <x v="0"/>
    <n v="3.4605444000000002E-4"/>
    <x v="0"/>
  </r>
  <r>
    <n v="49"/>
    <n v="0"/>
    <n v="0"/>
    <n v="5"/>
    <n v="2"/>
    <n v="4"/>
    <n v="0"/>
    <n v="44"/>
    <n v="3"/>
    <n v="3"/>
    <n v="2"/>
    <n v="2094"/>
    <n v="0"/>
    <n v="2094"/>
    <n v="0.89700000000000002"/>
    <n v="2690"/>
    <n v="46"/>
    <n v="0.48399999999999999"/>
    <n v="0"/>
    <n v="0.99373999999999996"/>
    <n v="6.2599999999999999E-3"/>
    <s v="31.88084322330081"/>
    <s v="35.36272282459738"/>
    <s v="39.35171646075232"/>
    <s v="23.18254137861474"/>
    <n v="812411058"/>
    <x v="1"/>
    <n v="0.99872713999999996"/>
    <x v="1"/>
  </r>
  <r>
    <n v="58"/>
    <n v="1"/>
    <n v="1"/>
    <n v="5"/>
    <n v="1"/>
    <n v="1"/>
    <n v="0"/>
    <n v="36"/>
    <n v="2"/>
    <n v="4"/>
    <n v="3"/>
    <n v="1438.3"/>
    <n v="537"/>
    <n v="901.3"/>
    <n v="0.81899999999999995"/>
    <n v="715"/>
    <n v="13"/>
    <n v="0.182"/>
    <n v="0.373"/>
    <n v="0.99717"/>
    <n v="2.82527E-3"/>
    <s v="12.18256655754793"/>
    <s v="26.388510283921303"/>
    <s v="49.175099264876415"/>
    <s v="4.290765868745085"/>
    <n v="714871683"/>
    <x v="1"/>
    <n v="0.9985252"/>
    <x v="1"/>
  </r>
  <r>
    <n v="44"/>
    <n v="0"/>
    <n v="3"/>
    <n v="6"/>
    <n v="1"/>
    <n v="5"/>
    <n v="0"/>
    <n v="38"/>
    <n v="4"/>
    <n v="3"/>
    <n v="3"/>
    <n v="11474"/>
    <n v="1063"/>
    <n v="10411"/>
    <n v="0.68600000000000005"/>
    <n v="3242"/>
    <n v="74"/>
    <n v="0.45100000000000001"/>
    <n v="9.2999999999999999E-2"/>
    <n v="3.4503000000000002E-4"/>
    <n v="0.99965000000000004"/>
    <s v="66.46346380161211"/>
    <s v="17.59496444989664"/>
    <n v="94.953067054134607"/>
    <n v="8.0297666041746307"/>
    <n v="783366483"/>
    <x v="0"/>
    <n v="3.6773292000000002E-4"/>
    <x v="0"/>
  </r>
  <r>
    <n v="35"/>
    <n v="0"/>
    <n v="1"/>
    <n v="2"/>
    <n v="2"/>
    <n v="1"/>
    <n v="0"/>
    <n v="16"/>
    <n v="3"/>
    <n v="2"/>
    <n v="2"/>
    <n v="2546"/>
    <n v="1348"/>
    <n v="1198"/>
    <n v="0.877"/>
    <n v="4145"/>
    <n v="75"/>
    <n v="0.59599999999999997"/>
    <n v="0.52900000000000003"/>
    <n v="1.0684E-4"/>
    <n v="0.99988999999999995"/>
    <s v="32.59265426568949"/>
    <s v="12.617641166065628"/>
    <s v="44.65114950189045"/>
    <s v="1.3724220531064075"/>
    <n v="779051808"/>
    <x v="0"/>
    <n v="3.2914013999999999E-4"/>
    <x v="0"/>
  </r>
  <r>
    <n v="37"/>
    <n v="0"/>
    <n v="2"/>
    <n v="2"/>
    <n v="1"/>
    <n v="4"/>
    <n v="0"/>
    <n v="30"/>
    <n v="5"/>
    <n v="2"/>
    <n v="2"/>
    <n v="2077"/>
    <n v="1392"/>
    <n v="685"/>
    <n v="1.5529999999999999"/>
    <n v="1629"/>
    <n v="36"/>
    <n v="1.25"/>
    <n v="0.67"/>
    <n v="1.1382E-4"/>
    <n v="0.99988999999999995"/>
    <s v="21.47955745562682"/>
    <s v="37.94082511305778"/>
    <s v="24.088846214306265"/>
    <s v="12.048700196741445"/>
    <n v="718996758"/>
    <x v="0"/>
    <n v="9.8706899999999992E-4"/>
    <x v="0"/>
  </r>
  <r>
    <n v="53"/>
    <n v="0"/>
    <n v="1"/>
    <n v="0"/>
    <n v="2"/>
    <n v="5"/>
    <n v="0"/>
    <n v="44"/>
    <n v="3"/>
    <n v="2"/>
    <n v="2"/>
    <n v="11012"/>
    <n v="1328"/>
    <n v="9684"/>
    <n v="0.61699999999999999"/>
    <n v="3793"/>
    <n v="86"/>
    <n v="0.65400000000000003"/>
    <n v="0.121"/>
    <n v="1.0387000000000001E-4"/>
    <n v="0.99990000000000001"/>
    <s v="0.2783143125879929"/>
    <s v="26.724912857931688"/>
    <s v="153.61533182682624"/>
    <s v="7.562589750036575"/>
    <n v="719186433"/>
    <x v="0"/>
    <n v="3.2101269999999999E-4"/>
    <x v="0"/>
  </r>
  <r>
    <n v="50"/>
    <n v="1"/>
    <n v="3"/>
    <n v="6"/>
    <n v="2"/>
    <n v="1"/>
    <n v="0"/>
    <n v="39"/>
    <n v="4"/>
    <n v="3"/>
    <n v="1"/>
    <n v="13509"/>
    <n v="2060"/>
    <n v="11449"/>
    <n v="0.72899999999999998"/>
    <n v="3702"/>
    <n v="64"/>
    <n v="0.82899999999999996"/>
    <n v="0.152"/>
    <n v="1.2373000000000001E-4"/>
    <n v="0.99987999999999999"/>
    <s v="0.8786661366370603"/>
    <s v="142.68981488700058"/>
    <s v="24.42226416272792"/>
    <n v="11.522787134046601"/>
    <n v="721366308"/>
    <x v="0"/>
    <n v="3.3750320000000002E-4"/>
    <x v="0"/>
  </r>
  <r>
    <n v="53"/>
    <n v="1"/>
    <n v="2"/>
    <n v="0"/>
    <n v="1"/>
    <n v="3"/>
    <n v="0"/>
    <n v="45"/>
    <n v="4"/>
    <n v="4"/>
    <n v="4"/>
    <n v="21953"/>
    <n v="1311"/>
    <n v="20642"/>
    <n v="0.443"/>
    <n v="1413"/>
    <n v="37"/>
    <n v="0.37"/>
    <n v="0.06"/>
    <n v="6.0623999999999997E-4"/>
    <n v="0.99939"/>
    <s v="24.568548126639318"/>
    <s v="29.474400040736008"/>
    <s v="105.43971027271832"/>
    <s v="11.289963116261598"/>
    <n v="789987183"/>
    <x v="0"/>
    <n v="1.4151224999999999E-3"/>
    <x v="0"/>
  </r>
  <r>
    <n v="38"/>
    <n v="1"/>
    <n v="3"/>
    <n v="2"/>
    <n v="1"/>
    <n v="2"/>
    <n v="0"/>
    <n v="34"/>
    <n v="6"/>
    <n v="3"/>
    <n v="3"/>
    <n v="5323"/>
    <n v="2301"/>
    <n v="3022"/>
    <n v="0.68"/>
    <n v="1783"/>
    <n v="33"/>
    <n v="0.65"/>
    <n v="0.432"/>
    <n v="3.1389999999999999E-4"/>
    <n v="0.99968999999999997"/>
    <s v="41.19511647940003"/>
    <s v="35.085298570719445"/>
    <s v="20.893343299237923"/>
    <s v="13.213601023402186"/>
    <n v="821168733"/>
    <x v="0"/>
    <n v="1.0337284E-3"/>
    <x v="0"/>
  </r>
  <r>
    <n v="59"/>
    <n v="1"/>
    <n v="0"/>
    <n v="3"/>
    <n v="2"/>
    <n v="3"/>
    <n v="1"/>
    <n v="48"/>
    <n v="5"/>
    <n v="2"/>
    <n v="6"/>
    <n v="34516"/>
    <n v="0"/>
    <n v="34516"/>
    <n v="0.96899999999999997"/>
    <n v="8480"/>
    <n v="71"/>
    <n v="0.82099999999999995"/>
    <n v="0"/>
    <n v="0.99895"/>
    <n v="1.04747E-3"/>
    <s v="26.825929092315217"/>
    <s v="40.42126216008695"/>
    <s v="4.954093793782686"/>
    <s v="14.549360961326684"/>
    <n v="715645908"/>
    <x v="1"/>
    <n v="0.99277084999999998"/>
    <x v="1"/>
  </r>
  <r>
    <n v="41"/>
    <n v="0"/>
    <n v="2"/>
    <n v="2"/>
    <n v="1"/>
    <n v="1"/>
    <n v="0"/>
    <n v="32"/>
    <n v="3"/>
    <n v="2"/>
    <n v="2"/>
    <n v="9576"/>
    <n v="0"/>
    <n v="9576"/>
    <n v="0.81699999999999995"/>
    <n v="2362"/>
    <n v="49"/>
    <n v="0.4"/>
    <n v="0"/>
    <n v="0.99129"/>
    <n v="8.7100000000000007E-3"/>
    <n v="39.794885618829603"/>
    <s v="14.509481591616158"/>
    <s v="6.989261550265551"/>
    <s v="12.127263522021831"/>
    <n v="714549558"/>
    <x v="1"/>
    <n v="0.99850684000000001"/>
    <x v="1"/>
  </r>
  <r>
    <n v="52"/>
    <n v="1"/>
    <n v="1"/>
    <n v="3"/>
    <n v="2"/>
    <n v="2"/>
    <n v="0"/>
    <n v="45"/>
    <n v="1"/>
    <n v="5"/>
    <n v="1"/>
    <n v="11898"/>
    <n v="2517"/>
    <n v="9381"/>
    <n v="0.745"/>
    <n v="15798"/>
    <n v="128"/>
    <n v="0.73"/>
    <n v="0.21199999999999999"/>
    <n v="1.1056E-4"/>
    <n v="0.99988999999999995"/>
    <n v="38.7034290834128"/>
    <s v="63.64198425407747"/>
    <s v="63.68011937944738"/>
    <s v="4.908415984175872"/>
    <n v="708103608"/>
    <x v="0"/>
    <n v="3.7453471999999999E-4"/>
    <x v="0"/>
  </r>
  <r>
    <n v="59"/>
    <n v="0"/>
    <n v="1"/>
    <n v="4"/>
    <n v="1"/>
    <n v="1"/>
    <n v="0"/>
    <n v="46"/>
    <n v="5"/>
    <n v="3"/>
    <n v="3"/>
    <n v="1944"/>
    <n v="1346"/>
    <n v="598"/>
    <n v="1.052"/>
    <n v="1960"/>
    <n v="57"/>
    <n v="0.72699999999999998"/>
    <n v="0.69199999999999995"/>
    <n v="3.3410999999999998E-4"/>
    <n v="0.99966999999999995"/>
    <n v="13.601527782031599"/>
    <n v="22.160098389490798"/>
    <s v="6.122388712908477"/>
    <s v="13.585170100359594"/>
    <n v="712459233"/>
    <x v="0"/>
    <n v="5.2169719999999996E-4"/>
    <x v="0"/>
  </r>
  <r>
    <n v="65"/>
    <n v="0"/>
    <n v="0"/>
    <n v="5"/>
    <n v="2"/>
    <n v="4"/>
    <n v="0"/>
    <n v="54"/>
    <n v="6"/>
    <n v="5"/>
    <n v="2"/>
    <n v="7699"/>
    <n v="1758"/>
    <n v="5941"/>
    <n v="0.64100000000000001"/>
    <n v="5103"/>
    <n v="62"/>
    <n v="0.77100000000000002"/>
    <n v="0.22800000000000001"/>
    <n v="1.7725999999999999E-4"/>
    <n v="0.99982000000000004"/>
    <s v="28.30400443686001"/>
    <s v="7.748456623611911"/>
    <s v="46.699467228777486"/>
    <s v="11.945412319727202"/>
    <n v="711238908"/>
    <x v="0"/>
    <n v="3.479205E-4"/>
    <x v="0"/>
  </r>
  <r>
    <n v="54"/>
    <n v="0"/>
    <n v="2"/>
    <n v="0"/>
    <n v="2"/>
    <n v="4"/>
    <n v="0"/>
    <n v="36"/>
    <n v="1"/>
    <n v="3"/>
    <n v="3"/>
    <n v="2274"/>
    <n v="708"/>
    <n v="1566"/>
    <n v="0.67700000000000005"/>
    <n v="7735"/>
    <n v="74"/>
    <n v="0.68200000000000005"/>
    <n v="0.311"/>
    <n v="2.9410999999999999E-4"/>
    <n v="0.99970999999999999"/>
    <s v="10.584466734012851"/>
    <n v="2.9975101497774701"/>
    <s v="62.18142364717185"/>
    <s v="19.17295084761644"/>
    <n v="712058133"/>
    <x v="0"/>
    <n v="9.4778660000000004E-4"/>
    <x v="0"/>
  </r>
  <r>
    <n v="39"/>
    <n v="1"/>
    <n v="4"/>
    <n v="6"/>
    <n v="1"/>
    <n v="2"/>
    <n v="1"/>
    <n v="36"/>
    <n v="4"/>
    <n v="3"/>
    <n v="2"/>
    <n v="34516"/>
    <n v="2517"/>
    <n v="31999"/>
    <n v="0.84099999999999997"/>
    <n v="8248"/>
    <n v="66"/>
    <n v="0.65"/>
    <n v="7.2999999999999995E-2"/>
    <n v="0.99582999999999999"/>
    <n v="4.1676700000000001E-3"/>
    <s v="20.112110412763485"/>
    <s v="85.32876688806606"/>
    <s v="32.61448555132389"/>
    <s v="3.464046414326303"/>
    <n v="714391683"/>
    <x v="1"/>
    <n v="0.99051089999999997"/>
    <x v="1"/>
  </r>
  <r>
    <n v="42"/>
    <n v="1"/>
    <n v="3"/>
    <n v="2"/>
    <n v="2"/>
    <n v="0"/>
    <n v="0"/>
    <n v="36"/>
    <n v="1"/>
    <n v="2"/>
    <n v="3"/>
    <n v="31639"/>
    <n v="2446"/>
    <n v="29193"/>
    <n v="0.63200000000000001"/>
    <n v="7119"/>
    <n v="86"/>
    <n v="0.56399999999999995"/>
    <n v="7.6999999999999999E-2"/>
    <n v="1.9864000000000001E-4"/>
    <n v="0.99980000000000002"/>
    <s v="25.68005861824089"/>
    <s v="19.27091263951533"/>
    <n v="66.474589233418001"/>
    <s v="1.7711962032001567"/>
    <n v="714422058"/>
    <x v="0"/>
    <n v="3.9890344000000002E-4"/>
    <x v="0"/>
  </r>
  <r>
    <n v="43"/>
    <n v="0"/>
    <n v="5"/>
    <n v="2"/>
    <n v="1"/>
    <n v="4"/>
    <n v="1"/>
    <n v="38"/>
    <n v="2"/>
    <n v="2"/>
    <n v="1"/>
    <n v="15987"/>
    <n v="1372"/>
    <n v="14615"/>
    <n v="0.64900000000000002"/>
    <n v="15058"/>
    <n v="109"/>
    <n v="0.91200000000000003"/>
    <n v="8.5999999999999993E-2"/>
    <s v="8.1644e-05"/>
    <n v="0.99992000000000003"/>
    <s v="10.387599712829722"/>
    <n v="38.765940291782201"/>
    <s v="155.31638232111325"/>
    <s v="11.06210659397084"/>
    <n v="809147283"/>
    <x v="0"/>
    <n v="3.5650693E-4"/>
    <x v="0"/>
  </r>
  <r>
    <n v="46"/>
    <n v="1"/>
    <n v="3"/>
    <n v="1"/>
    <n v="1"/>
    <n v="2"/>
    <n v="0"/>
    <n v="31"/>
    <n v="2"/>
    <n v="2"/>
    <n v="2"/>
    <n v="21161"/>
    <n v="1198"/>
    <n v="19963"/>
    <n v="0.78300000000000003"/>
    <n v="13119"/>
    <n v="104"/>
    <n v="0.625"/>
    <n v="5.7000000000000002E-2"/>
    <n v="1.7091E-4"/>
    <n v="0.99983"/>
    <s v="21.15368618801101"/>
    <s v="19.29906916085114"/>
    <s v="76.93651002633314"/>
    <s v="0.8484225718065781"/>
    <n v="779349783"/>
    <x v="0"/>
    <n v="3.9550033E-4"/>
    <x v="0"/>
  </r>
  <r>
    <n v="48"/>
    <n v="0"/>
    <n v="3"/>
    <n v="3"/>
    <n v="1"/>
    <n v="4"/>
    <n v="0"/>
    <n v="36"/>
    <n v="5"/>
    <n v="2"/>
    <n v="1"/>
    <n v="1438.3"/>
    <n v="0"/>
    <n v="1438.3"/>
    <n v="0.64600000000000002"/>
    <n v="4490"/>
    <n v="65"/>
    <n v="0.625"/>
    <n v="0"/>
    <s v="6.9242e-05"/>
    <n v="0.99992999999999999"/>
    <n v="30.014525908552098"/>
    <s v="15.371433619162646"/>
    <s v="135.28080105634868"/>
    <s v="23.96016182656166"/>
    <n v="716432658"/>
    <x v="0"/>
    <n v="7.8750840000000005E-4"/>
    <x v="0"/>
  </r>
  <r>
    <n v="43"/>
    <n v="1"/>
    <n v="1"/>
    <n v="2"/>
    <n v="2"/>
    <n v="3"/>
    <n v="3"/>
    <n v="37"/>
    <n v="4"/>
    <n v="3"/>
    <n v="2"/>
    <n v="34516"/>
    <n v="1440"/>
    <n v="33076"/>
    <n v="1.117"/>
    <n v="1575"/>
    <n v="34"/>
    <n v="2.4"/>
    <n v="4.2000000000000003E-2"/>
    <n v="1.5254999999999999E-4"/>
    <n v="0.99985000000000002"/>
    <s v="21.93456339333393"/>
    <s v="53.42821387158103"/>
    <s v="3.111759172444036"/>
    <s v="25.397090881977483"/>
    <n v="798983508"/>
    <x v="0"/>
    <n v="1.0985557E-3"/>
    <x v="0"/>
  </r>
  <r>
    <n v="26"/>
    <n v="0"/>
    <n v="0"/>
    <n v="3"/>
    <n v="1"/>
    <n v="4"/>
    <n v="0"/>
    <n v="18"/>
    <n v="5"/>
    <n v="3"/>
    <n v="2"/>
    <n v="5422"/>
    <n v="682"/>
    <n v="4740"/>
    <n v="0.89200000000000002"/>
    <n v="4460"/>
    <n v="62"/>
    <n v="0.67600000000000005"/>
    <n v="0.126"/>
    <n v="1.5004999999999999E-4"/>
    <n v="0.99985000000000002"/>
    <s v="43.98673061566791"/>
    <n v="6.25714475315878"/>
    <s v="65.43374984565877"/>
    <s v="2.4669275760980662"/>
    <n v="709077933"/>
    <x v="0"/>
    <n v="6.0599942999999999E-4"/>
    <x v="0"/>
  </r>
  <r>
    <n v="46"/>
    <n v="1"/>
    <n v="3"/>
    <n v="6"/>
    <n v="0"/>
    <n v="0"/>
    <n v="0"/>
    <n v="34"/>
    <n v="5"/>
    <n v="2"/>
    <n v="4"/>
    <n v="16284"/>
    <n v="0"/>
    <n v="16284"/>
    <n v="0.88900000000000001"/>
    <n v="3018"/>
    <n v="75"/>
    <n v="0.5"/>
    <n v="0"/>
    <n v="3.7246000000000002E-4"/>
    <n v="0.99963000000000002"/>
    <s v="8.641386838663768"/>
    <s v="0.9171107002366848"/>
    <s v="45.316184643696175"/>
    <s v="4.3790589876255055"/>
    <n v="720084183"/>
    <x v="0"/>
    <n v="9.0498339999999997E-4"/>
    <x v="0"/>
  </r>
  <r>
    <n v="45"/>
    <n v="1"/>
    <n v="2"/>
    <n v="2"/>
    <n v="1"/>
    <n v="3"/>
    <n v="0"/>
    <n v="36"/>
    <n v="4"/>
    <n v="3"/>
    <n v="3"/>
    <n v="24844"/>
    <n v="1273"/>
    <n v="23571"/>
    <n v="0.437"/>
    <n v="6549"/>
    <n v="75"/>
    <n v="0.97399999999999998"/>
    <n v="5.0999999999999997E-2"/>
    <n v="0.99670999999999998"/>
    <n v="3.29379E-3"/>
    <s v="16.39994768556786"/>
    <s v="7.885563567342321"/>
    <s v="82.71136265386883"/>
    <s v="16.870151703342497"/>
    <n v="712113558"/>
    <x v="1"/>
    <n v="0.98975265000000001"/>
    <x v="1"/>
  </r>
  <r>
    <n v="40"/>
    <n v="1"/>
    <n v="2"/>
    <n v="2"/>
    <n v="2"/>
    <n v="1"/>
    <n v="0"/>
    <n v="36"/>
    <n v="3"/>
    <n v="2"/>
    <n v="3"/>
    <n v="6033"/>
    <n v="0"/>
    <n v="6033"/>
    <n v="0.83399999999999996"/>
    <n v="4505"/>
    <n v="74"/>
    <n v="0.72099999999999997"/>
    <n v="0"/>
    <n v="1.9143E-4"/>
    <n v="0.99980999999999998"/>
    <s v="39.08300842805089"/>
    <s v="63.30141282852264"/>
    <s v="83.60923172225381"/>
    <s v="10.687939940575903"/>
    <n v="711396483"/>
    <x v="0"/>
    <n v="6.9517245999999998E-4"/>
    <x v="0"/>
  </r>
  <r>
    <n v="45"/>
    <n v="0"/>
    <n v="2"/>
    <n v="2"/>
    <n v="2"/>
    <n v="1"/>
    <n v="0"/>
    <n v="36"/>
    <n v="5"/>
    <n v="4"/>
    <n v="3"/>
    <n v="1438.3"/>
    <n v="986"/>
    <n v="452.3"/>
    <n v="0.64900000000000002"/>
    <n v="5136"/>
    <n v="81"/>
    <n v="0.8"/>
    <n v="0.68600000000000005"/>
    <n v="3.6558000000000001E-4"/>
    <n v="0.99963000000000002"/>
    <s v="16.49909878154227"/>
    <s v="5.208958813099927"/>
    <s v="120.67886948553604"/>
    <s v="5.0173944771611305"/>
    <n v="708545058"/>
    <x v="0"/>
    <n v="3.6347970000000002E-4"/>
    <x v="0"/>
  </r>
  <r>
    <n v="45"/>
    <n v="1"/>
    <n v="4"/>
    <n v="2"/>
    <n v="2"/>
    <n v="4"/>
    <n v="0"/>
    <n v="36"/>
    <n v="5"/>
    <n v="2"/>
    <n v="3"/>
    <n v="1438.3"/>
    <n v="1060"/>
    <n v="378.3"/>
    <n v="0.30099999999999999"/>
    <n v="1253"/>
    <n v="29"/>
    <n v="0.318"/>
    <n v="0.73699999999999999"/>
    <n v="0.99504000000000004"/>
    <n v="4.9552399999999996E-3"/>
    <s v="29.383187399275336"/>
    <n v="70.306391686169704"/>
    <s v="41.36962284568656"/>
    <s v="26.42334324679616"/>
    <n v="718230933"/>
    <x v="1"/>
    <n v="0.99466089999999996"/>
    <x v="1"/>
  </r>
  <r>
    <n v="26"/>
    <n v="0"/>
    <n v="0"/>
    <n v="6"/>
    <n v="2"/>
    <n v="5"/>
    <n v="0"/>
    <n v="13"/>
    <n v="4"/>
    <n v="1"/>
    <n v="2"/>
    <n v="4395"/>
    <n v="1240"/>
    <n v="3155"/>
    <n v="0.66200000000000003"/>
    <n v="2272"/>
    <n v="46"/>
    <n v="0.438"/>
    <n v="0.28199999999999997"/>
    <s v="5.1951e-05"/>
    <n v="0.99995000000000001"/>
    <s v="28.01415915947438"/>
    <n v="0.476586105118532"/>
    <s v="4.499290424578476"/>
    <s v="18.28352279469471"/>
    <n v="714248733"/>
    <x v="0"/>
    <n v="1.4998564000000001E-3"/>
    <x v="0"/>
  </r>
  <r>
    <n v="51"/>
    <n v="0"/>
    <n v="3"/>
    <n v="2"/>
    <n v="2"/>
    <n v="4"/>
    <n v="0"/>
    <n v="46"/>
    <n v="4"/>
    <n v="1"/>
    <n v="3"/>
    <n v="1792"/>
    <n v="989"/>
    <n v="803"/>
    <n v="1.202"/>
    <n v="3102"/>
    <n v="63"/>
    <n v="0.70299999999999996"/>
    <n v="0.55200000000000005"/>
    <s v="9.6126e-05"/>
    <n v="0.99990000000000001"/>
    <s v="34.46649484910092"/>
    <s v="55.13211184634421"/>
    <s v="12.274356892187528"/>
    <s v="5.851537704577965"/>
    <n v="713976258"/>
    <x v="0"/>
    <n v="3.4810643000000001E-4"/>
    <x v="0"/>
  </r>
  <r>
    <n v="51"/>
    <n v="0"/>
    <n v="1"/>
    <n v="3"/>
    <n v="2"/>
    <n v="4"/>
    <n v="0"/>
    <n v="33"/>
    <n v="6"/>
    <n v="3"/>
    <n v="3"/>
    <n v="2006"/>
    <n v="1608"/>
    <n v="398"/>
    <n v="1.0429999999999999"/>
    <n v="2760"/>
    <n v="38"/>
    <n v="0.65200000000000002"/>
    <n v="0.80200000000000005"/>
    <n v="0.99639"/>
    <n v="3.6085800000000001E-3"/>
    <s v="74.06810353065353"/>
    <s v="30.867506880690293"/>
    <n v="3.7877610047184298"/>
    <s v="19.121541351925515"/>
    <n v="716669658"/>
    <x v="1"/>
    <n v="0.99456279999999997"/>
    <x v="1"/>
  </r>
  <r>
    <n v="45"/>
    <n v="1"/>
    <n v="2"/>
    <n v="1"/>
    <n v="1"/>
    <n v="0"/>
    <n v="0"/>
    <n v="38"/>
    <n v="4"/>
    <n v="3"/>
    <n v="3"/>
    <n v="1686"/>
    <n v="0"/>
    <n v="1686"/>
    <n v="0.81200000000000006"/>
    <n v="4413"/>
    <n v="77"/>
    <n v="0.75"/>
    <n v="0"/>
    <n v="4.3772E-4"/>
    <n v="0.99956"/>
    <s v="51.71382517292222"/>
    <n v="9.2087628497096006"/>
    <s v="20.07944800515261"/>
    <s v="6.830180574082288"/>
    <n v="751607058"/>
    <x v="0"/>
    <n v="6.9517245999999998E-4"/>
    <x v="0"/>
  </r>
  <r>
    <n v="48"/>
    <n v="1"/>
    <n v="3"/>
    <n v="3"/>
    <n v="1"/>
    <n v="3"/>
    <n v="0"/>
    <n v="42"/>
    <n v="1"/>
    <n v="1"/>
    <n v="3"/>
    <n v="9959"/>
    <n v="0"/>
    <n v="9959"/>
    <n v="0.68799999999999994"/>
    <n v="805"/>
    <n v="24"/>
    <n v="0.14299999999999999"/>
    <n v="0"/>
    <n v="0.98941000000000001"/>
    <n v="1.059E-2"/>
    <s v="25.84220881037757"/>
    <s v="17.06431633669313"/>
    <s v="53.32880044534568"/>
    <s v="10.93391376384592"/>
    <n v="798792408"/>
    <x v="1"/>
    <n v="0.99877890000000003"/>
    <x v="1"/>
  </r>
  <r>
    <n v="34"/>
    <n v="0"/>
    <n v="3"/>
    <n v="5"/>
    <n v="2"/>
    <n v="1"/>
    <n v="0"/>
    <n v="27"/>
    <n v="3"/>
    <n v="2"/>
    <n v="4"/>
    <n v="2313"/>
    <n v="1775"/>
    <n v="538"/>
    <n v="0.77300000000000002"/>
    <n v="4317"/>
    <n v="68"/>
    <n v="0.54500000000000004"/>
    <n v="0.76700000000000002"/>
    <n v="3.4841000000000001E-4"/>
    <n v="0.99965000000000004"/>
    <s v="7.487010825862567"/>
    <s v="27.330858658024532"/>
    <s v="64.49294056502812"/>
    <s v="19.60085375660112"/>
    <n v="710277183"/>
    <x v="0"/>
    <n v="3.2914013999999999E-4"/>
    <x v="0"/>
  </r>
  <r>
    <n v="46"/>
    <n v="0"/>
    <n v="3"/>
    <n v="2"/>
    <n v="1"/>
    <n v="4"/>
    <n v="0"/>
    <n v="35"/>
    <n v="3"/>
    <n v="3"/>
    <n v="4"/>
    <n v="7578"/>
    <n v="1794"/>
    <n v="5784"/>
    <n v="0.62"/>
    <n v="5328"/>
    <n v="78"/>
    <n v="0.625"/>
    <n v="0.23699999999999999"/>
    <n v="5.3543000000000004E-4"/>
    <n v="0.99946000000000002"/>
    <s v="22.96144540914755"/>
    <s v="83.75404893669527"/>
    <s v="88.81760422493944"/>
    <s v="0.8125884598586688"/>
    <n v="789293358"/>
    <x v="0"/>
    <n v="4.2510232999999999E-4"/>
    <x v="0"/>
  </r>
  <r>
    <n v="38"/>
    <n v="0"/>
    <n v="2"/>
    <n v="6"/>
    <n v="1"/>
    <n v="5"/>
    <n v="0"/>
    <n v="33"/>
    <n v="4"/>
    <n v="3"/>
    <n v="3"/>
    <n v="3388"/>
    <n v="0"/>
    <n v="3388"/>
    <n v="0.36799999999999999"/>
    <n v="1959"/>
    <n v="52"/>
    <n v="0.85699999999999998"/>
    <n v="0"/>
    <n v="0.997"/>
    <n v="2.9974300000000001E-3"/>
    <s v="19.255679886837758"/>
    <s v="22.093356141331174"/>
    <s v="8.570400171857559"/>
    <n v="18.502469937474299"/>
    <n v="713163258"/>
    <x v="1"/>
    <n v="0.99767490000000003"/>
    <x v="1"/>
  </r>
  <r>
    <n v="46"/>
    <n v="1"/>
    <n v="3"/>
    <n v="3"/>
    <n v="1"/>
    <n v="2"/>
    <n v="0"/>
    <n v="36"/>
    <n v="4"/>
    <n v="3"/>
    <n v="1"/>
    <n v="4696"/>
    <n v="0"/>
    <n v="4696"/>
    <n v="0.73199999999999998"/>
    <n v="4828"/>
    <n v="62"/>
    <n v="1.583"/>
    <n v="0"/>
    <n v="1.0943E-4"/>
    <n v="0.99988999999999995"/>
    <s v="24.72879411969994"/>
    <s v="83.05758499516145"/>
    <s v="111.1282030432961"/>
    <s v="7.362809651405132"/>
    <n v="718657083"/>
    <x v="0"/>
    <n v="8.1245880000000001E-4"/>
    <x v="0"/>
  </r>
  <r>
    <n v="52"/>
    <n v="0"/>
    <n v="4"/>
    <n v="6"/>
    <n v="1"/>
    <n v="4"/>
    <n v="0"/>
    <n v="41"/>
    <n v="3"/>
    <n v="3"/>
    <n v="3"/>
    <n v="2294"/>
    <n v="1787"/>
    <n v="507"/>
    <n v="0.748"/>
    <n v="3904"/>
    <n v="76"/>
    <n v="0.85399999999999998"/>
    <n v="0.77900000000000003"/>
    <n v="3.4872000000000001E-4"/>
    <n v="0.99965000000000004"/>
    <s v="4.519126969342397"/>
    <n v="13.0028569400433"/>
    <s v="110.44258487730772"/>
    <n v="7.1180510073669403"/>
    <n v="710712783"/>
    <x v="0"/>
    <n v="3.2101269999999999E-4"/>
    <x v="0"/>
  </r>
  <r>
    <n v="49"/>
    <n v="0"/>
    <n v="1"/>
    <n v="2"/>
    <n v="1"/>
    <n v="4"/>
    <n v="0"/>
    <n v="36"/>
    <n v="6"/>
    <n v="2"/>
    <n v="1"/>
    <n v="5153"/>
    <n v="1378"/>
    <n v="3775"/>
    <n v="0.74399999999999999"/>
    <n v="4274"/>
    <n v="81"/>
    <n v="0.72299999999999998"/>
    <n v="0.26700000000000002"/>
    <s v="6.4428e-05"/>
    <n v="0.99994000000000005"/>
    <s v="16.964015515506873"/>
    <s v="53.075308947112056"/>
    <n v="117.87458349936099"/>
    <n v="5.0285356230447401E-2"/>
    <n v="717836733"/>
    <x v="0"/>
    <n v="3.2101269999999999E-4"/>
    <x v="0"/>
  </r>
  <r>
    <n v="43"/>
    <n v="0"/>
    <n v="4"/>
    <n v="2"/>
    <n v="1"/>
    <n v="4"/>
    <n v="0"/>
    <n v="29"/>
    <n v="6"/>
    <n v="3"/>
    <n v="3"/>
    <n v="3767"/>
    <n v="976"/>
    <n v="2791"/>
    <n v="1.0209999999999999"/>
    <n v="3163"/>
    <n v="60"/>
    <n v="0.81799999999999995"/>
    <n v="0.25900000000000001"/>
    <n v="3.1725999999999998E-4"/>
    <n v="0.99968000000000001"/>
    <n v="3.22597955418916"/>
    <s v="4.490660847624061"/>
    <s v="46.39070487555635"/>
    <s v="9.085100104402372"/>
    <n v="766131033"/>
    <x v="0"/>
    <n v="4.4346693999999998E-4"/>
    <x v="0"/>
  </r>
  <r>
    <n v="52"/>
    <n v="0"/>
    <n v="5"/>
    <n v="6"/>
    <n v="1"/>
    <n v="4"/>
    <n v="0"/>
    <n v="36"/>
    <n v="4"/>
    <n v="3"/>
    <n v="3"/>
    <n v="9611"/>
    <n v="0"/>
    <n v="9611"/>
    <n v="0.84"/>
    <n v="7636"/>
    <n v="64"/>
    <n v="0.82899999999999996"/>
    <n v="0"/>
    <n v="0.99709999999999999"/>
    <n v="2.90361E-3"/>
    <s v="52.02584002643946"/>
    <n v="34.870679860751899"/>
    <s v="79.91067303837715"/>
    <s v="5.463140772616808"/>
    <n v="720328983"/>
    <x v="1"/>
    <n v="0.99531170000000002"/>
    <x v="1"/>
  </r>
  <r>
    <n v="37"/>
    <n v="0"/>
    <n v="5"/>
    <n v="6"/>
    <n v="1"/>
    <n v="1"/>
    <n v="3"/>
    <n v="36"/>
    <n v="1"/>
    <n v="1"/>
    <n v="2"/>
    <n v="19055"/>
    <n v="2517"/>
    <n v="16538"/>
    <n v="0.91500000000000004"/>
    <n v="15091"/>
    <n v="124"/>
    <n v="0.67600000000000005"/>
    <n v="0.13200000000000001"/>
    <s v="5.6474e-05"/>
    <n v="0.99994000000000005"/>
    <s v="50.31708933334738"/>
    <n v="24.9532558673097"/>
    <s v="13.00453340533418"/>
    <s v="3.451450526329781"/>
    <n v="709373883"/>
    <x v="0"/>
    <n v="3.9377974E-4"/>
    <x v="0"/>
  </r>
  <r>
    <n v="46"/>
    <n v="0"/>
    <n v="4"/>
    <n v="6"/>
    <n v="1"/>
    <n v="4"/>
    <n v="0"/>
    <n v="38"/>
    <n v="5"/>
    <n v="2"/>
    <n v="3"/>
    <n v="3331"/>
    <n v="1307"/>
    <n v="2024"/>
    <n v="0.61699999999999999"/>
    <n v="3946"/>
    <n v="69"/>
    <n v="0.68300000000000005"/>
    <n v="0.39200000000000002"/>
    <n v="2.2068000000000001E-4"/>
    <n v="0.99978"/>
    <s v="48.94048743841187"/>
    <s v="25.54350783974181"/>
    <s v="49.637238486803696"/>
    <s v="1.6295755361907265"/>
    <n v="714034158"/>
    <x v="0"/>
    <n v="3.2101269999999999E-4"/>
    <x v="0"/>
  </r>
  <r>
    <n v="51"/>
    <n v="0"/>
    <n v="1"/>
    <n v="4"/>
    <n v="2"/>
    <n v="1"/>
    <n v="0"/>
    <n v="46"/>
    <n v="4"/>
    <n v="1"/>
    <n v="3"/>
    <n v="2275"/>
    <n v="1219"/>
    <n v="1056"/>
    <n v="0.63900000000000001"/>
    <n v="4807"/>
    <n v="72"/>
    <n v="0.6"/>
    <n v="0.53600000000000003"/>
    <n v="1.0231E-4"/>
    <n v="0.99990000000000001"/>
    <s v="66.54395448732632"/>
    <s v="4.0232778566148895"/>
    <s v="61.207037650048974"/>
    <s v="0.6456463241360691"/>
    <n v="809127858"/>
    <x v="0"/>
    <n v="3.2914013999999999E-4"/>
    <x v="0"/>
  </r>
  <r>
    <n v="44"/>
    <n v="0"/>
    <n v="3"/>
    <n v="3"/>
    <n v="2"/>
    <n v="4"/>
    <n v="0"/>
    <n v="25"/>
    <n v="2"/>
    <n v="1"/>
    <n v="1"/>
    <n v="2085"/>
    <n v="1528"/>
    <n v="557"/>
    <n v="0.66400000000000003"/>
    <n v="3805"/>
    <n v="79"/>
    <n v="0.79500000000000004"/>
    <n v="0.73299999999999998"/>
    <s v="3.3505e-05"/>
    <n v="0.99997000000000003"/>
    <s v="5.069022013893889"/>
    <s v="30.84880946852612"/>
    <n v="41.5846692722412"/>
    <s v="13.21368090070697"/>
    <n v="781183233"/>
    <x v="0"/>
    <n v="3.2101269999999999E-4"/>
    <x v="0"/>
  </r>
  <r>
    <n v="44"/>
    <n v="1"/>
    <n v="3"/>
    <n v="2"/>
    <n v="2"/>
    <n v="3"/>
    <n v="0"/>
    <n v="33"/>
    <n v="6"/>
    <n v="3"/>
    <n v="3"/>
    <n v="4131"/>
    <n v="785"/>
    <n v="3346"/>
    <n v="0.54300000000000004"/>
    <n v="906"/>
    <n v="22"/>
    <n v="1.2"/>
    <n v="0.19"/>
    <n v="3.1389999999999999E-4"/>
    <n v="0.99968999999999997"/>
    <s v="5.674959764636901"/>
    <s v="32.36197753251979"/>
    <n v="9.3097837988778096"/>
    <s v="15.609977277703994"/>
    <n v="772308408"/>
    <x v="0"/>
    <n v="1.8033020999999999E-3"/>
    <x v="0"/>
  </r>
  <r>
    <n v="37"/>
    <n v="1"/>
    <n v="3"/>
    <n v="5"/>
    <n v="3"/>
    <n v="3"/>
    <n v="0"/>
    <n v="36"/>
    <n v="4"/>
    <n v="2"/>
    <n v="3"/>
    <n v="9782"/>
    <n v="1793"/>
    <n v="7989"/>
    <n v="0.88600000000000001"/>
    <n v="3672"/>
    <n v="75"/>
    <n v="0.92300000000000004"/>
    <n v="0.183"/>
    <n v="2.0424000000000001E-4"/>
    <n v="0.99980000000000002"/>
    <s v="32.705358482858664"/>
    <s v="43.99864976472576"/>
    <s v="11.269440645708515"/>
    <n v="19.310538799757602"/>
    <n v="712271958"/>
    <x v="0"/>
    <n v="3.3750932000000002E-4"/>
    <x v="0"/>
  </r>
  <r>
    <n v="49"/>
    <n v="1"/>
    <n v="4"/>
    <n v="2"/>
    <n v="1"/>
    <n v="2"/>
    <n v="0"/>
    <n v="36"/>
    <n v="4"/>
    <n v="6"/>
    <n v="2"/>
    <n v="2952"/>
    <n v="2517"/>
    <n v="435"/>
    <n v="0.80900000000000005"/>
    <n v="3830"/>
    <n v="77"/>
    <n v="0.51"/>
    <n v="0.85299999999999998"/>
    <n v="1.4892E-4"/>
    <n v="0.99985000000000002"/>
    <s v="12.157004911641026"/>
    <s v="15.858745543635584"/>
    <n v="135.086537837836"/>
    <n v="0.97353571313405396"/>
    <n v="709381383"/>
    <x v="0"/>
    <n v="3.7218913000000001E-4"/>
    <x v="0"/>
  </r>
  <r>
    <n v="44"/>
    <n v="1"/>
    <n v="3"/>
    <n v="3"/>
    <n v="2"/>
    <n v="1"/>
    <n v="0"/>
    <n v="34"/>
    <n v="5"/>
    <n v="3"/>
    <n v="1"/>
    <n v="8997"/>
    <n v="708"/>
    <n v="8289"/>
    <n v="0.58599999999999997"/>
    <n v="4558"/>
    <n v="62"/>
    <n v="0.67600000000000005"/>
    <n v="7.9000000000000001E-2"/>
    <n v="1.0943E-4"/>
    <n v="0.99988999999999995"/>
    <s v="38.92927085680043"/>
    <s v="55.14114953564943"/>
    <s v="83.24789002447292"/>
    <s v="5.441989814159624"/>
    <n v="719277033"/>
    <x v="0"/>
    <n v="6.2337410000000003E-4"/>
    <x v="0"/>
  </r>
  <r>
    <n v="26"/>
    <n v="1"/>
    <n v="1"/>
    <n v="6"/>
    <n v="2"/>
    <n v="4"/>
    <n v="0"/>
    <n v="13"/>
    <n v="6"/>
    <n v="2"/>
    <n v="3"/>
    <n v="2479"/>
    <n v="828"/>
    <n v="1651"/>
    <n v="0.44"/>
    <n v="2225"/>
    <n v="44"/>
    <n v="0.29399999999999998"/>
    <n v="0.33400000000000002"/>
    <n v="1.9751E-4"/>
    <n v="0.99980000000000002"/>
    <s v="30.64040977431445"/>
    <s v="22.464262970692698"/>
    <s v="80.70161653792658"/>
    <s v="12.635776846796963"/>
    <n v="712452033"/>
    <x v="0"/>
    <n v="2.4606955999999999E-3"/>
    <x v="0"/>
  </r>
  <r>
    <n v="52"/>
    <n v="1"/>
    <n v="2"/>
    <n v="5"/>
    <n v="2"/>
    <n v="3"/>
    <n v="0"/>
    <n v="36"/>
    <n v="3"/>
    <n v="1"/>
    <n v="4"/>
    <n v="22103"/>
    <n v="1515"/>
    <n v="20588"/>
    <n v="0.50600000000000001"/>
    <n v="1541"/>
    <n v="29"/>
    <n v="0.318"/>
    <n v="6.9000000000000006E-2"/>
    <n v="1.6249E-4"/>
    <n v="0.99983999999999995"/>
    <s v="26.66016418579469"/>
    <s v="18.68474240765868"/>
    <s v="24.37700843269314"/>
    <s v="8.421707283326358"/>
    <n v="718136283"/>
    <x v="0"/>
    <n v="1.3718942999999999E-3"/>
    <x v="0"/>
  </r>
  <r>
    <n v="42"/>
    <n v="1"/>
    <n v="4"/>
    <n v="6"/>
    <n v="2"/>
    <n v="1"/>
    <n v="0"/>
    <n v="33"/>
    <n v="1"/>
    <n v="3"/>
    <n v="1"/>
    <n v="5306"/>
    <n v="2410"/>
    <n v="2896"/>
    <n v="0.73799999999999999"/>
    <n v="7437"/>
    <n v="94"/>
    <n v="0.70899999999999996"/>
    <n v="0.45400000000000001"/>
    <n v="1.2505E-4"/>
    <n v="0.99987000000000004"/>
    <s v="30.671210122832672"/>
    <n v="55.485142974126397"/>
    <s v="137.53169696722907"/>
    <s v="10.44830636585954"/>
    <n v="711002058"/>
    <x v="0"/>
    <n v="3.6856539999999998E-4"/>
    <x v="0"/>
  </r>
  <r>
    <n v="41"/>
    <n v="1"/>
    <n v="3"/>
    <n v="2"/>
    <n v="1"/>
    <n v="0"/>
    <n v="0"/>
    <n v="31"/>
    <n v="3"/>
    <n v="3"/>
    <n v="2"/>
    <n v="11789"/>
    <n v="1420"/>
    <n v="10369"/>
    <n v="0.65900000000000003"/>
    <n v="1463"/>
    <n v="32"/>
    <n v="0.68400000000000005"/>
    <n v="0.12"/>
    <n v="1.8665000000000001E-4"/>
    <n v="0.99980999999999998"/>
    <s v="23.934266434243376"/>
    <n v="48.024163164274697"/>
    <s v="76.38404215700358"/>
    <n v="16.8954860235038"/>
    <n v="708431433"/>
    <x v="0"/>
    <n v="1.0634780000000001E-3"/>
    <x v="0"/>
  </r>
  <r>
    <n v="55"/>
    <n v="1"/>
    <n v="2"/>
    <n v="3"/>
    <n v="2"/>
    <n v="0"/>
    <n v="0"/>
    <n v="49"/>
    <n v="6"/>
    <n v="3"/>
    <n v="4"/>
    <n v="3029"/>
    <n v="1505"/>
    <n v="1524"/>
    <n v="0.56000000000000005"/>
    <n v="2394"/>
    <n v="50"/>
    <n v="0.47099999999999997"/>
    <n v="0.497"/>
    <n v="5.0162999999999998E-4"/>
    <n v="0.99950000000000006"/>
    <s v="22.293650331455847"/>
    <s v="117.41925007490502"/>
    <s v="43.61129475510818"/>
    <s v="3.2582912582804435"/>
    <n v="718837683"/>
    <x v="0"/>
    <n v="1.237803E-3"/>
    <x v="0"/>
  </r>
  <r>
    <n v="57"/>
    <n v="0"/>
    <n v="2"/>
    <n v="2"/>
    <n v="1"/>
    <n v="4"/>
    <n v="0"/>
    <n v="36"/>
    <n v="5"/>
    <n v="1"/>
    <n v="3"/>
    <n v="1438.3"/>
    <n v="0"/>
    <n v="1438.3"/>
    <n v="0.56499999999999995"/>
    <n v="3848"/>
    <n v="75"/>
    <n v="0.70499999999999996"/>
    <n v="0"/>
    <s v="9.2637e-05"/>
    <n v="0.99990999999999997"/>
    <s v="20.197350157005214"/>
    <s v="0.4929421552520408"/>
    <s v="24.24616998447065"/>
    <s v="9.797184766887096"/>
    <n v="708281433"/>
    <x v="0"/>
    <n v="6.9517245999999998E-4"/>
    <x v="0"/>
  </r>
  <r>
    <n v="54"/>
    <n v="1"/>
    <n v="2"/>
    <n v="2"/>
    <n v="1"/>
    <n v="2"/>
    <n v="0"/>
    <n v="42"/>
    <n v="3"/>
    <n v="3"/>
    <n v="2"/>
    <n v="4320"/>
    <n v="0"/>
    <n v="4320"/>
    <n v="0.96699999999999997"/>
    <n v="706"/>
    <n v="21"/>
    <n v="0.5"/>
    <n v="0"/>
    <n v="0.99446999999999997"/>
    <n v="5.5300000000000002E-3"/>
    <s v="64.95502742207563"/>
    <s v="47.92815815133312"/>
    <s v="27.936743863150745"/>
    <s v="10.10616164228839"/>
    <n v="789842283"/>
    <x v="1"/>
    <n v="0.99870884000000004"/>
    <x v="1"/>
  </r>
  <r>
    <n v="46"/>
    <n v="1"/>
    <n v="4"/>
    <n v="2"/>
    <n v="0"/>
    <n v="2"/>
    <n v="0"/>
    <n v="41"/>
    <n v="4"/>
    <n v="2"/>
    <n v="1"/>
    <n v="5397"/>
    <n v="2336"/>
    <n v="3061"/>
    <n v="0.67"/>
    <n v="4734"/>
    <n v="96"/>
    <n v="0.84599999999999997"/>
    <n v="0.433"/>
    <s v="7.1987e-05"/>
    <n v="0.99992999999999999"/>
    <s v="9.415805746229433"/>
    <s v="4.7321466171816695"/>
    <n v="150.719522114727"/>
    <s v="26.183367969955334"/>
    <n v="811775883"/>
    <x v="0"/>
    <n v="3.2101269999999999E-4"/>
    <x v="0"/>
  </r>
  <r>
    <n v="47"/>
    <n v="1"/>
    <n v="5"/>
    <n v="6"/>
    <n v="2"/>
    <n v="0"/>
    <n v="0"/>
    <n v="39"/>
    <n v="6"/>
    <n v="3"/>
    <n v="1"/>
    <n v="3889"/>
    <n v="1839"/>
    <n v="2050"/>
    <n v="0.91100000000000003"/>
    <n v="4423"/>
    <n v="63"/>
    <n v="0.70299999999999996"/>
    <n v="0.47299999999999998"/>
    <n v="1.2310000000000001E-4"/>
    <n v="0.99987999999999999"/>
    <s v="11.950953368077752"/>
    <s v="7.065981320392775"/>
    <s v="33.13105668983413"/>
    <s v="3.942316118452058"/>
    <n v="716453883"/>
    <x v="0"/>
    <n v="3.4075615E-4"/>
    <x v="0"/>
  </r>
  <r>
    <n v="42"/>
    <n v="0"/>
    <n v="4"/>
    <n v="3"/>
    <n v="2"/>
    <n v="4"/>
    <n v="0"/>
    <n v="19"/>
    <n v="3"/>
    <n v="2"/>
    <n v="0"/>
    <n v="1438.3"/>
    <n v="0"/>
    <n v="1438.3"/>
    <n v="0.67600000000000005"/>
    <n v="3786"/>
    <n v="67"/>
    <n v="0.52300000000000002"/>
    <n v="0"/>
    <s v="4.2806e-05"/>
    <n v="0.99995999999999996"/>
    <s v="22.148637950560538"/>
    <s v="29.825382626175116"/>
    <s v="72.69626907130375"/>
    <s v="13.10302865748493"/>
    <n v="713372583"/>
    <x v="0"/>
    <n v="7.9661230000000003E-4"/>
    <x v="0"/>
  </r>
  <r>
    <n v="43"/>
    <n v="1"/>
    <n v="3"/>
    <n v="2"/>
    <n v="2"/>
    <n v="1"/>
    <n v="0"/>
    <n v="35"/>
    <n v="5"/>
    <n v="3"/>
    <n v="2"/>
    <n v="6080"/>
    <n v="787"/>
    <n v="5293"/>
    <n v="0.97499999999999998"/>
    <n v="4866"/>
    <n v="56"/>
    <n v="0.64700000000000002"/>
    <n v="0.129"/>
    <n v="0.99467000000000005"/>
    <n v="5.3299999999999997E-3"/>
    <s v="65.68473112774686"/>
    <s v="26.066664233694222"/>
    <s v="22.45262985261087"/>
    <s v="14.25228139245656"/>
    <n v="710958933"/>
    <x v="1"/>
    <n v="0.99213713000000003"/>
    <x v="1"/>
  </r>
  <r>
    <n v="43"/>
    <n v="0"/>
    <n v="4"/>
    <n v="6"/>
    <n v="1"/>
    <n v="4"/>
    <n v="0"/>
    <n v="24"/>
    <n v="6"/>
    <n v="2"/>
    <n v="3"/>
    <n v="1679"/>
    <n v="951"/>
    <n v="728"/>
    <n v="0.70599999999999996"/>
    <n v="2492"/>
    <n v="43"/>
    <n v="0.59299999999999997"/>
    <n v="0.56599999999999995"/>
    <n v="0.99548999999999999"/>
    <n v="4.5100699999999997E-3"/>
    <s v="33.79949595080397"/>
    <s v="10.23629045469532"/>
    <s v="117.46622829729316"/>
    <s v="23.546466091107696"/>
    <n v="719894433"/>
    <x v="1"/>
    <n v="0.99620299999999995"/>
    <x v="1"/>
  </r>
  <r>
    <n v="54"/>
    <n v="1"/>
    <n v="1"/>
    <n v="2"/>
    <n v="1"/>
    <n v="1"/>
    <n v="0"/>
    <n v="44"/>
    <n v="5"/>
    <n v="1"/>
    <n v="1"/>
    <n v="1438.3"/>
    <n v="0"/>
    <n v="1438.3"/>
    <n v="0.57599999999999996"/>
    <n v="1585"/>
    <n v="37"/>
    <n v="0.60899999999999999"/>
    <n v="0"/>
    <s v="3.1176e-05"/>
    <n v="0.99997000000000003"/>
    <s v="25.97637518850394"/>
    <s v="102.6674659794671"/>
    <s v="47.932319643884654"/>
    <s v="21.33922852892039"/>
    <n v="720450108"/>
    <x v="0"/>
    <n v="3.7827827E-3"/>
    <x v="0"/>
  </r>
  <r>
    <n v="50"/>
    <n v="0"/>
    <n v="2"/>
    <n v="3"/>
    <n v="2"/>
    <n v="4"/>
    <n v="0"/>
    <n v="43"/>
    <n v="4"/>
    <n v="2"/>
    <n v="1"/>
    <n v="2974"/>
    <n v="2090"/>
    <n v="884"/>
    <n v="0.97499999999999998"/>
    <n v="4297"/>
    <n v="88"/>
    <n v="0.83299999999999996"/>
    <n v="0.70299999999999996"/>
    <s v="6.6728e-05"/>
    <n v="0.99992999999999999"/>
    <s v="13.06171363358772"/>
    <s v="78.89855320612365"/>
    <s v="76.92905508573563"/>
    <n v="3.3948489216669998E-4"/>
    <n v="790123983"/>
    <x v="0"/>
    <n v="3.221314E-4"/>
    <x v="0"/>
  </r>
  <r>
    <n v="48"/>
    <n v="1"/>
    <n v="3"/>
    <n v="3"/>
    <n v="2"/>
    <n v="3"/>
    <n v="0"/>
    <n v="35"/>
    <n v="3"/>
    <n v="3"/>
    <n v="4"/>
    <n v="11851"/>
    <n v="0"/>
    <n v="11851"/>
    <n v="0.43"/>
    <n v="4498"/>
    <n v="73"/>
    <n v="0.622"/>
    <n v="0"/>
    <n v="5.2052000000000001E-4"/>
    <n v="0.99948000000000004"/>
    <s v="16.125272503422163"/>
    <s v="2.674973859358427"/>
    <n v="46.7620152189645"/>
    <s v="11.688297457108964"/>
    <n v="708917133"/>
    <x v="0"/>
    <n v="7.1276520000000004E-4"/>
    <x v="0"/>
  </r>
  <r>
    <n v="42"/>
    <n v="1"/>
    <n v="3"/>
    <n v="3"/>
    <n v="1"/>
    <n v="3"/>
    <n v="0"/>
    <n v="36"/>
    <n v="2"/>
    <n v="3"/>
    <n v="3"/>
    <n v="18177"/>
    <n v="841"/>
    <n v="17336"/>
    <n v="0.88800000000000001"/>
    <n v="8512"/>
    <n v="94"/>
    <n v="0.67900000000000005"/>
    <n v="4.5999999999999999E-2"/>
    <n v="3.0516000000000001E-4"/>
    <n v="0.99968999999999997"/>
    <s v="25.724894554762518"/>
    <s v="62.53163183346469"/>
    <s v="33.65488740093096"/>
    <s v="19.47112819735428"/>
    <n v="715091208"/>
    <x v="0"/>
    <n v="6.5786554E-4"/>
    <x v="0"/>
  </r>
  <r>
    <n v="48"/>
    <n v="0"/>
    <n v="3"/>
    <n v="3"/>
    <n v="1"/>
    <n v="5"/>
    <n v="3"/>
    <n v="36"/>
    <n v="4"/>
    <n v="2"/>
    <n v="3"/>
    <n v="32611"/>
    <n v="1718"/>
    <n v="30893"/>
    <n v="0.97099999999999997"/>
    <n v="3916"/>
    <n v="61"/>
    <n v="0.60499999999999998"/>
    <n v="5.2999999999999999E-2"/>
    <n v="1.7448999999999999E-4"/>
    <n v="0.99983"/>
    <n v="72.667939251410701"/>
    <s v="15.980336305596555"/>
    <s v="36.663705688666006"/>
    <s v="3.4367942334070043"/>
    <n v="711117108"/>
    <x v="0"/>
    <n v="4.0743620000000002E-4"/>
    <x v="0"/>
  </r>
  <r>
    <n v="53"/>
    <n v="1"/>
    <n v="1"/>
    <n v="2"/>
    <n v="0"/>
    <n v="3"/>
    <n v="0"/>
    <n v="35"/>
    <n v="5"/>
    <n v="4"/>
    <n v="2"/>
    <n v="34516"/>
    <n v="1219"/>
    <n v="33297"/>
    <n v="1.129"/>
    <n v="1590"/>
    <n v="27"/>
    <n v="2"/>
    <n v="3.5000000000000003E-2"/>
    <n v="2.0404E-4"/>
    <n v="0.99980000000000002"/>
    <s v="8.120431697171819"/>
    <s v="28.851686291294897"/>
    <s v="27.112207445118173"/>
    <s v="13.979504722275802"/>
    <n v="794543958"/>
    <x v="0"/>
    <n v="1.0985557E-3"/>
    <x v="0"/>
  </r>
  <r>
    <n v="60"/>
    <n v="0"/>
    <n v="2"/>
    <n v="6"/>
    <n v="1"/>
    <n v="4"/>
    <n v="0"/>
    <n v="36"/>
    <n v="6"/>
    <n v="3"/>
    <n v="2"/>
    <n v="2343"/>
    <n v="2066"/>
    <n v="277"/>
    <n v="0.72"/>
    <n v="4858"/>
    <n v="69"/>
    <n v="0.91700000000000004"/>
    <n v="0.88200000000000001"/>
    <n v="1.9771E-4"/>
    <n v="0.99980000000000002"/>
    <s v="4.906245930531509"/>
    <s v="28.362222228927006"/>
    <s v="99.77204244143924"/>
    <n v="7.0388458334414601"/>
    <n v="714777858"/>
    <x v="0"/>
    <n v="3.2101269999999999E-4"/>
    <x v="0"/>
  </r>
  <r>
    <n v="49"/>
    <n v="0"/>
    <n v="4"/>
    <n v="2"/>
    <n v="3"/>
    <n v="4"/>
    <n v="0"/>
    <n v="36"/>
    <n v="6"/>
    <n v="4"/>
    <n v="2"/>
    <n v="3298"/>
    <n v="2200"/>
    <n v="1098"/>
    <n v="0.67800000000000005"/>
    <n v="1052"/>
    <n v="32"/>
    <n v="0.6"/>
    <n v="0.66700000000000004"/>
    <n v="2.2797E-4"/>
    <n v="0.99977000000000005"/>
    <s v="31.803226829206626"/>
    <n v="80.528746039801007"/>
    <s v="43.72407777409305"/>
    <s v="6.985042826779592"/>
    <n v="717891558"/>
    <x v="0"/>
    <n v="1.1454669E-3"/>
    <x v="0"/>
  </r>
  <r>
    <n v="39"/>
    <n v="1"/>
    <n v="1"/>
    <n v="2"/>
    <n v="1"/>
    <n v="4"/>
    <n v="3"/>
    <n v="30"/>
    <n v="4"/>
    <n v="3"/>
    <n v="3"/>
    <n v="14135"/>
    <n v="630"/>
    <n v="13505"/>
    <n v="0.64"/>
    <n v="13703"/>
    <n v="99"/>
    <n v="0.76800000000000002"/>
    <n v="4.4999999999999998E-2"/>
    <n v="2.5657000000000002E-4"/>
    <n v="0.99973999999999996"/>
    <s v="8.248610098938682"/>
    <s v="8.854307579444315"/>
    <s v="28.103930030296773"/>
    <s v="2.794112083686759"/>
    <n v="715544883"/>
    <x v="0"/>
    <n v="6.5472092999999999E-4"/>
    <x v="0"/>
  </r>
  <r>
    <n v="40"/>
    <n v="0"/>
    <n v="4"/>
    <n v="2"/>
    <n v="2"/>
    <n v="4"/>
    <n v="0"/>
    <n v="30"/>
    <n v="4"/>
    <n v="2"/>
    <n v="2"/>
    <n v="2558"/>
    <n v="0"/>
    <n v="2558"/>
    <n v="0.72799999999999998"/>
    <n v="4635"/>
    <n v="82"/>
    <n v="0.64"/>
    <n v="0"/>
    <n v="1.1937E-4"/>
    <n v="0.99987999999999999"/>
    <s v="36.96316658063649"/>
    <s v="26.725069106906048"/>
    <s v="37.65490783304679"/>
    <s v="14.581496800524802"/>
    <n v="720294258"/>
    <x v="0"/>
    <n v="7.1276520000000004E-4"/>
    <x v="0"/>
  </r>
  <r>
    <n v="52"/>
    <n v="0"/>
    <n v="2"/>
    <n v="3"/>
    <n v="2"/>
    <n v="4"/>
    <n v="0"/>
    <n v="47"/>
    <n v="5"/>
    <n v="2"/>
    <n v="3"/>
    <n v="7030"/>
    <n v="994"/>
    <n v="6036"/>
    <n v="0.72499999999999998"/>
    <n v="3211"/>
    <n v="69"/>
    <n v="0.72499999999999998"/>
    <n v="0.14099999999999999"/>
    <n v="1.861E-4"/>
    <n v="0.99980999999999998"/>
    <s v="13.975777472734896"/>
    <n v="5.2597338855834996"/>
    <s v="67.83202357228609"/>
    <s v="3.056612063671837"/>
    <n v="806264958"/>
    <x v="0"/>
    <n v="3.2101269999999999E-4"/>
    <x v="0"/>
  </r>
  <r>
    <n v="48"/>
    <n v="1"/>
    <n v="3"/>
    <n v="0"/>
    <n v="1"/>
    <n v="3"/>
    <n v="0"/>
    <n v="42"/>
    <n v="3"/>
    <n v="3"/>
    <n v="0"/>
    <n v="7477"/>
    <n v="0"/>
    <n v="7477"/>
    <n v="0.51100000000000001"/>
    <n v="1159"/>
    <n v="32"/>
    <n v="0.68400000000000005"/>
    <n v="0"/>
    <s v="6.6941e-05"/>
    <n v="0.99992999999999999"/>
    <s v="13.120581804865951"/>
    <n v="66.149734302765097"/>
    <s v="46.665593514454585"/>
    <s v="23.198724860840205"/>
    <n v="798473808"/>
    <x v="0"/>
    <n v="3.7955896E-3"/>
    <x v="0"/>
  </r>
  <r>
    <n v="50"/>
    <n v="0"/>
    <n v="1"/>
    <n v="5"/>
    <n v="3"/>
    <n v="4"/>
    <n v="3"/>
    <n v="36"/>
    <n v="4"/>
    <n v="2"/>
    <n v="2"/>
    <n v="11888"/>
    <n v="2090"/>
    <n v="9798"/>
    <n v="0.7"/>
    <n v="1137"/>
    <n v="30"/>
    <n v="0.76500000000000001"/>
    <n v="0.17599999999999999"/>
    <s v="9.9255e-05"/>
    <n v="0.99990000000000001"/>
    <n v="9.1768740906156001"/>
    <s v="2.875954723830364"/>
    <s v="24.380809472109394"/>
    <n v="0.73401386019897896"/>
    <n v="710806083"/>
    <x v="0"/>
    <n v="1.0337284E-3"/>
    <x v="0"/>
  </r>
  <r>
    <n v="55"/>
    <n v="1"/>
    <n v="1"/>
    <n v="1"/>
    <n v="2"/>
    <n v="2"/>
    <n v="0"/>
    <n v="36"/>
    <n v="3"/>
    <n v="3"/>
    <n v="3"/>
    <n v="15221"/>
    <n v="1166"/>
    <n v="14055"/>
    <n v="0.83899999999999997"/>
    <n v="3848"/>
    <n v="68"/>
    <n v="0.61899999999999999"/>
    <n v="7.6999999999999999E-2"/>
    <n v="4.1086999999999997E-4"/>
    <n v="0.99958999999999998"/>
    <s v="28.16989053677317"/>
    <s v="13.279353165533212"/>
    <s v="64.72526865129136"/>
    <s v="10.142067907418031"/>
    <n v="714532158"/>
    <x v="0"/>
    <n v="3.4743935000000002E-4"/>
    <x v="0"/>
  </r>
  <r>
    <n v="53"/>
    <n v="1"/>
    <n v="3"/>
    <n v="5"/>
    <n v="1"/>
    <n v="3"/>
    <n v="0"/>
    <n v="42"/>
    <n v="2"/>
    <n v="1"/>
    <n v="2"/>
    <n v="26792"/>
    <n v="1836"/>
    <n v="24956"/>
    <n v="1.4319999999999999"/>
    <n v="2398"/>
    <n v="47"/>
    <n v="0.88"/>
    <n v="6.9000000000000006E-2"/>
    <s v="5.8763e-05"/>
    <n v="0.99994000000000005"/>
    <s v="1.956167021727594"/>
    <n v="38.2314044187234"/>
    <s v="78.20970222361336"/>
    <s v="5.044123384300682"/>
    <n v="716264358"/>
    <x v="0"/>
    <n v="1.3726190000000001E-3"/>
    <x v="0"/>
  </r>
  <r>
    <n v="44"/>
    <n v="0"/>
    <n v="3"/>
    <n v="5"/>
    <n v="2"/>
    <n v="4"/>
    <n v="0"/>
    <n v="36"/>
    <n v="5"/>
    <n v="3"/>
    <n v="3"/>
    <n v="4307"/>
    <n v="0"/>
    <n v="4307"/>
    <n v="0.745"/>
    <n v="1628"/>
    <n v="37"/>
    <n v="0.54200000000000004"/>
    <n v="0"/>
    <n v="3.2275000000000001E-4"/>
    <n v="0.99968000000000001"/>
    <s v="9.500285716530588"/>
    <s v="19.685243402602747"/>
    <n v="92.858540189603403"/>
    <s v="3.751069193464841"/>
    <n v="709852908"/>
    <x v="0"/>
    <n v="4.459518E-3"/>
    <x v="0"/>
  </r>
  <r>
    <n v="36"/>
    <n v="1"/>
    <n v="2"/>
    <n v="5"/>
    <n v="1"/>
    <n v="2"/>
    <n v="0"/>
    <n v="21"/>
    <n v="4"/>
    <n v="1"/>
    <n v="5"/>
    <n v="12763"/>
    <n v="2517"/>
    <n v="10246"/>
    <n v="1.631"/>
    <n v="2599"/>
    <n v="46"/>
    <n v="0.91700000000000004"/>
    <n v="0.19700000000000001"/>
    <n v="2.8116000000000003E-4"/>
    <n v="0.99972000000000005"/>
    <s v="91.09078879227202"/>
    <n v="10.680642579157601"/>
    <s v="24.619761080211056"/>
    <s v="9.181031586420389"/>
    <n v="721055058"/>
    <x v="0"/>
    <n v="1.0889086E-3"/>
    <x v="0"/>
  </r>
  <r>
    <n v="53"/>
    <n v="0"/>
    <n v="2"/>
    <n v="2"/>
    <n v="1"/>
    <n v="4"/>
    <n v="3"/>
    <n v="45"/>
    <n v="1"/>
    <n v="2"/>
    <n v="1"/>
    <n v="12100"/>
    <n v="1350"/>
    <n v="10750"/>
    <n v="0.85399999999999998"/>
    <n v="13138"/>
    <n v="115"/>
    <n v="0.66700000000000004"/>
    <n v="0.112"/>
    <s v="6.2021e-05"/>
    <n v="0.99994000000000005"/>
    <s v="1.0615830317308912"/>
    <s v="14.838531743880772"/>
    <s v="96.25279503681016"/>
    <s v="7.108760861901359"/>
    <n v="714593883"/>
    <x v="0"/>
    <n v="3.4656386999999997E-4"/>
    <x v="0"/>
  </r>
  <r>
    <n v="33"/>
    <n v="1"/>
    <n v="2"/>
    <n v="5"/>
    <n v="2"/>
    <n v="1"/>
    <n v="0"/>
    <n v="18"/>
    <n v="1"/>
    <n v="1"/>
    <n v="6"/>
    <n v="5600"/>
    <n v="2517"/>
    <n v="3083"/>
    <n v="0.628"/>
    <n v="2296"/>
    <n v="46"/>
    <n v="0.58599999999999997"/>
    <n v="0.44900000000000001"/>
    <n v="0.99797999999999998"/>
    <n v="2.0215799999999998E-3"/>
    <s v="39.677480157222696"/>
    <s v="38.87106616211803"/>
    <s v="139.31865995640567"/>
    <s v="7.491489414787487"/>
    <n v="712563408"/>
    <x v="1"/>
    <n v="0.9936931"/>
    <x v="1"/>
  </r>
  <r>
    <n v="43"/>
    <n v="1"/>
    <n v="5"/>
    <n v="2"/>
    <n v="1"/>
    <n v="0"/>
    <n v="0"/>
    <n v="36"/>
    <n v="6"/>
    <n v="2"/>
    <n v="4"/>
    <n v="22355"/>
    <n v="2179"/>
    <n v="20176"/>
    <n v="0.72599999999999998"/>
    <n v="14268"/>
    <n v="99"/>
    <n v="0.8"/>
    <n v="9.7000000000000003E-2"/>
    <n v="3.3713999999999999E-4"/>
    <n v="0.99965999999999999"/>
    <s v="17.424897920335006"/>
    <s v="60.523034583159166"/>
    <s v="5.256096454326454"/>
    <s v="1.4302018978626296"/>
    <n v="715545933"/>
    <x v="0"/>
    <n v="3.4656386999999997E-4"/>
    <x v="0"/>
  </r>
  <r>
    <n v="51"/>
    <n v="0"/>
    <n v="2"/>
    <n v="2"/>
    <n v="1"/>
    <n v="4"/>
    <n v="0"/>
    <n v="43"/>
    <n v="1"/>
    <n v="3"/>
    <n v="3"/>
    <n v="3683"/>
    <n v="1039"/>
    <n v="2644"/>
    <n v="0.59499999999999997"/>
    <n v="4684"/>
    <n v="86"/>
    <n v="0.755"/>
    <n v="0.28199999999999997"/>
    <n v="3.0250999999999998E-4"/>
    <n v="0.99970000000000003"/>
    <s v="22.762892661050447"/>
    <s v="48.40702205061319"/>
    <s v="5.703493322454005"/>
    <s v="2.9728408531502737"/>
    <n v="715148658"/>
    <x v="0"/>
    <n v="3.2101269999999999E-4"/>
    <x v="0"/>
  </r>
  <r>
    <n v="56"/>
    <n v="1"/>
    <n v="3"/>
    <n v="5"/>
    <n v="1"/>
    <n v="2"/>
    <n v="0"/>
    <n v="36"/>
    <n v="5"/>
    <n v="3"/>
    <n v="3"/>
    <n v="2253"/>
    <n v="1375"/>
    <n v="878"/>
    <n v="0.38800000000000001"/>
    <n v="1324"/>
    <n v="38"/>
    <n v="0.31"/>
    <n v="0.61"/>
    <n v="3.2275000000000001E-4"/>
    <n v="0.99968000000000001"/>
    <s v="7.091225687332772"/>
    <s v="51.70048903794704"/>
    <s v="83.21008941652558"/>
    <s v="5.479416527251259"/>
    <n v="717038733"/>
    <x v="0"/>
    <n v="1.1982243E-3"/>
    <x v="0"/>
  </r>
  <r>
    <n v="33"/>
    <n v="0"/>
    <n v="2"/>
    <n v="2"/>
    <n v="1"/>
    <n v="4"/>
    <n v="0"/>
    <n v="24"/>
    <n v="1"/>
    <n v="3"/>
    <n v="2"/>
    <n v="3731"/>
    <n v="0"/>
    <n v="3731"/>
    <n v="0.76700000000000002"/>
    <n v="13234"/>
    <n v="92"/>
    <n v="0.84"/>
    <n v="0"/>
    <n v="1.7987E-4"/>
    <n v="0.99982000000000004"/>
    <s v="26.994112929285613"/>
    <s v="58.84713672215078"/>
    <s v="100.49941081172489"/>
    <s v="15.622689968417893"/>
    <n v="715542783"/>
    <x v="0"/>
    <n v="7.5047980000000002E-4"/>
    <x v="0"/>
  </r>
  <r>
    <n v="42"/>
    <n v="0"/>
    <n v="3"/>
    <n v="2"/>
    <n v="2"/>
    <n v="4"/>
    <n v="0"/>
    <n v="27"/>
    <n v="6"/>
    <n v="2"/>
    <n v="2"/>
    <n v="2053"/>
    <n v="0"/>
    <n v="2053"/>
    <n v="0.86599999999999999"/>
    <n v="3053"/>
    <n v="50"/>
    <n v="0.56200000000000006"/>
    <n v="0"/>
    <n v="0.99160999999999999"/>
    <n v="8.3899999999999999E-3"/>
    <s v="7.397503080970366"/>
    <s v="7.0786229568872105"/>
    <s v="67.71254857524598"/>
    <s v="4.083180328915357"/>
    <n v="715304958"/>
    <x v="1"/>
    <n v="0.99823075999999999"/>
    <x v="1"/>
  </r>
  <r>
    <n v="47"/>
    <n v="1"/>
    <n v="1"/>
    <n v="5"/>
    <n v="3"/>
    <n v="3"/>
    <n v="0"/>
    <n v="34"/>
    <n v="4"/>
    <n v="1"/>
    <n v="3"/>
    <n v="20620"/>
    <n v="1085"/>
    <n v="19535"/>
    <n v="1.276"/>
    <n v="1477"/>
    <n v="23"/>
    <n v="0.53300000000000003"/>
    <n v="5.2999999999999999E-2"/>
    <s v="8.9404e-05"/>
    <n v="0.99990999999999997"/>
    <s v="31.28027528254549"/>
    <s v="30.058465874989214"/>
    <s v="79.65739018494733"/>
    <s v="19.489436183179578"/>
    <n v="771237933"/>
    <x v="0"/>
    <n v="1.2847681E-3"/>
    <x v="0"/>
  </r>
  <r>
    <n v="54"/>
    <n v="0"/>
    <n v="3"/>
    <n v="1"/>
    <n v="2"/>
    <n v="4"/>
    <n v="0"/>
    <n v="36"/>
    <n v="4"/>
    <n v="2"/>
    <n v="2"/>
    <n v="2778"/>
    <n v="743"/>
    <n v="2035"/>
    <n v="0.81200000000000006"/>
    <n v="4515"/>
    <n v="74"/>
    <n v="0.51"/>
    <n v="0.26700000000000002"/>
    <n v="1.7091E-4"/>
    <n v="0.99983"/>
    <s v="1.1658530743072508"/>
    <s v="11.11744455921769"/>
    <n v="37.886320362747803"/>
    <s v="12.835222859796565"/>
    <n v="714103908"/>
    <x v="0"/>
    <n v="5.845666E-4"/>
    <x v="0"/>
  </r>
  <r>
    <n v="44"/>
    <n v="1"/>
    <n v="4"/>
    <n v="2"/>
    <n v="1"/>
    <n v="3"/>
    <n v="0"/>
    <n v="36"/>
    <n v="3"/>
    <n v="2"/>
    <n v="3"/>
    <n v="19430"/>
    <n v="0"/>
    <n v="19430"/>
    <n v="1.012"/>
    <n v="3650"/>
    <n v="80"/>
    <n v="0.63300000000000001"/>
    <n v="0"/>
    <n v="2.0076999999999999E-4"/>
    <n v="0.99980000000000002"/>
    <s v="34.83840450512491"/>
    <s v="12.158339334465108"/>
    <s v="11.509112035736036"/>
    <s v="10.375453734255704"/>
    <n v="708361833"/>
    <x v="0"/>
    <n v="7.6589819999999995E-4"/>
    <x v="0"/>
  </r>
  <r>
    <n v="46"/>
    <n v="1"/>
    <n v="4"/>
    <n v="6"/>
    <n v="1"/>
    <n v="2"/>
    <n v="0"/>
    <n v="29"/>
    <n v="6"/>
    <n v="3"/>
    <n v="2"/>
    <n v="5735"/>
    <n v="2410"/>
    <n v="3325"/>
    <n v="0.61599999999999999"/>
    <n v="3908"/>
    <n v="75"/>
    <n v="0.63"/>
    <n v="0.42"/>
    <n v="2.0735E-4"/>
    <n v="0.99978999999999996"/>
    <n v="5.9008227812409304"/>
    <s v="62.042478135601016"/>
    <s v="47.24197802623274"/>
    <s v="6.871370595615927"/>
    <n v="779709033"/>
    <x v="0"/>
    <n v="3.2914013999999999E-4"/>
    <x v="0"/>
  </r>
  <r>
    <n v="50"/>
    <n v="1"/>
    <n v="4"/>
    <n v="2"/>
    <n v="2"/>
    <n v="3"/>
    <n v="0"/>
    <n v="36"/>
    <n v="3"/>
    <n v="2"/>
    <n v="4"/>
    <n v="14804"/>
    <n v="1696"/>
    <n v="13108"/>
    <n v="0.95899999999999996"/>
    <n v="15237"/>
    <n v="111"/>
    <n v="0.73399999999999999"/>
    <n v="0.115"/>
    <n v="3.4247999999999999E-4"/>
    <n v="0.99965999999999999"/>
    <n v="46.849190990014002"/>
    <s v="1.1687452422343936"/>
    <s v="12.46940504001476"/>
    <s v="5.701581497225263"/>
    <n v="715756683"/>
    <x v="0"/>
    <n v="3.6437239999999999E-4"/>
    <x v="0"/>
  </r>
  <r>
    <n v="50"/>
    <n v="0"/>
    <n v="4"/>
    <n v="2"/>
    <n v="1"/>
    <n v="4"/>
    <n v="0"/>
    <n v="36"/>
    <n v="6"/>
    <n v="2"/>
    <n v="2"/>
    <n v="2433"/>
    <n v="1948"/>
    <n v="485"/>
    <n v="0.752"/>
    <n v="4668"/>
    <n v="69"/>
    <n v="0.64300000000000002"/>
    <n v="0.80100000000000005"/>
    <n v="1.1937E-4"/>
    <n v="0.99987999999999999"/>
    <s v="27.768622972639424"/>
    <s v="31.178466388230543"/>
    <s v="44.804223666237625"/>
    <s v="13.297783458323504"/>
    <n v="718489608"/>
    <x v="0"/>
    <n v="3.2914013999999999E-4"/>
    <x v="0"/>
  </r>
  <r>
    <n v="38"/>
    <n v="0"/>
    <n v="0"/>
    <n v="2"/>
    <n v="2"/>
    <n v="4"/>
    <n v="0"/>
    <n v="32"/>
    <n v="6"/>
    <n v="3"/>
    <n v="3"/>
    <n v="1755"/>
    <n v="750"/>
    <n v="1005"/>
    <n v="0.65900000000000003"/>
    <n v="5000"/>
    <n v="79"/>
    <n v="0.83699999999999997"/>
    <n v="0.42699999999999999"/>
    <n v="2.5960000000000002E-4"/>
    <n v="0.99973999999999996"/>
    <s v="46.09868844662342"/>
    <s v="63.21686221962238"/>
    <s v="36.90500553947621"/>
    <s v="6.371940679297451"/>
    <n v="809445858"/>
    <x v="0"/>
    <n v="5.4489190000000002E-4"/>
    <x v="0"/>
  </r>
  <r>
    <n v="50"/>
    <n v="1"/>
    <n v="2"/>
    <n v="5"/>
    <n v="2"/>
    <n v="3"/>
    <n v="0"/>
    <n v="42"/>
    <n v="3"/>
    <n v="3"/>
    <n v="4"/>
    <n v="1645"/>
    <n v="0"/>
    <n v="1645"/>
    <n v="0.77100000000000002"/>
    <n v="3838"/>
    <n v="60"/>
    <n v="0.46300000000000002"/>
    <n v="0"/>
    <n v="5.3054999999999997E-4"/>
    <n v="0.99946999999999997"/>
    <s v="18.22725471040921"/>
    <s v="35.19648192557317"/>
    <s v="37.10390384065714"/>
    <s v="10.52317303904472"/>
    <n v="715054683"/>
    <x v="0"/>
    <n v="9.6421449999999998E-4"/>
    <x v="0"/>
  </r>
  <r>
    <n v="49"/>
    <n v="1"/>
    <n v="3"/>
    <n v="4"/>
    <n v="2"/>
    <n v="2"/>
    <n v="0"/>
    <n v="44"/>
    <n v="3"/>
    <n v="1"/>
    <n v="5"/>
    <n v="15027"/>
    <n v="0"/>
    <n v="15027"/>
    <n v="0.81100000000000005"/>
    <n v="3533"/>
    <n v="59"/>
    <n v="0.78800000000000003"/>
    <n v="0"/>
    <n v="3.3387E-4"/>
    <n v="0.99966999999999995"/>
    <s v="7.072377425008117"/>
    <s v="21.358671653226747"/>
    <s v="49.85620861307232"/>
    <s v="0.6767973409587034"/>
    <n v="807165033"/>
    <x v="0"/>
    <n v="9.5221170000000003E-4"/>
    <x v="0"/>
  </r>
  <r>
    <n v="63"/>
    <n v="1"/>
    <n v="0"/>
    <n v="3"/>
    <n v="1"/>
    <n v="3"/>
    <n v="0"/>
    <n v="51"/>
    <n v="3"/>
    <n v="3"/>
    <n v="4"/>
    <n v="10257"/>
    <n v="1021"/>
    <n v="9236"/>
    <n v="0.46700000000000003"/>
    <n v="1508"/>
    <n v="30"/>
    <n v="0.42899999999999999"/>
    <n v="0.1"/>
    <n v="4.3049000000000001E-4"/>
    <n v="0.99956999999999996"/>
    <s v="17.09227947406128"/>
    <s v="72.14447275035921"/>
    <s v="9.598750082150364"/>
    <s v="33.731150426762014"/>
    <n v="771649083"/>
    <x v="0"/>
    <n v="1.232702E-3"/>
    <x v="0"/>
  </r>
  <r>
    <n v="38"/>
    <n v="0"/>
    <n v="1"/>
    <n v="2"/>
    <n v="1"/>
    <n v="1"/>
    <n v="0"/>
    <n v="20"/>
    <n v="5"/>
    <n v="1"/>
    <n v="3"/>
    <n v="5153"/>
    <n v="2517"/>
    <n v="2636"/>
    <n v="1.488"/>
    <n v="3095"/>
    <n v="63"/>
    <n v="0.96899999999999997"/>
    <n v="0.48799999999999999"/>
    <s v="8.6952e-05"/>
    <n v="0.99990999999999997"/>
    <n v="33.018258085636504"/>
    <s v="9.370851553977582"/>
    <s v="74.86062887259928"/>
    <s v="7.011626661176101"/>
    <n v="712189233"/>
    <x v="0"/>
    <n v="3.7620155000000002E-4"/>
    <x v="0"/>
  </r>
  <r>
    <n v="47"/>
    <n v="1"/>
    <n v="5"/>
    <n v="2"/>
    <n v="2"/>
    <n v="0"/>
    <n v="0"/>
    <n v="27"/>
    <n v="5"/>
    <n v="3"/>
    <n v="4"/>
    <n v="11760"/>
    <n v="2306"/>
    <n v="9454"/>
    <n v="0.61599999999999999"/>
    <n v="1498"/>
    <n v="49"/>
    <n v="0.96"/>
    <n v="0.19600000000000001"/>
    <n v="5.3271999999999998E-4"/>
    <n v="0.99946999999999997"/>
    <s v="16.676245410640306"/>
    <s v="47.77689859940151"/>
    <s v="75.43252000925902"/>
    <s v="15.69196250852817"/>
    <n v="711688158"/>
    <x v="0"/>
    <n v="8.1453624000000005E-4"/>
    <x v="0"/>
  </r>
  <r>
    <n v="63"/>
    <n v="0"/>
    <n v="0"/>
    <n v="2"/>
    <n v="1"/>
    <n v="4"/>
    <n v="0"/>
    <n v="36"/>
    <n v="6"/>
    <n v="3"/>
    <n v="4"/>
    <n v="2107"/>
    <n v="1351"/>
    <n v="756"/>
    <n v="0.52100000000000002"/>
    <n v="1320"/>
    <n v="35"/>
    <n v="0.52200000000000002"/>
    <n v="0.64100000000000001"/>
    <n v="4.4282000000000002E-4"/>
    <n v="0.99956"/>
    <s v="13.639261467317755"/>
    <s v="34.877798851552505"/>
    <s v="27.023854086646487"/>
    <s v="18.955322211215123"/>
    <n v="712071708"/>
    <x v="0"/>
    <n v="1.1544054E-3"/>
    <x v="0"/>
  </r>
  <r>
    <n v="60"/>
    <n v="1"/>
    <n v="0"/>
    <n v="2"/>
    <n v="1"/>
    <n v="4"/>
    <n v="0"/>
    <n v="36"/>
    <n v="6"/>
    <n v="2"/>
    <n v="2"/>
    <n v="1976"/>
    <n v="1311"/>
    <n v="665"/>
    <n v="0.995"/>
    <n v="1498"/>
    <n v="43"/>
    <n v="0.53600000000000003"/>
    <n v="0.66300000000000003"/>
    <s v="9.7673e-05"/>
    <n v="0.99990000000000001"/>
    <s v="14.89777171481015"/>
    <s v="10.712465960880282"/>
    <s v="6.971977983206669"/>
    <s v="6.232564676384763"/>
    <n v="711697158"/>
    <x v="0"/>
    <n v="1.1544054E-3"/>
    <x v="0"/>
  </r>
  <r>
    <n v="43"/>
    <n v="1"/>
    <n v="4"/>
    <n v="3"/>
    <n v="1"/>
    <n v="1"/>
    <n v="0"/>
    <n v="36"/>
    <n v="5"/>
    <n v="3"/>
    <n v="2"/>
    <n v="13258"/>
    <n v="1721"/>
    <n v="11537"/>
    <n v="0.90800000000000003"/>
    <n v="1080"/>
    <n v="21"/>
    <n v="1.333"/>
    <n v="0.13"/>
    <n v="1.8338999999999999E-4"/>
    <n v="0.99982000000000004"/>
    <s v="32.53171364135814"/>
    <s v="5.066189659039753"/>
    <s v="52.498785243730936"/>
    <s v="2.535782749390233"/>
    <n v="716479233"/>
    <x v="0"/>
    <n v="1.0667827000000001E-3"/>
    <x v="0"/>
  </r>
  <r>
    <n v="55"/>
    <n v="1"/>
    <n v="4"/>
    <n v="4"/>
    <n v="1"/>
    <n v="3"/>
    <n v="0"/>
    <n v="43"/>
    <n v="6"/>
    <n v="2"/>
    <n v="4"/>
    <n v="21351"/>
    <n v="2517"/>
    <n v="18834"/>
    <n v="0.81799999999999995"/>
    <n v="1887"/>
    <n v="32"/>
    <n v="0.88200000000000001"/>
    <n v="0.11799999999999999"/>
    <n v="4.0297E-4"/>
    <n v="0.99960000000000004"/>
    <s v="4.883881712690022"/>
    <s v="12.198043591832825"/>
    <s v="104.88304837577624"/>
    <s v="2.6618042664404613"/>
    <n v="787489083"/>
    <x v="0"/>
    <n v="1.1030618000000001E-3"/>
    <x v="0"/>
  </r>
  <r>
    <n v="39"/>
    <n v="1"/>
    <n v="2"/>
    <n v="6"/>
    <n v="1"/>
    <n v="0"/>
    <n v="0"/>
    <n v="36"/>
    <n v="6"/>
    <n v="3"/>
    <n v="3"/>
    <n v="34516"/>
    <n v="2517"/>
    <n v="31999"/>
    <n v="1.052"/>
    <n v="7866"/>
    <n v="63"/>
    <n v="0.75"/>
    <n v="7.2999999999999995E-2"/>
    <n v="0.997"/>
    <n v="2.9974300000000001E-3"/>
    <s v="1.4971562426806413"/>
    <s v="58.88255017628479"/>
    <s v="141.11392062551906"/>
    <n v="9.2460683516251905"/>
    <n v="715321008"/>
    <x v="1"/>
    <n v="0.99097060000000003"/>
    <x v="1"/>
  </r>
  <r>
    <n v="49"/>
    <n v="0"/>
    <n v="3"/>
    <n v="2"/>
    <n v="3"/>
    <n v="1"/>
    <n v="0"/>
    <n v="41"/>
    <n v="3"/>
    <n v="2"/>
    <n v="2"/>
    <n v="3585"/>
    <n v="931"/>
    <n v="2654"/>
    <n v="0.62"/>
    <n v="4399"/>
    <n v="78"/>
    <n v="0.73299999999999998"/>
    <n v="0.26"/>
    <n v="1.1811000000000001E-4"/>
    <n v="0.99987999999999999"/>
    <s v="31.241720155524582"/>
    <s v="14.393239728806428"/>
    <s v="21.82076575413148"/>
    <s v="3.0082501806547683"/>
    <n v="716494383"/>
    <x v="0"/>
    <n v="3.9522952000000002E-4"/>
    <x v="0"/>
  </r>
  <r>
    <n v="51"/>
    <n v="1"/>
    <n v="2"/>
    <n v="2"/>
    <n v="1"/>
    <n v="1"/>
    <n v="0"/>
    <n v="40"/>
    <n v="5"/>
    <n v="1"/>
    <n v="2"/>
    <n v="12240"/>
    <n v="1566"/>
    <n v="10674"/>
    <n v="0.53900000000000003"/>
    <n v="1422"/>
    <n v="26"/>
    <n v="0.52900000000000003"/>
    <n v="0.128"/>
    <s v="5.5077e-05"/>
    <n v="0.99994000000000005"/>
    <n v="45.6294528473857"/>
    <s v="43.24302880872561"/>
    <s v="134.6143581697543"/>
    <s v="39.40495624061896"/>
    <n v="787550808"/>
    <x v="0"/>
    <n v="1.1544054E-3"/>
    <x v="0"/>
  </r>
  <r>
    <n v="55"/>
    <n v="0"/>
    <n v="1"/>
    <n v="2"/>
    <n v="3"/>
    <n v="4"/>
    <n v="0"/>
    <n v="36"/>
    <n v="4"/>
    <n v="2"/>
    <n v="2"/>
    <n v="3552"/>
    <n v="2517"/>
    <n v="1035"/>
    <n v="0.86499999999999999"/>
    <n v="2665"/>
    <n v="36"/>
    <n v="0.33300000000000002"/>
    <n v="0.70899999999999996"/>
    <n v="0.99073"/>
    <n v="9.2700000000000005E-3"/>
    <s v="30.45212351600677"/>
    <n v="8.2356709568798495E-2"/>
    <s v="152.31167913435922"/>
    <s v="5.302257928579811"/>
    <n v="720531633"/>
    <x v="1"/>
    <n v="0.99571025000000002"/>
    <x v="1"/>
  </r>
  <r>
    <n v="53"/>
    <n v="1"/>
    <n v="4"/>
    <n v="3"/>
    <n v="1"/>
    <n v="0"/>
    <n v="0"/>
    <n v="41"/>
    <n v="6"/>
    <n v="3"/>
    <n v="4"/>
    <n v="3401"/>
    <n v="1713"/>
    <n v="1688"/>
    <n v="0.77300000000000002"/>
    <n v="1924"/>
    <n v="54"/>
    <n v="0.317"/>
    <n v="0.504"/>
    <n v="5.2607999999999995E-4"/>
    <n v="0.99946999999999997"/>
    <n v="7.0007579113239196"/>
    <s v="32.21869117033173"/>
    <s v="52.91362368549549"/>
    <s v="3.633521514845609"/>
    <n v="721218408"/>
    <x v="0"/>
    <n v="6.728897E-4"/>
    <x v="0"/>
  </r>
  <r>
    <n v="34"/>
    <n v="0"/>
    <n v="4"/>
    <n v="2"/>
    <n v="2"/>
    <n v="4"/>
    <n v="0"/>
    <n v="28"/>
    <n v="3"/>
    <n v="2"/>
    <n v="3"/>
    <n v="1438.3"/>
    <n v="0"/>
    <n v="1438.3"/>
    <n v="0.72599999999999998"/>
    <n v="4626"/>
    <n v="86"/>
    <n v="0.79200000000000004"/>
    <n v="0"/>
    <n v="2.0076999999999999E-4"/>
    <n v="0.99980000000000002"/>
    <s v="10.362479758574551"/>
    <s v="29.710186896415262"/>
    <s v="109.40638955084792"/>
    <s v="22.29922683131823"/>
    <n v="769200858"/>
    <x v="0"/>
    <n v="6.9517245999999998E-4"/>
    <x v="0"/>
  </r>
  <r>
    <n v="55"/>
    <n v="0"/>
    <n v="2"/>
    <n v="6"/>
    <n v="2"/>
    <n v="4"/>
    <n v="0"/>
    <n v="36"/>
    <n v="3"/>
    <n v="3"/>
    <n v="2"/>
    <n v="1886"/>
    <n v="1023"/>
    <n v="863"/>
    <n v="0.70799999999999996"/>
    <n v="4233"/>
    <n v="81"/>
    <n v="0.88400000000000001"/>
    <n v="0.54200000000000004"/>
    <n v="1.9771E-4"/>
    <n v="0.99980000000000002"/>
    <s v="32.86782669478605"/>
    <s v="41.470193867695365"/>
    <s v="11.791752171106262"/>
    <s v="10.606474037968177"/>
    <n v="714525633"/>
    <x v="0"/>
    <n v="3.2101269999999999E-4"/>
    <x v="0"/>
  </r>
  <r>
    <n v="44"/>
    <n v="0"/>
    <n v="4"/>
    <n v="2"/>
    <n v="2"/>
    <n v="1"/>
    <n v="0"/>
    <n v="40"/>
    <n v="6"/>
    <n v="5"/>
    <n v="3"/>
    <n v="1572"/>
    <n v="874"/>
    <n v="698"/>
    <n v="0.94699999999999995"/>
    <n v="4996"/>
    <n v="80"/>
    <n v="0.73899999999999999"/>
    <n v="0.55600000000000005"/>
    <n v="3.5434000000000003E-4"/>
    <n v="0.99965000000000004"/>
    <s v="22.715826512956152"/>
    <s v="41.080073958657394"/>
    <s v="4.620189965126848"/>
    <s v="10.68244089789376"/>
    <n v="822056583"/>
    <x v="0"/>
    <n v="4.2309653000000003E-4"/>
    <x v="0"/>
  </r>
  <r>
    <n v="54"/>
    <n v="0"/>
    <n v="1"/>
    <n v="2"/>
    <n v="1"/>
    <n v="5"/>
    <n v="0"/>
    <n v="36"/>
    <n v="4"/>
    <n v="2"/>
    <n v="2"/>
    <n v="3137"/>
    <n v="959"/>
    <n v="2178"/>
    <n v="1.008"/>
    <n v="2925"/>
    <n v="41"/>
    <n v="0.41399999999999998"/>
    <n v="0.30599999999999999"/>
    <n v="0.99073"/>
    <n v="9.2700000000000005E-3"/>
    <s v="17.10953747898998"/>
    <s v="8.588109717565859"/>
    <s v="57.41695172660173"/>
    <s v="0.2536953678572613"/>
    <n v="716368008"/>
    <x v="1"/>
    <n v="0.99638784000000002"/>
    <x v="1"/>
  </r>
  <r>
    <n v="62"/>
    <n v="1"/>
    <n v="0"/>
    <n v="6"/>
    <n v="2"/>
    <n v="4"/>
    <n v="0"/>
    <n v="36"/>
    <n v="3"/>
    <n v="2"/>
    <n v="4"/>
    <n v="3653"/>
    <n v="1769"/>
    <n v="1884"/>
    <n v="0.82499999999999996"/>
    <n v="4423"/>
    <n v="67"/>
    <n v="0.76300000000000001"/>
    <n v="0.48399999999999999"/>
    <n v="3.0802999999999999E-4"/>
    <n v="0.99968999999999997"/>
    <s v="11.23900620383131"/>
    <s v="68.67980618328026"/>
    <s v="24.75254163176176"/>
    <n v="1.86216461623348"/>
    <n v="718565733"/>
    <x v="0"/>
    <n v="3.2101269999999999E-4"/>
    <x v="0"/>
  </r>
  <r>
    <n v="48"/>
    <n v="0"/>
    <n v="2"/>
    <n v="5"/>
    <n v="1"/>
    <n v="5"/>
    <n v="0"/>
    <n v="35"/>
    <n v="2"/>
    <n v="3"/>
    <n v="3"/>
    <n v="6074"/>
    <n v="0"/>
    <n v="6074"/>
    <n v="0.78200000000000003"/>
    <n v="4504"/>
    <n v="90"/>
    <n v="0.76500000000000001"/>
    <n v="0"/>
    <n v="3.1104E-4"/>
    <n v="0.99968999999999997"/>
    <s v="8.699133090614692"/>
    <s v="19.781244487242013"/>
    <s v="89.89616960506841"/>
    <s v="11.871302993547529"/>
    <n v="718370733"/>
    <x v="0"/>
    <n v="6.9517245999999998E-4"/>
    <x v="0"/>
  </r>
  <r>
    <n v="47"/>
    <n v="0"/>
    <n v="4"/>
    <n v="2"/>
    <n v="1"/>
    <n v="4"/>
    <n v="0"/>
    <n v="39"/>
    <n v="3"/>
    <n v="3"/>
    <n v="2"/>
    <n v="3144"/>
    <n v="0"/>
    <n v="3144"/>
    <n v="0.56100000000000005"/>
    <n v="3774"/>
    <n v="80"/>
    <n v="0.81799999999999995"/>
    <n v="0"/>
    <n v="1.8864000000000001E-4"/>
    <n v="0.99980999999999998"/>
    <s v="34.20373206595252"/>
    <s v="24.76522316176426"/>
    <s v="39.24693697619071"/>
    <s v="18.09480882553529"/>
    <n v="716736858"/>
    <x v="0"/>
    <n v="6.9517245999999998E-4"/>
    <x v="0"/>
  </r>
  <r>
    <n v="48"/>
    <n v="0"/>
    <n v="3"/>
    <n v="3"/>
    <n v="2"/>
    <n v="4"/>
    <n v="0"/>
    <n v="37"/>
    <n v="5"/>
    <n v="3"/>
    <n v="0"/>
    <n v="4361"/>
    <n v="806"/>
    <n v="3555"/>
    <n v="0.627"/>
    <n v="4518"/>
    <n v="84"/>
    <n v="0.75"/>
    <n v="0.185"/>
    <s v="6.6935e-05"/>
    <n v="0.99992999999999999"/>
    <s v="44.22339903777357"/>
    <s v="47.39454976470289"/>
    <s v="125.83558900281903"/>
    <s v="4.389975959478441"/>
    <n v="789209283"/>
    <x v="0"/>
    <n v="5.1030780000000005E-4"/>
    <x v="0"/>
  </r>
  <r>
    <n v="44"/>
    <n v="0"/>
    <n v="5"/>
    <n v="2"/>
    <n v="2"/>
    <n v="4"/>
    <n v="0"/>
    <n v="37"/>
    <n v="1"/>
    <n v="2"/>
    <n v="4"/>
    <n v="1491"/>
    <n v="0"/>
    <n v="1491"/>
    <n v="0.55100000000000005"/>
    <n v="1970"/>
    <n v="46"/>
    <n v="0.48399999999999999"/>
    <n v="0"/>
    <n v="0.99704000000000004"/>
    <n v="2.9563699999999998E-3"/>
    <s v="29.65563479998535"/>
    <s v="21.128295681043515"/>
    <s v="20.06614246639727"/>
    <s v="9.012218343600548"/>
    <n v="712706058"/>
    <x v="1"/>
    <n v="0.99842569999999997"/>
    <x v="1"/>
  </r>
  <r>
    <n v="53"/>
    <n v="1"/>
    <n v="2"/>
    <n v="2"/>
    <n v="1"/>
    <n v="1"/>
    <n v="0"/>
    <n v="36"/>
    <n v="2"/>
    <n v="3"/>
    <n v="4"/>
    <n v="5735"/>
    <n v="0"/>
    <n v="5735"/>
    <n v="1.0089999999999999"/>
    <n v="9088"/>
    <n v="64"/>
    <n v="0.68400000000000005"/>
    <n v="0"/>
    <n v="0.99807000000000001"/>
    <n v="1.93323E-3"/>
    <s v="5.484132830436491"/>
    <s v="44.22186711472872"/>
    <s v="18.406905926513573"/>
    <s v="5.740234049388727"/>
    <n v="715493733"/>
    <x v="1"/>
    <n v="0.99414259999999999"/>
    <x v="1"/>
  </r>
  <r>
    <n v="44"/>
    <n v="1"/>
    <n v="2"/>
    <n v="5"/>
    <n v="1"/>
    <n v="3"/>
    <n v="0"/>
    <n v="33"/>
    <n v="3"/>
    <n v="1"/>
    <n v="1"/>
    <n v="34496"/>
    <n v="1665"/>
    <n v="32831"/>
    <n v="0.88300000000000001"/>
    <n v="8092"/>
    <n v="80"/>
    <n v="0.66700000000000004"/>
    <n v="4.8000000000000001E-2"/>
    <s v="3.415e-05"/>
    <n v="0.99997000000000003"/>
    <s v="0.1003856861843071"/>
    <s v="15.234929591928086"/>
    <s v="3.890968334386612"/>
    <s v="17.62842674377794"/>
    <n v="718712583"/>
    <x v="0"/>
    <n v="5.6200559999999996E-4"/>
    <x v="0"/>
  </r>
  <r>
    <n v="45"/>
    <n v="1"/>
    <n v="3"/>
    <n v="5"/>
    <n v="0"/>
    <n v="3"/>
    <n v="0"/>
    <n v="25"/>
    <n v="2"/>
    <n v="2"/>
    <n v="3"/>
    <n v="6614"/>
    <n v="1881"/>
    <n v="4733"/>
    <n v="0.73699999999999999"/>
    <n v="3016"/>
    <n v="51"/>
    <n v="0.64500000000000002"/>
    <n v="0.28399999999999997"/>
    <n v="0.99512999999999996"/>
    <n v="4.8712599999999997E-3"/>
    <s v="23.27563683461637"/>
    <s v="1.1686329835295206"/>
    <s v="8.854255725774847"/>
    <s v="14.444557219290104"/>
    <n v="778606308"/>
    <x v="1"/>
    <n v="0.99461100000000002"/>
    <x v="1"/>
  </r>
  <r>
    <n v="42"/>
    <n v="1"/>
    <n v="2"/>
    <n v="2"/>
    <n v="1"/>
    <n v="2"/>
    <n v="0"/>
    <n v="35"/>
    <n v="6"/>
    <n v="1"/>
    <n v="2"/>
    <n v="2131"/>
    <n v="1288"/>
    <n v="843"/>
    <n v="0.79700000000000004"/>
    <n v="4264"/>
    <n v="81"/>
    <n v="0.84099999999999997"/>
    <n v="0.60399999999999998"/>
    <s v="5.5077e-05"/>
    <n v="0.99994000000000005"/>
    <s v="39.79738370178424"/>
    <s v="20.695822178207724"/>
    <s v="27.308792917897737"/>
    <n v="1.74325927011697"/>
    <n v="719834208"/>
    <x v="0"/>
    <n v="3.2101269999999999E-4"/>
    <x v="0"/>
  </r>
  <r>
    <n v="44"/>
    <n v="0"/>
    <n v="4"/>
    <n v="3"/>
    <n v="2"/>
    <n v="4"/>
    <n v="0"/>
    <n v="36"/>
    <n v="6"/>
    <n v="2"/>
    <n v="3"/>
    <n v="1656"/>
    <n v="1429"/>
    <n v="227"/>
    <n v="0.77700000000000002"/>
    <n v="4258"/>
    <n v="77"/>
    <n v="0.75"/>
    <n v="0.86299999999999999"/>
    <n v="1.9516999999999999E-4"/>
    <n v="0.99980000000000002"/>
    <n v="14.7270547045686"/>
    <s v="21.30969412189423"/>
    <s v="18.09879440179093"/>
    <s v="5.625919009272568"/>
    <n v="708585933"/>
    <x v="0"/>
    <n v="3.2101269999999999E-4"/>
    <x v="0"/>
  </r>
  <r>
    <n v="39"/>
    <n v="1"/>
    <n v="2"/>
    <n v="3"/>
    <n v="2"/>
    <n v="2"/>
    <n v="0"/>
    <n v="28"/>
    <n v="6"/>
    <n v="3"/>
    <n v="3"/>
    <n v="10331"/>
    <n v="957"/>
    <n v="9374"/>
    <n v="0.69899999999999995"/>
    <n v="3695"/>
    <n v="81"/>
    <n v="0.65300000000000002"/>
    <n v="9.2999999999999999E-2"/>
    <n v="2.9408E-4"/>
    <n v="0.99970999999999999"/>
    <s v="14.20733809467981"/>
    <s v="50.11147380779348"/>
    <s v="61.44367645085489"/>
    <s v="4.769019088144363"/>
    <n v="711256908"/>
    <x v="0"/>
    <n v="4.0656805999999998E-4"/>
    <x v="0"/>
  </r>
  <r>
    <n v="43"/>
    <n v="1"/>
    <n v="1"/>
    <n v="6"/>
    <n v="2"/>
    <n v="2"/>
    <n v="0"/>
    <n v="31"/>
    <n v="4"/>
    <n v="3"/>
    <n v="1"/>
    <n v="2283"/>
    <n v="1470"/>
    <n v="813"/>
    <n v="0.93500000000000005"/>
    <n v="5100"/>
    <n v="76"/>
    <n v="0.68899999999999995"/>
    <n v="0.64400000000000002"/>
    <n v="1.1192E-4"/>
    <n v="0.99988999999999995"/>
    <n v="30.377038574744599"/>
    <s v="42.88643932194588"/>
    <s v="7.080524192297219"/>
    <s v="21.171172760733533"/>
    <n v="711365133"/>
    <x v="0"/>
    <n v="3.221314E-4"/>
    <x v="0"/>
  </r>
  <r>
    <n v="48"/>
    <n v="0"/>
    <n v="3"/>
    <n v="3"/>
    <n v="3"/>
    <n v="4"/>
    <n v="0"/>
    <n v="36"/>
    <n v="2"/>
    <n v="1"/>
    <n v="1"/>
    <n v="1438.3"/>
    <n v="0"/>
    <n v="1438.3"/>
    <n v="0.88500000000000001"/>
    <n v="5014"/>
    <n v="84"/>
    <n v="0.90900000000000003"/>
    <n v="0"/>
    <s v="3.3505e-05"/>
    <n v="0.99997000000000003"/>
    <s v="14.163198816262213"/>
    <s v="6.794324723725942"/>
    <n v="2.79029405798078"/>
    <s v="4.574603026645011"/>
    <n v="718896108"/>
    <x v="0"/>
    <n v="7.1297199999999998E-4"/>
    <x v="0"/>
  </r>
  <r>
    <n v="47"/>
    <n v="0"/>
    <n v="4"/>
    <n v="2"/>
    <n v="3"/>
    <n v="1"/>
    <n v="0"/>
    <n v="29"/>
    <n v="6"/>
    <n v="1"/>
    <n v="3"/>
    <n v="2636"/>
    <n v="1589"/>
    <n v="1047"/>
    <n v="0.86399999999999999"/>
    <n v="3858"/>
    <n v="70"/>
    <n v="0.52200000000000002"/>
    <n v="0.60299999999999998"/>
    <s v="9.7154e-05"/>
    <n v="0.99990000000000001"/>
    <s v="61.308153880876425"/>
    <s v="28.20682667439143"/>
    <s v="69.27086657510033"/>
    <n v="8.9980138637001108"/>
    <n v="708774708"/>
    <x v="0"/>
    <n v="3.2914013999999999E-4"/>
    <x v="0"/>
  </r>
  <r>
    <n v="50"/>
    <n v="0"/>
    <n v="1"/>
    <n v="5"/>
    <n v="1"/>
    <n v="4"/>
    <n v="0"/>
    <n v="38"/>
    <n v="3"/>
    <n v="3"/>
    <n v="3"/>
    <n v="1438.3"/>
    <n v="0"/>
    <n v="1438.3"/>
    <n v="0.67900000000000005"/>
    <n v="4594"/>
    <n v="86"/>
    <n v="0.72"/>
    <n v="0"/>
    <n v="2.9196000000000002E-4"/>
    <n v="0.99970999999999999"/>
    <s v="26.702117483241302"/>
    <s v="33.69874682954065"/>
    <s v="156.87762284207133"/>
    <s v="4.876711877566772"/>
    <n v="720818658"/>
    <x v="0"/>
    <n v="6.9517245999999998E-4"/>
    <x v="0"/>
  </r>
  <r>
    <n v="48"/>
    <n v="1"/>
    <n v="4"/>
    <n v="1"/>
    <n v="3"/>
    <n v="3"/>
    <n v="0"/>
    <n v="40"/>
    <n v="3"/>
    <n v="2"/>
    <n v="2"/>
    <n v="3429"/>
    <n v="1268"/>
    <n v="2161"/>
    <n v="0.70299999999999996"/>
    <n v="4422"/>
    <n v="64"/>
    <n v="1.7829999999999999"/>
    <n v="0.37"/>
    <n v="1.7274E-4"/>
    <n v="0.99983"/>
    <s v="71.41042231276316"/>
    <n v="29.0965788143391"/>
    <s v="32.10838002229556"/>
    <s v="16.082426969090253"/>
    <n v="714336333"/>
    <x v="0"/>
    <n v="3.3750320000000002E-4"/>
    <x v="0"/>
  </r>
  <r>
    <n v="49"/>
    <n v="0"/>
    <n v="3"/>
    <n v="2"/>
    <n v="2"/>
    <n v="4"/>
    <n v="0"/>
    <n v="44"/>
    <n v="3"/>
    <n v="3"/>
    <n v="2"/>
    <n v="4364"/>
    <n v="1507"/>
    <n v="2857"/>
    <n v="1.05"/>
    <n v="1392"/>
    <n v="38"/>
    <n v="1.375"/>
    <n v="0.34499999999999997"/>
    <n v="1.8665000000000001E-4"/>
    <n v="0.99980999999999998"/>
    <s v="18.992916004544924"/>
    <s v="4.229065791727416"/>
    <s v="148.07024911500326"/>
    <s v="2.153473821623649"/>
    <n v="820584408"/>
    <x v="0"/>
    <n v="1.0249399E-3"/>
    <x v="0"/>
  </r>
  <r>
    <n v="48"/>
    <n v="0"/>
    <n v="2"/>
    <n v="0"/>
    <n v="1"/>
    <n v="4"/>
    <n v="0"/>
    <n v="36"/>
    <n v="4"/>
    <n v="3"/>
    <n v="1"/>
    <n v="1438.3"/>
    <n v="0"/>
    <n v="1438.3"/>
    <n v="0.74299999999999999"/>
    <n v="4913"/>
    <n v="82"/>
    <n v="0.82199999999999995"/>
    <n v="0"/>
    <n v="1.0546E-4"/>
    <n v="0.99988999999999995"/>
    <s v="15.25933866999042"/>
    <s v="63.98027227879093"/>
    <s v="115.87718005436923"/>
    <s v="19.545483004195678"/>
    <n v="711583458"/>
    <x v="0"/>
    <n v="6.9517245999999998E-4"/>
    <x v="0"/>
  </r>
  <r>
    <n v="50"/>
    <n v="1"/>
    <n v="3"/>
    <n v="2"/>
    <n v="0"/>
    <n v="2"/>
    <n v="0"/>
    <n v="39"/>
    <n v="5"/>
    <n v="1"/>
    <n v="3"/>
    <n v="6362"/>
    <n v="1709"/>
    <n v="4653"/>
    <n v="1.016"/>
    <n v="4476"/>
    <n v="85"/>
    <n v="0.73499999999999999"/>
    <n v="0.26900000000000002"/>
    <s v="9.6126e-05"/>
    <n v="0.99990000000000001"/>
    <s v="53.10939940561199"/>
    <n v="32.462540023898796"/>
    <s v="138.7783253890732"/>
    <s v="13.038774630022026"/>
    <n v="711808383"/>
    <x v="0"/>
    <n v="3.3750932000000002E-4"/>
    <x v="0"/>
  </r>
  <r>
    <n v="39"/>
    <n v="0"/>
    <n v="3"/>
    <n v="3"/>
    <n v="1"/>
    <n v="4"/>
    <n v="0"/>
    <n v="33"/>
    <n v="3"/>
    <n v="3"/>
    <n v="1"/>
    <n v="1968"/>
    <n v="1270"/>
    <n v="698"/>
    <n v="0.97499999999999998"/>
    <n v="4199"/>
    <n v="84"/>
    <n v="0.82599999999999996"/>
    <n v="0.64500000000000002"/>
    <n v="1.0943E-4"/>
    <n v="0.99988999999999995"/>
    <s v="20.061818559163587"/>
    <s v="1.0634779021964915"/>
    <s v="72.65537101418704"/>
    <s v="17.708149322103345"/>
    <n v="801053208"/>
    <x v="0"/>
    <n v="3.221314E-4"/>
    <x v="0"/>
  </r>
  <r>
    <n v="46"/>
    <n v="1"/>
    <n v="3"/>
    <n v="2"/>
    <n v="2"/>
    <n v="3"/>
    <n v="0"/>
    <n v="38"/>
    <n v="4"/>
    <n v="1"/>
    <n v="2"/>
    <n v="8101"/>
    <n v="1266"/>
    <n v="6835"/>
    <n v="0.61499999999999999"/>
    <n v="3226"/>
    <n v="53"/>
    <n v="0.71"/>
    <n v="0.156"/>
    <s v="5.7151e-05"/>
    <n v="0.99994000000000005"/>
    <s v="2.062527230645152"/>
    <s v="44.22057422704816"/>
    <s v="109.69213961185024"/>
    <s v="8.443497946183994"/>
    <n v="709289358"/>
    <x v="0"/>
    <n v="7.0019750000000001E-4"/>
    <x v="0"/>
  </r>
  <r>
    <n v="29"/>
    <n v="1"/>
    <n v="2"/>
    <n v="3"/>
    <n v="1"/>
    <n v="3"/>
    <n v="0"/>
    <n v="15"/>
    <n v="6"/>
    <n v="2"/>
    <n v="2"/>
    <n v="4158"/>
    <n v="1635"/>
    <n v="2523"/>
    <n v="0.77800000000000002"/>
    <n v="1678"/>
    <n v="37"/>
    <n v="0.54200000000000004"/>
    <n v="0.39300000000000002"/>
    <n v="1.1065000000000001E-4"/>
    <n v="0.99988999999999995"/>
    <s v="35.220899753678985"/>
    <s v="63.60372678307563"/>
    <s v="110.82123529382878"/>
    <s v="14.73671010146426"/>
    <n v="787456608"/>
    <x v="0"/>
    <n v="1.0598798E-3"/>
    <x v="0"/>
  </r>
  <r>
    <n v="51"/>
    <n v="1"/>
    <n v="2"/>
    <n v="4"/>
    <n v="1"/>
    <n v="0"/>
    <n v="0"/>
    <n v="45"/>
    <n v="5"/>
    <n v="2"/>
    <n v="1"/>
    <n v="3173"/>
    <n v="2517"/>
    <n v="656"/>
    <n v="0.70799999999999996"/>
    <n v="4030"/>
    <n v="73"/>
    <n v="0.622"/>
    <n v="0.79300000000000004"/>
    <s v="8.0767e-05"/>
    <n v="0.99992000000000003"/>
    <s v="7.105599635962409"/>
    <s v="2.462051474071814"/>
    <s v="175.80968481483686"/>
    <s v="1.7389017446579027"/>
    <n v="718072758"/>
    <x v="0"/>
    <n v="3.5570623000000002E-4"/>
    <x v="0"/>
  </r>
  <r>
    <n v="40"/>
    <n v="1"/>
    <n v="2"/>
    <n v="0"/>
    <n v="2"/>
    <n v="2"/>
    <n v="0"/>
    <n v="28"/>
    <n v="1"/>
    <n v="2"/>
    <n v="3"/>
    <n v="10880"/>
    <n v="2025"/>
    <n v="8855"/>
    <n v="0.753"/>
    <n v="4957"/>
    <n v="90"/>
    <n v="0.76500000000000001"/>
    <n v="0.186"/>
    <n v="1.8611999999999999E-4"/>
    <n v="0.99980999999999998"/>
    <s v="0.4613299738793346"/>
    <s v="54.05158357795726"/>
    <s v="17.02318020848113"/>
    <s v="10.901555188416031"/>
    <n v="719377383"/>
    <x v="0"/>
    <n v="3.2101269999999999E-4"/>
    <x v="0"/>
  </r>
  <r>
    <n v="51"/>
    <n v="0"/>
    <n v="1"/>
    <n v="5"/>
    <n v="1"/>
    <n v="5"/>
    <n v="0"/>
    <n v="44"/>
    <n v="6"/>
    <n v="2"/>
    <n v="1"/>
    <n v="3553"/>
    <n v="0"/>
    <n v="3553"/>
    <n v="0.84399999999999997"/>
    <n v="4923"/>
    <n v="89"/>
    <n v="0.64800000000000002"/>
    <n v="0"/>
    <s v="6.6245e-05"/>
    <n v="0.99992999999999999"/>
    <s v="4.515965411105801"/>
    <s v="19.14475306637008"/>
    <n v="65.946636309837999"/>
    <s v="15.103479962950985"/>
    <n v="752199183"/>
    <x v="0"/>
    <n v="7.2847964000000002E-4"/>
    <x v="0"/>
  </r>
  <r>
    <n v="41"/>
    <n v="1"/>
    <n v="3"/>
    <n v="4"/>
    <n v="3"/>
    <n v="3"/>
    <n v="0"/>
    <n v="33"/>
    <n v="3"/>
    <n v="2"/>
    <n v="3"/>
    <n v="7591"/>
    <n v="0"/>
    <n v="7591"/>
    <n v="0.64800000000000002"/>
    <n v="2302"/>
    <n v="42"/>
    <n v="0.5"/>
    <n v="0"/>
    <n v="0.99573999999999996"/>
    <n v="4.2591599999999997E-3"/>
    <s v="25.06141010107153"/>
    <s v="51.80065077884933"/>
    <s v="16.962275008368472"/>
    <s v="15.484606546620949"/>
    <n v="711741708"/>
    <x v="1"/>
    <n v="0.99876772999999996"/>
    <x v="1"/>
  </r>
  <r>
    <n v="38"/>
    <n v="0"/>
    <n v="1"/>
    <n v="3"/>
    <n v="3"/>
    <n v="4"/>
    <n v="0"/>
    <n v="30"/>
    <n v="2"/>
    <n v="3"/>
    <n v="0"/>
    <n v="1438.3"/>
    <n v="583"/>
    <n v="855.3"/>
    <n v="0.88800000000000001"/>
    <n v="1259"/>
    <n v="24"/>
    <n v="1"/>
    <n v="0.40500000000000003"/>
    <s v="6.0547e-05"/>
    <n v="0.99994000000000005"/>
    <s v="5.206798949631089"/>
    <s v="52.07774765408811"/>
    <s v="32.55084512138368"/>
    <s v="6.1329626315712495"/>
    <n v="789562383"/>
    <x v="0"/>
    <n v="2.8586575999999999E-3"/>
    <x v="0"/>
  </r>
  <r>
    <n v="37"/>
    <n v="0"/>
    <n v="1"/>
    <n v="3"/>
    <n v="2"/>
    <n v="4"/>
    <n v="0"/>
    <n v="23"/>
    <n v="6"/>
    <n v="3"/>
    <n v="4"/>
    <n v="1879"/>
    <n v="1486"/>
    <n v="393"/>
    <n v="0.83599999999999997"/>
    <n v="5202"/>
    <n v="88"/>
    <n v="0.69199999999999995"/>
    <n v="0.79100000000000004"/>
    <n v="4.7085999999999997E-4"/>
    <n v="0.99953000000000003"/>
    <s v="22.754862290568862"/>
    <s v="34.33880673824392"/>
    <s v="88.26980848868557"/>
    <s v="3.7927765752402633"/>
    <n v="713645883"/>
    <x v="0"/>
    <n v="3.2101269999999999E-4"/>
    <x v="0"/>
  </r>
  <r>
    <n v="36"/>
    <n v="0"/>
    <n v="0"/>
    <n v="0"/>
    <n v="2"/>
    <n v="4"/>
    <n v="0"/>
    <n v="27"/>
    <n v="6"/>
    <n v="3"/>
    <n v="2"/>
    <n v="3282"/>
    <n v="1843"/>
    <n v="1439"/>
    <n v="0.625"/>
    <n v="2614"/>
    <n v="79"/>
    <n v="0.64600000000000002"/>
    <n v="0.56200000000000006"/>
    <n v="1.5007E-4"/>
    <n v="0.99985000000000002"/>
    <s v="19.453073382281616"/>
    <s v="34.04965497032364"/>
    <s v="122.50942075849078"/>
    <s v="4.285410465369339"/>
    <n v="713725683"/>
    <x v="0"/>
    <n v="4.0449749999999998E-4"/>
    <x v="0"/>
  </r>
  <r>
    <n v="34"/>
    <n v="0"/>
    <n v="3"/>
    <n v="0"/>
    <n v="1"/>
    <n v="4"/>
    <n v="0"/>
    <n v="23"/>
    <n v="3"/>
    <n v="3"/>
    <n v="3"/>
    <n v="2164"/>
    <n v="1176"/>
    <n v="988"/>
    <n v="0.83499999999999996"/>
    <n v="5075"/>
    <n v="71"/>
    <n v="0.86799999999999999"/>
    <n v="0.54300000000000004"/>
    <n v="3.0519E-4"/>
    <n v="0.99968999999999997"/>
    <s v="15.843581677328633"/>
    <s v="31.07436018660661"/>
    <s v="131.48529739400857"/>
    <s v="1.3331742518149372"/>
    <n v="787514433"/>
    <x v="0"/>
    <n v="3.2101269999999999E-4"/>
    <x v="0"/>
  </r>
  <r>
    <n v="60"/>
    <n v="0"/>
    <n v="1"/>
    <n v="1"/>
    <n v="2"/>
    <n v="5"/>
    <n v="3"/>
    <n v="48"/>
    <n v="1"/>
    <n v="2"/>
    <n v="1"/>
    <n v="34516"/>
    <n v="1542"/>
    <n v="32974"/>
    <n v="0.60299999999999998"/>
    <n v="7443"/>
    <n v="98"/>
    <n v="0.55600000000000005"/>
    <n v="4.4999999999999998E-2"/>
    <s v="8.4243e-05"/>
    <n v="0.99992000000000003"/>
    <n v="37.361503275146397"/>
    <n v="52.170575553167197"/>
    <s v="53.582533793622645"/>
    <s v="19.827231349850106"/>
    <n v="787502883"/>
    <x v="0"/>
    <n v="4.2060707000000003E-4"/>
    <x v="0"/>
  </r>
  <r>
    <n v="43"/>
    <n v="0"/>
    <n v="5"/>
    <n v="3"/>
    <n v="2"/>
    <n v="4"/>
    <n v="0"/>
    <n v="33"/>
    <n v="6"/>
    <n v="2"/>
    <n v="2"/>
    <n v="4976"/>
    <n v="866"/>
    <n v="4110"/>
    <n v="0.98499999999999999"/>
    <n v="4317"/>
    <n v="69"/>
    <n v="0.56799999999999995"/>
    <n v="0.17399999999999999"/>
    <n v="1.1423E-4"/>
    <n v="0.99988999999999995"/>
    <s v="16.54335448124628"/>
    <s v="32.691791142249194"/>
    <s v="106.02640447656896"/>
    <s v="19.45575073266771"/>
    <n v="780372408"/>
    <x v="0"/>
    <n v="4.6675644000000001E-4"/>
    <x v="0"/>
  </r>
  <r>
    <n v="56"/>
    <n v="1"/>
    <n v="1"/>
    <n v="5"/>
    <n v="1"/>
    <n v="0"/>
    <n v="0"/>
    <n v="36"/>
    <n v="3"/>
    <n v="2"/>
    <n v="2"/>
    <n v="6041"/>
    <n v="1355"/>
    <n v="4686"/>
    <n v="0.68500000000000005"/>
    <n v="1747"/>
    <n v="49"/>
    <n v="0.58099999999999996"/>
    <n v="0.224"/>
    <n v="1.0985E-4"/>
    <n v="0.99988999999999995"/>
    <s v="27.78717141544709"/>
    <s v="80.93842165233085"/>
    <s v="3.364228838802512"/>
    <s v="1.4311788355466273"/>
    <n v="720779733"/>
    <x v="0"/>
    <n v="8.9980644000000004E-4"/>
    <x v="0"/>
  </r>
  <r>
    <n v="50"/>
    <n v="0"/>
    <n v="1"/>
    <n v="2"/>
    <n v="1"/>
    <n v="4"/>
    <n v="0"/>
    <n v="36"/>
    <n v="4"/>
    <n v="2"/>
    <n v="3"/>
    <n v="1438.3"/>
    <n v="0"/>
    <n v="1438.3"/>
    <n v="0.85099999999999998"/>
    <n v="4765"/>
    <n v="71"/>
    <n v="1.0880000000000001"/>
    <n v="0"/>
    <n v="1.7969000000000001E-4"/>
    <n v="0.99982000000000004"/>
    <s v="4.945057754106289"/>
    <s v="51.93838729955132"/>
    <s v="22.24136598917115"/>
    <n v="5.2648542135897003"/>
    <n v="717365958"/>
    <x v="0"/>
    <n v="7.6618145000000005E-4"/>
    <x v="0"/>
  </r>
  <r>
    <n v="44"/>
    <n v="0"/>
    <n v="3"/>
    <n v="1"/>
    <n v="1"/>
    <n v="4"/>
    <n v="0"/>
    <n v="38"/>
    <n v="6"/>
    <n v="1"/>
    <n v="3"/>
    <n v="7222"/>
    <n v="0"/>
    <n v="7222"/>
    <n v="0.68500000000000005"/>
    <n v="920"/>
    <n v="18"/>
    <n v="0.5"/>
    <n v="0"/>
    <n v="0.99285999999999996"/>
    <n v="7.1399999999999996E-3"/>
    <s v="3.490263684739106"/>
    <s v="26.50568850139796"/>
    <s v="26.24117106803075"/>
    <s v="0.3365971743370322"/>
    <n v="797707008"/>
    <x v="1"/>
    <n v="0.99867176999999996"/>
    <x v="1"/>
  </r>
  <r>
    <n v="48"/>
    <n v="0"/>
    <n v="2"/>
    <n v="2"/>
    <n v="1"/>
    <n v="1"/>
    <n v="3"/>
    <n v="41"/>
    <n v="6"/>
    <n v="3"/>
    <n v="1"/>
    <n v="16002"/>
    <n v="2076"/>
    <n v="13926"/>
    <n v="0.29299999999999998"/>
    <n v="3667"/>
    <n v="52"/>
    <n v="1.167"/>
    <n v="0.13"/>
    <s v="9.8015e-05"/>
    <n v="0.99990000000000001"/>
    <s v="7.664832853394309"/>
    <s v="40.67044241015275"/>
    <s v="103.25157623126732"/>
    <s v="10.109486366278672"/>
    <n v="718002633"/>
    <x v="0"/>
    <n v="7.3065865000000003E-4"/>
    <x v="0"/>
  </r>
  <r>
    <n v="62"/>
    <n v="0"/>
    <n v="0"/>
    <n v="5"/>
    <n v="2"/>
    <n v="4"/>
    <n v="0"/>
    <n v="36"/>
    <n v="6"/>
    <n v="3"/>
    <n v="3"/>
    <n v="5780"/>
    <n v="0"/>
    <n v="5780"/>
    <n v="0.39400000000000002"/>
    <n v="6613"/>
    <n v="40"/>
    <n v="0.42899999999999999"/>
    <n v="0"/>
    <n v="0.99626999999999999"/>
    <n v="3.7314700000000002E-3"/>
    <s v="23.737483473355955"/>
    <s v="61.84190419195924"/>
    <s v="52.517361793241264"/>
    <s v="5.939631033489739"/>
    <n v="710161083"/>
    <x v="1"/>
    <n v="0.99856012999999999"/>
    <x v="1"/>
  </r>
  <r>
    <n v="45"/>
    <n v="1"/>
    <n v="3"/>
    <n v="3"/>
    <n v="1"/>
    <n v="2"/>
    <n v="0"/>
    <n v="37"/>
    <n v="5"/>
    <n v="1"/>
    <n v="2"/>
    <n v="4995"/>
    <n v="1766"/>
    <n v="3229"/>
    <n v="0.76"/>
    <n v="4389"/>
    <n v="82"/>
    <n v="0.86399999999999999"/>
    <n v="0.35399999999999998"/>
    <s v="5.5559e-05"/>
    <n v="0.99994000000000005"/>
    <s v="31.590588901502485"/>
    <s v="19.80626882482452"/>
    <s v="6.788761208275734"/>
    <s v="14.63158091486831"/>
    <n v="789533133"/>
    <x v="0"/>
    <n v="3.2101269999999999E-4"/>
    <x v="0"/>
  </r>
  <r>
    <n v="44"/>
    <n v="0"/>
    <n v="3"/>
    <n v="3"/>
    <n v="3"/>
    <n v="4"/>
    <n v="0"/>
    <n v="35"/>
    <n v="5"/>
    <n v="3"/>
    <n v="0"/>
    <n v="3398"/>
    <n v="2415"/>
    <n v="983"/>
    <n v="0.89100000000000001"/>
    <n v="4509"/>
    <n v="93"/>
    <n v="0.66100000000000003"/>
    <n v="0.71099999999999997"/>
    <s v="6.6935e-05"/>
    <n v="0.99992999999999999"/>
    <s v="14.619990055409309"/>
    <s v="18.90235424579152"/>
    <n v="95.875068939404201"/>
    <s v="10.120660169108977"/>
    <n v="709813008"/>
    <x v="0"/>
    <n v="3.221314E-4"/>
    <x v="0"/>
  </r>
  <r>
    <n v="52"/>
    <n v="1"/>
    <n v="4"/>
    <n v="0"/>
    <n v="2"/>
    <n v="3"/>
    <n v="3"/>
    <n v="41"/>
    <n v="1"/>
    <n v="1"/>
    <n v="2"/>
    <n v="34516"/>
    <n v="1701"/>
    <n v="32815"/>
    <n v="0.71499999999999997"/>
    <n v="7707"/>
    <n v="99"/>
    <n v="0.5"/>
    <n v="4.9000000000000002E-2"/>
    <s v="5.0742e-05"/>
    <n v="0.99995000000000001"/>
    <s v="28.10274043448036"/>
    <s v="110.47598337636528"/>
    <s v="99.26005063074132"/>
    <s v="16.75132004860394"/>
    <n v="712624383"/>
    <x v="0"/>
    <n v="4.3658480000000001E-4"/>
    <x v="0"/>
  </r>
  <r>
    <n v="56"/>
    <n v="1"/>
    <n v="2"/>
    <n v="3"/>
    <n v="1"/>
    <n v="0"/>
    <n v="0"/>
    <n v="46"/>
    <n v="4"/>
    <n v="1"/>
    <n v="3"/>
    <n v="27029"/>
    <n v="1347"/>
    <n v="25682"/>
    <n v="0.38100000000000001"/>
    <n v="1302"/>
    <n v="27"/>
    <n v="0.42099999999999999"/>
    <n v="0.05"/>
    <s v="9.0056e-05"/>
    <n v="0.99990999999999997"/>
    <s v="45.631089170156926"/>
    <s v="50.87219995388213"/>
    <s v="45.44502847486641"/>
    <s v="15.259981514891669"/>
    <n v="720228708"/>
    <x v="0"/>
    <n v="1.3335287000000001E-3"/>
    <x v="0"/>
  </r>
  <r>
    <n v="48"/>
    <n v="1"/>
    <n v="2"/>
    <n v="2"/>
    <n v="1"/>
    <n v="2"/>
    <n v="3"/>
    <n v="35"/>
    <n v="2"/>
    <n v="4"/>
    <n v="4"/>
    <n v="34516"/>
    <n v="0"/>
    <n v="34516"/>
    <n v="0.76300000000000001"/>
    <n v="691"/>
    <n v="15"/>
    <n v="0.5"/>
    <n v="0"/>
    <n v="0.99822999999999995"/>
    <n v="1.7706499999999999E-3"/>
    <s v="17.810895895104718"/>
    <s v="13.373934876476891"/>
    <s v="107.0112367898991"/>
    <s v="6.048141656974646"/>
    <n v="712030833"/>
    <x v="1"/>
    <n v="0.99843305000000004"/>
    <x v="1"/>
  </r>
  <r>
    <n v="49"/>
    <n v="1"/>
    <n v="1"/>
    <n v="6"/>
    <n v="2"/>
    <n v="3"/>
    <n v="0"/>
    <n v="31"/>
    <n v="6"/>
    <n v="1"/>
    <n v="4"/>
    <n v="5898"/>
    <n v="1348"/>
    <n v="4550"/>
    <n v="0.64"/>
    <n v="1002"/>
    <n v="21"/>
    <n v="1.333"/>
    <n v="0.22900000000000001"/>
    <n v="1.6305000000000001E-4"/>
    <n v="0.99983999999999995"/>
    <s v="3.6305498998535626"/>
    <s v="4.261113565390516"/>
    <s v="102.95538128358449"/>
    <s v="2.841380678084579"/>
    <n v="718465458"/>
    <x v="0"/>
    <n v="1.0667827000000001E-3"/>
    <x v="0"/>
  </r>
  <r>
    <n v="60"/>
    <n v="0"/>
    <n v="1"/>
    <n v="2"/>
    <n v="2"/>
    <n v="5"/>
    <n v="0"/>
    <n v="36"/>
    <n v="6"/>
    <n v="1"/>
    <n v="3"/>
    <n v="4408"/>
    <n v="1201"/>
    <n v="3207"/>
    <n v="0.77"/>
    <n v="4157"/>
    <n v="71"/>
    <n v="0.65100000000000002"/>
    <n v="0.27200000000000002"/>
    <s v="8.6952e-05"/>
    <n v="0.99990999999999997"/>
    <s v="26.98278190519447"/>
    <s v="46.60973237705357"/>
    <s v="117.77202762586391"/>
    <s v="11.123229091832496"/>
    <n v="716385033"/>
    <x v="0"/>
    <n v="3.2101269999999999E-4"/>
    <x v="0"/>
  </r>
  <r>
    <n v="48"/>
    <n v="1"/>
    <n v="0"/>
    <n v="6"/>
    <n v="0"/>
    <n v="1"/>
    <n v="0"/>
    <n v="36"/>
    <n v="3"/>
    <n v="1"/>
    <n v="0"/>
    <n v="2708"/>
    <n v="2517"/>
    <n v="191"/>
    <n v="0.56799999999999995"/>
    <n v="2198"/>
    <n v="41"/>
    <n v="0.86399999999999999"/>
    <n v="0.92900000000000005"/>
    <s v="1.9163e-05"/>
    <n v="0.99997999999999998"/>
    <s v="7.284639803511769"/>
    <s v="20.46325351692816"/>
    <s v="27.14321688372392"/>
    <s v="2.0044926817276054"/>
    <n v="708957183"/>
    <x v="0"/>
    <n v="1.3329288E-3"/>
    <x v="0"/>
  </r>
  <r>
    <n v="42"/>
    <n v="0"/>
    <n v="3"/>
    <n v="6"/>
    <n v="2"/>
    <n v="4"/>
    <n v="0"/>
    <n v="37"/>
    <n v="6"/>
    <n v="1"/>
    <n v="3"/>
    <n v="6453"/>
    <n v="0"/>
    <n v="6453"/>
    <n v="0.76"/>
    <n v="4822"/>
    <n v="74"/>
    <n v="0.60899999999999999"/>
    <n v="0"/>
    <n v="1.0566E-4"/>
    <n v="0.99988999999999995"/>
    <s v="0.9251181497477782"/>
    <s v="3.306614552604636"/>
    <s v="8.817392596387409"/>
    <s v="1.1161076604213138"/>
    <n v="814829583"/>
    <x v="0"/>
    <n v="7.1276520000000004E-4"/>
    <x v="0"/>
  </r>
  <r>
    <n v="45"/>
    <n v="0"/>
    <n v="3"/>
    <n v="6"/>
    <n v="2"/>
    <n v="4"/>
    <n v="0"/>
    <n v="36"/>
    <n v="1"/>
    <n v="2"/>
    <n v="5"/>
    <n v="7500"/>
    <n v="0"/>
    <n v="7500"/>
    <n v="0.57599999999999996"/>
    <n v="8024"/>
    <n v="78"/>
    <n v="0.69599999999999995"/>
    <n v="0"/>
    <n v="0.99844999999999995"/>
    <n v="1.54849E-3"/>
    <s v="4.1856193931904855"/>
    <n v="82.095008439821896"/>
    <s v="76.40248852276649"/>
    <s v="13.536780911071586"/>
    <n v="714543633"/>
    <x v="1"/>
    <n v="0.99163190000000001"/>
    <x v="1"/>
  </r>
  <r>
    <n v="65"/>
    <n v="1"/>
    <n v="0"/>
    <n v="1"/>
    <n v="2"/>
    <n v="4"/>
    <n v="0"/>
    <n v="52"/>
    <n v="3"/>
    <n v="3"/>
    <n v="4"/>
    <n v="3675"/>
    <n v="0"/>
    <n v="3675"/>
    <n v="0.66400000000000003"/>
    <n v="3798"/>
    <n v="53"/>
    <n v="0.47199999999999998"/>
    <n v="0"/>
    <n v="6.4070000000000002E-4"/>
    <n v="0.99936000000000003"/>
    <n v="15.668733598512601"/>
    <s v="34.815852360364175"/>
    <s v="87.91389328457494"/>
    <s v="6.4464020321797255"/>
    <n v="711795633"/>
    <x v="0"/>
    <n v="3.2699040000000001E-3"/>
    <x v="0"/>
  </r>
  <r>
    <n v="44"/>
    <n v="0"/>
    <n v="2"/>
    <n v="2"/>
    <n v="1"/>
    <n v="4"/>
    <n v="0"/>
    <n v="37"/>
    <n v="4"/>
    <n v="5"/>
    <n v="4"/>
    <n v="3203"/>
    <n v="2076"/>
    <n v="1127"/>
    <n v="0.54300000000000004"/>
    <n v="1433"/>
    <n v="38"/>
    <n v="1"/>
    <n v="0.64800000000000002"/>
    <n v="5.7631000000000002E-4"/>
    <n v="0.99941999999999998"/>
    <s v="4.0398388302676285"/>
    <s v="13.157850439051805"/>
    <s v="101.53398358794638"/>
    <s v="14.706584903496346"/>
    <n v="756409758"/>
    <x v="0"/>
    <n v="9.8706899999999992E-4"/>
    <x v="0"/>
  </r>
  <r>
    <n v="50"/>
    <n v="1"/>
    <n v="2"/>
    <n v="2"/>
    <n v="2"/>
    <n v="0"/>
    <n v="0"/>
    <n v="36"/>
    <n v="3"/>
    <n v="2"/>
    <n v="2"/>
    <n v="34516"/>
    <n v="1023"/>
    <n v="33493"/>
    <n v="1.004"/>
    <n v="1064"/>
    <n v="13"/>
    <n v="0.625"/>
    <n v="0.03"/>
    <n v="1.1382E-4"/>
    <n v="0.99988999999999995"/>
    <s v="0.6886185192361717"/>
    <n v="41.071316637093801"/>
    <s v="27.923731372857898"/>
    <s v="3.441411613879134"/>
    <n v="718414008"/>
    <x v="0"/>
    <n v="1.3115004000000001E-3"/>
    <x v="0"/>
  </r>
  <r>
    <n v="41"/>
    <n v="1"/>
    <n v="3"/>
    <n v="6"/>
    <n v="2"/>
    <n v="3"/>
    <n v="0"/>
    <n v="32"/>
    <n v="1"/>
    <n v="3"/>
    <n v="4"/>
    <n v="4742"/>
    <n v="2221"/>
    <n v="2521"/>
    <n v="0.46400000000000002"/>
    <n v="2422"/>
    <n v="41"/>
    <n v="0.46400000000000002"/>
    <n v="0.46800000000000003"/>
    <n v="0.99829999999999997"/>
    <n v="1.6953199999999999E-3"/>
    <s v="8.056766469075244"/>
    <s v="6.6816500504894325"/>
    <s v="8.654031780131927"/>
    <s v="13.853738680876608"/>
    <n v="709222008"/>
    <x v="1"/>
    <n v="0.99543000000000004"/>
    <x v="1"/>
  </r>
  <r>
    <n v="45"/>
    <n v="0"/>
    <n v="2"/>
    <n v="2"/>
    <n v="1"/>
    <n v="4"/>
    <n v="0"/>
    <n v="25"/>
    <n v="3"/>
    <n v="2"/>
    <n v="3"/>
    <n v="5911"/>
    <n v="916"/>
    <n v="4995"/>
    <n v="0.47099999999999997"/>
    <n v="1656"/>
    <n v="31"/>
    <n v="0.72199999999999998"/>
    <n v="0.155"/>
    <n v="0.99480000000000002"/>
    <n v="5.1999999999999998E-3"/>
    <s v="41.80377590867434"/>
    <s v="49.87708755949984"/>
    <s v="64.55063403011765"/>
    <s v="4.508575207029967"/>
    <n v="778364583"/>
    <x v="1"/>
    <n v="0.99543479999999995"/>
    <x v="1"/>
  </r>
  <r>
    <n v="52"/>
    <n v="1"/>
    <n v="2"/>
    <n v="2"/>
    <n v="2"/>
    <n v="0"/>
    <n v="0"/>
    <n v="37"/>
    <n v="2"/>
    <n v="3"/>
    <n v="2"/>
    <n v="14543"/>
    <n v="0"/>
    <n v="14543"/>
    <n v="0.78800000000000003"/>
    <n v="1536"/>
    <n v="37"/>
    <n v="0.42299999999999999"/>
    <n v="0"/>
    <n v="1.7987E-4"/>
    <n v="0.99982000000000004"/>
    <s v="2.235448489476543"/>
    <s v="6.027484218260605"/>
    <s v="52.075341953123576"/>
    <s v="20.27781131317164"/>
    <n v="721425558"/>
    <x v="0"/>
    <n v="4.8491960000000001E-3"/>
    <x v="0"/>
  </r>
  <r>
    <n v="55"/>
    <n v="0"/>
    <n v="2"/>
    <n v="2"/>
    <n v="1"/>
    <n v="4"/>
    <n v="0"/>
    <n v="46"/>
    <n v="5"/>
    <n v="3"/>
    <n v="4"/>
    <n v="1438.3"/>
    <n v="0"/>
    <n v="1438.3"/>
    <n v="0.90700000000000003"/>
    <n v="4271"/>
    <n v="79"/>
    <n v="0.75600000000000001"/>
    <n v="0"/>
    <n v="5.1599999999999997E-4"/>
    <n v="0.99948000000000004"/>
    <s v="51.34017104648903"/>
    <s v="52.719887411914016"/>
    <s v="78.36242049787933"/>
    <s v="5.721599103687292"/>
    <n v="716444733"/>
    <x v="0"/>
    <n v="7.1297199999999998E-4"/>
    <x v="0"/>
  </r>
  <r>
    <n v="33"/>
    <n v="0"/>
    <n v="3"/>
    <n v="4"/>
    <n v="3"/>
    <n v="5"/>
    <n v="0"/>
    <n v="25"/>
    <n v="3"/>
    <n v="2"/>
    <n v="4"/>
    <n v="4734"/>
    <n v="2517"/>
    <n v="2217"/>
    <n v="0.48299999999999998"/>
    <n v="2275"/>
    <n v="55"/>
    <n v="0.89700000000000002"/>
    <n v="0.53200000000000003"/>
    <n v="0.99750000000000005"/>
    <n v="2.5008399999999998E-3"/>
    <s v="33.63580671991461"/>
    <s v="28.696061771944983"/>
    <s v="114.76488064787456"/>
    <s v="0.1337991604955399"/>
    <n v="711819708"/>
    <x v="1"/>
    <n v="0.98719469999999998"/>
    <x v="1"/>
  </r>
  <r>
    <n v="47"/>
    <n v="0"/>
    <n v="5"/>
    <n v="2"/>
    <n v="2"/>
    <n v="4"/>
    <n v="0"/>
    <n v="42"/>
    <n v="4"/>
    <n v="2"/>
    <n v="4"/>
    <n v="2224"/>
    <n v="1106"/>
    <n v="1118"/>
    <n v="0.501"/>
    <n v="1698"/>
    <n v="41"/>
    <n v="0.36699999999999999"/>
    <n v="0.497"/>
    <n v="3.3713999999999999E-4"/>
    <n v="0.99965999999999999"/>
    <s v="16.41323958942966"/>
    <s v="43.417264493693466"/>
    <s v="88.22464707286207"/>
    <s v="6.467717116686187"/>
    <n v="819258408"/>
    <x v="0"/>
    <n v="1.1982243E-3"/>
    <x v="0"/>
  </r>
  <r>
    <n v="50"/>
    <n v="0"/>
    <n v="3"/>
    <n v="2"/>
    <n v="2"/>
    <n v="4"/>
    <n v="0"/>
    <n v="36"/>
    <n v="4"/>
    <n v="3"/>
    <n v="2"/>
    <n v="1438.3"/>
    <n v="1002"/>
    <n v="436.3"/>
    <n v="1.306"/>
    <n v="2004"/>
    <n v="25"/>
    <n v="0.66700000000000004"/>
    <n v="0.69699999999999995"/>
    <n v="1.8665000000000001E-4"/>
    <n v="0.99980999999999998"/>
    <n v="6.57176547754485"/>
    <s v="25.02671607656773"/>
    <s v="42.40198510280919"/>
    <n v="6.2119766908933798"/>
    <n v="714973758"/>
    <x v="0"/>
    <n v="1.0343705999999999E-3"/>
    <x v="0"/>
  </r>
  <r>
    <n v="49"/>
    <n v="0"/>
    <n v="4"/>
    <n v="0"/>
    <n v="2"/>
    <n v="4"/>
    <n v="0"/>
    <n v="33"/>
    <n v="4"/>
    <n v="2"/>
    <n v="3"/>
    <n v="2097"/>
    <n v="1250"/>
    <n v="847"/>
    <n v="0.69899999999999995"/>
    <n v="4148"/>
    <n v="71"/>
    <n v="0.54300000000000004"/>
    <n v="0.59599999999999997"/>
    <n v="1.9519000000000001E-4"/>
    <n v="0.99980000000000002"/>
    <s v="22.458985934311904"/>
    <s v="6.835925442089388"/>
    <s v="25.29024093967768"/>
    <s v="9.010962411094404"/>
    <n v="779727558"/>
    <x v="0"/>
    <n v="3.2914013999999999E-4"/>
    <x v="0"/>
  </r>
  <r>
    <n v="34"/>
    <n v="1"/>
    <n v="1"/>
    <n v="2"/>
    <n v="1"/>
    <n v="1"/>
    <n v="0"/>
    <n v="36"/>
    <n v="6"/>
    <n v="2"/>
    <n v="3"/>
    <n v="3735"/>
    <n v="1285"/>
    <n v="2450"/>
    <n v="1.034"/>
    <n v="1877"/>
    <n v="33"/>
    <n v="1.2"/>
    <n v="0.34399999999999997"/>
    <n v="1.7969000000000001E-4"/>
    <n v="0.99982000000000004"/>
    <s v="16.77003852767516"/>
    <n v="25.509463377542801"/>
    <s v="0.6304830715922835"/>
    <s v="1.0096246253673042"/>
    <n v="717667833"/>
    <x v="0"/>
    <n v="1.0617396999999999E-3"/>
    <x v="0"/>
  </r>
  <r>
    <n v="50"/>
    <n v="0"/>
    <n v="1"/>
    <n v="2"/>
    <n v="2"/>
    <n v="1"/>
    <n v="3"/>
    <n v="31"/>
    <n v="2"/>
    <n v="2"/>
    <n v="3"/>
    <n v="18386"/>
    <n v="0"/>
    <n v="18386"/>
    <n v="0.86799999999999999"/>
    <n v="1298"/>
    <n v="22"/>
    <n v="0.57099999999999995"/>
    <n v="0"/>
    <n v="1.6236000000000001E-4"/>
    <n v="0.99983999999999995"/>
    <s v="41.53980581174319"/>
    <s v="44.58338356885369"/>
    <n v="6.5739535609016704"/>
    <s v="0.8626793429719309"/>
    <n v="712215258"/>
    <x v="0"/>
    <n v="4.8491960000000001E-3"/>
    <x v="0"/>
  </r>
  <r>
    <n v="55"/>
    <n v="0"/>
    <n v="3"/>
    <n v="2"/>
    <n v="3"/>
    <n v="5"/>
    <n v="0"/>
    <n v="36"/>
    <n v="4"/>
    <n v="3"/>
    <n v="3"/>
    <n v="7869"/>
    <n v="1251"/>
    <n v="6618"/>
    <n v="0.72199999999999998"/>
    <n v="4314"/>
    <n v="83"/>
    <n v="0.72899999999999998"/>
    <n v="0.159"/>
    <n v="3.1389999999999999E-4"/>
    <n v="0.99968999999999997"/>
    <s v="8.030699823683308"/>
    <n v="64.883504218362006"/>
    <s v="62.42551969361445"/>
    <s v="27.47716780425435"/>
    <n v="720364158"/>
    <x v="0"/>
    <n v="3.2101269999999999E-4"/>
    <x v="0"/>
  </r>
  <r>
    <n v="51"/>
    <n v="0"/>
    <n v="1"/>
    <n v="6"/>
    <n v="2"/>
    <n v="5"/>
    <n v="0"/>
    <n v="45"/>
    <n v="2"/>
    <n v="2"/>
    <n v="3"/>
    <n v="6519"/>
    <n v="2178"/>
    <n v="4341"/>
    <n v="0.73899999999999999"/>
    <n v="4505"/>
    <n v="71"/>
    <n v="0.73199999999999998"/>
    <n v="0.33400000000000002"/>
    <n v="1.9751E-4"/>
    <n v="0.99980000000000002"/>
    <s v="56.81076585958024"/>
    <s v="77.28394251361873"/>
    <s v="14.448557837911926"/>
    <s v="15.791211928624936"/>
    <n v="785106933"/>
    <x v="0"/>
    <n v="3.2101269999999999E-4"/>
    <x v="0"/>
  </r>
  <r>
    <n v="40"/>
    <n v="0"/>
    <n v="3"/>
    <n v="2"/>
    <n v="1"/>
    <n v="5"/>
    <n v="0"/>
    <n v="28"/>
    <n v="6"/>
    <n v="1"/>
    <n v="2"/>
    <n v="20420"/>
    <n v="1657"/>
    <n v="18763"/>
    <n v="1.038"/>
    <n v="1804"/>
    <n v="41"/>
    <n v="0.86399999999999999"/>
    <n v="8.1000000000000003E-2"/>
    <s v="5.7151e-05"/>
    <n v="0.99994000000000005"/>
    <s v="22.44397644671232"/>
    <s v="27.92679441903364"/>
    <s v="2.266477862065336"/>
    <n v="8.5065015713659307"/>
    <n v="771844458"/>
    <x v="0"/>
    <n v="1.041906E-3"/>
    <x v="0"/>
  </r>
  <r>
    <n v="48"/>
    <n v="1"/>
    <n v="3"/>
    <n v="4"/>
    <n v="2"/>
    <n v="2"/>
    <n v="0"/>
    <n v="34"/>
    <n v="4"/>
    <n v="3"/>
    <n v="2"/>
    <n v="12391"/>
    <n v="784"/>
    <n v="11607"/>
    <n v="0.875"/>
    <n v="4376"/>
    <n v="86"/>
    <n v="0.72"/>
    <n v="6.3E-2"/>
    <n v="2.1961999999999999E-4"/>
    <n v="0.99978"/>
    <s v="55.09487573466692"/>
    <s v="30.12599334471698"/>
    <s v="45.341868267202464"/>
    <s v="17.464462225919505"/>
    <n v="779363283"/>
    <x v="0"/>
    <n v="5.8507190000000003E-4"/>
    <x v="0"/>
  </r>
  <r>
    <n v="57"/>
    <n v="1"/>
    <n v="1"/>
    <n v="2"/>
    <n v="3"/>
    <n v="3"/>
    <n v="0"/>
    <n v="39"/>
    <n v="3"/>
    <n v="1"/>
    <n v="1"/>
    <n v="1438.3"/>
    <n v="641"/>
    <n v="797.3"/>
    <n v="0.66"/>
    <n v="5140"/>
    <n v="82"/>
    <n v="0.51900000000000002"/>
    <n v="0.44600000000000001"/>
    <s v="3.1176e-05"/>
    <n v="0.99997000000000003"/>
    <s v="23.261918423817782"/>
    <n v="41.498978440640599"/>
    <s v="12.963143397835625"/>
    <s v="3.347388672397431"/>
    <n v="710740008"/>
    <x v="0"/>
    <n v="5.5868360000000002E-4"/>
    <x v="0"/>
  </r>
  <r>
    <n v="41"/>
    <n v="0"/>
    <n v="4"/>
    <n v="5"/>
    <n v="3"/>
    <n v="4"/>
    <n v="0"/>
    <n v="32"/>
    <n v="4"/>
    <n v="3"/>
    <n v="1"/>
    <n v="3189"/>
    <n v="0"/>
    <n v="3189"/>
    <n v="0.91"/>
    <n v="4813"/>
    <n v="86"/>
    <n v="0.755"/>
    <n v="0"/>
    <n v="1.1697E-4"/>
    <n v="0.99987999999999999"/>
    <n v="53.249883837789802"/>
    <s v="35.88654087921896"/>
    <s v="117.55596298803904"/>
    <s v="20.646268329443647"/>
    <n v="715717608"/>
    <x v="0"/>
    <n v="7.4699510000000001E-4"/>
    <x v="0"/>
  </r>
  <r>
    <n v="62"/>
    <n v="0"/>
    <n v="0"/>
    <n v="6"/>
    <n v="1"/>
    <n v="5"/>
    <n v="0"/>
    <n v="52"/>
    <n v="6"/>
    <n v="1"/>
    <n v="1"/>
    <n v="2683"/>
    <n v="1707"/>
    <n v="976"/>
    <n v="1.254"/>
    <n v="1582"/>
    <n v="33"/>
    <n v="0.94099999999999995"/>
    <n v="0.63600000000000001"/>
    <s v="3.1329e-05"/>
    <n v="0.99997000000000003"/>
    <s v="47.12211982728734"/>
    <s v="21.62339685693004"/>
    <s v="51.43974620641615"/>
    <s v="32.77074975056742"/>
    <n v="713967783"/>
    <x v="0"/>
    <n v="9.8706899999999992E-4"/>
    <x v="0"/>
  </r>
  <r>
    <n v="42"/>
    <n v="0"/>
    <n v="4"/>
    <n v="6"/>
    <n v="1"/>
    <n v="4"/>
    <n v="0"/>
    <n v="37"/>
    <n v="3"/>
    <n v="1"/>
    <n v="3"/>
    <n v="2757"/>
    <n v="1785"/>
    <n v="972"/>
    <n v="0.73499999999999999"/>
    <n v="3766"/>
    <n v="69"/>
    <n v="0.60499999999999998"/>
    <n v="0.64700000000000002"/>
    <n v="1.0679E-4"/>
    <n v="0.99988999999999995"/>
    <s v="28.338848212042997"/>
    <s v="21.196484330299366"/>
    <s v="19.717728700923256"/>
    <s v="2.370496891520955"/>
    <n v="817965858"/>
    <x v="0"/>
    <n v="3.2914013999999999E-4"/>
    <x v="0"/>
  </r>
  <r>
    <n v="44"/>
    <n v="0"/>
    <n v="1"/>
    <n v="6"/>
    <n v="2"/>
    <n v="5"/>
    <n v="0"/>
    <n v="36"/>
    <n v="3"/>
    <n v="3"/>
    <n v="3"/>
    <n v="3517"/>
    <n v="0"/>
    <n v="3517"/>
    <n v="0.63400000000000001"/>
    <n v="2403"/>
    <n v="48"/>
    <n v="0.54800000000000004"/>
    <n v="0"/>
    <n v="0.99680999999999997"/>
    <n v="3.1927800000000001E-3"/>
    <s v="21.03721339554312"/>
    <s v="11.570216445419504"/>
    <s v="17.018618906064365"/>
    <s v="10.35127785513656"/>
    <n v="714634983"/>
    <x v="1"/>
    <n v="0.99876772999999996"/>
    <x v="1"/>
  </r>
  <r>
    <n v="43"/>
    <n v="1"/>
    <n v="2"/>
    <n v="3"/>
    <n v="1"/>
    <n v="0"/>
    <n v="0"/>
    <n v="36"/>
    <n v="6"/>
    <n v="2"/>
    <n v="4"/>
    <n v="34516"/>
    <n v="1477"/>
    <n v="33039"/>
    <n v="0.32400000000000001"/>
    <n v="1868"/>
    <n v="40"/>
    <n v="0.21199999999999999"/>
    <n v="4.2999999999999997E-2"/>
    <n v="0.99685999999999997"/>
    <n v="3.1390900000000002E-3"/>
    <s v="31.55374176244799"/>
    <s v="60.73141576908736"/>
    <s v="44.09792002950042"/>
    <s v="1.163383498811826"/>
    <n v="708501783"/>
    <x v="1"/>
    <n v="0.99384815000000004"/>
    <x v="1"/>
  </r>
  <r>
    <n v="61"/>
    <n v="1"/>
    <n v="0"/>
    <n v="3"/>
    <n v="2"/>
    <n v="1"/>
    <n v="0"/>
    <n v="49"/>
    <n v="6"/>
    <n v="1"/>
    <n v="4"/>
    <n v="2122"/>
    <n v="975"/>
    <n v="1147"/>
    <n v="0.80700000000000005"/>
    <n v="5224"/>
    <n v="85"/>
    <n v="0.66700000000000004"/>
    <n v="0.45900000000000002"/>
    <n v="1.3184000000000001E-4"/>
    <n v="0.99987000000000004"/>
    <n v="41.621260350936097"/>
    <s v="25.346632788083276"/>
    <s v="52.38253000371006"/>
    <s v="16.258221315939366"/>
    <n v="715155033"/>
    <x v="0"/>
    <n v="3.8272605000000003E-4"/>
    <x v="0"/>
  </r>
  <r>
    <n v="52"/>
    <n v="0"/>
    <n v="3"/>
    <n v="2"/>
    <n v="1"/>
    <n v="4"/>
    <n v="0"/>
    <n v="39"/>
    <n v="4"/>
    <n v="3"/>
    <n v="3"/>
    <n v="2001"/>
    <n v="909"/>
    <n v="1092"/>
    <n v="0.77200000000000002"/>
    <n v="4238"/>
    <n v="63"/>
    <n v="0.8"/>
    <n v="0.45400000000000001"/>
    <n v="3.1389999999999999E-4"/>
    <n v="0.99968999999999997"/>
    <s v="5.620472337841217"/>
    <s v="32.31300308465991"/>
    <s v="106.82639714208084"/>
    <s v="17.88004012289673"/>
    <n v="712778658"/>
    <x v="0"/>
    <n v="4.4424269999999999E-4"/>
    <x v="0"/>
  </r>
  <r>
    <n v="39"/>
    <n v="1"/>
    <n v="3"/>
    <n v="3"/>
    <n v="2"/>
    <n v="3"/>
    <n v="0"/>
    <n v="13"/>
    <n v="2"/>
    <n v="1"/>
    <n v="3"/>
    <n v="8656"/>
    <n v="0"/>
    <n v="8656"/>
    <n v="0.89300000000000002"/>
    <n v="8056"/>
    <n v="89"/>
    <n v="0.93500000000000005"/>
    <n v="0"/>
    <n v="0.98941000000000001"/>
    <n v="1.059E-2"/>
    <s v="41.83623045932524"/>
    <s v="52.86723541801474"/>
    <s v="8.417007824631574"/>
    <s v="1.1668907065441914"/>
    <n v="714082308"/>
    <x v="1"/>
    <n v="0.99255353000000002"/>
    <x v="1"/>
  </r>
  <r>
    <n v="34"/>
    <n v="1"/>
    <n v="3"/>
    <n v="3"/>
    <n v="1"/>
    <n v="0"/>
    <n v="0"/>
    <n v="25"/>
    <n v="3"/>
    <n v="2"/>
    <n v="4"/>
    <n v="23959"/>
    <n v="2517"/>
    <n v="21442"/>
    <n v="0.92600000000000005"/>
    <n v="1870"/>
    <n v="45"/>
    <n v="0.66700000000000004"/>
    <n v="0.105"/>
    <n v="3.2941999999999997E-4"/>
    <n v="0.99966999999999995"/>
    <s v="44.026067879304335"/>
    <s v="19.06747265234896"/>
    <n v="48.629022598599398"/>
    <s v="5.744896990241294"/>
    <n v="715241583"/>
    <x v="0"/>
    <n v="1.1048665000000001E-3"/>
    <x v="0"/>
  </r>
  <r>
    <n v="44"/>
    <n v="0"/>
    <n v="1"/>
    <n v="6"/>
    <n v="0"/>
    <n v="5"/>
    <n v="0"/>
    <n v="36"/>
    <n v="3"/>
    <n v="2"/>
    <n v="1"/>
    <n v="17116"/>
    <n v="1289"/>
    <n v="15827"/>
    <n v="0.55900000000000005"/>
    <n v="3632"/>
    <n v="50"/>
    <n v="0.92300000000000004"/>
    <n v="7.4999999999999997E-2"/>
    <s v="7.0819e-05"/>
    <n v="0.99992999999999999"/>
    <s v="2.179771846597388"/>
    <s v="67.10259608822155"/>
    <s v="150.02721090003564"/>
    <s v="19.770605016438196"/>
    <n v="708646233"/>
    <x v="0"/>
    <n v="9.3268490000000001E-4"/>
    <x v="0"/>
  </r>
  <r>
    <n v="53"/>
    <n v="0"/>
    <n v="0"/>
    <n v="3"/>
    <n v="1"/>
    <n v="4"/>
    <n v="0"/>
    <n v="41"/>
    <n v="3"/>
    <n v="3"/>
    <n v="4"/>
    <n v="1438.3"/>
    <n v="0"/>
    <n v="1438.3"/>
    <n v="0.38700000000000001"/>
    <n v="1587"/>
    <n v="42"/>
    <n v="0.44800000000000001"/>
    <n v="0"/>
    <n v="0.99768000000000001"/>
    <n v="2.3165600000000001E-3"/>
    <s v="10.48995746214314"/>
    <s v="7.813687793066125"/>
    <s v="86.93042891379746"/>
    <s v="17.87586017773136"/>
    <n v="708731658"/>
    <x v="1"/>
    <n v="0.99820969999999998"/>
    <x v="1"/>
  </r>
  <r>
    <n v="49"/>
    <n v="0"/>
    <n v="2"/>
    <n v="5"/>
    <n v="2"/>
    <n v="1"/>
    <n v="0"/>
    <n v="37"/>
    <n v="2"/>
    <n v="1"/>
    <n v="3"/>
    <n v="7045"/>
    <n v="1293"/>
    <n v="5752"/>
    <n v="0.628"/>
    <n v="7381"/>
    <n v="98"/>
    <n v="0.60699999999999998"/>
    <n v="0.184"/>
    <s v="9.5249e-05"/>
    <n v="0.99990000000000001"/>
    <s v="1.8970598633011329"/>
    <s v="1.4783855430344492"/>
    <s v="39.43834230374367"/>
    <s v="13.878701451573622"/>
    <n v="780620883"/>
    <x v="0"/>
    <n v="3.7789578000000003E-4"/>
    <x v="0"/>
  </r>
  <r>
    <n v="26"/>
    <n v="1"/>
    <n v="1"/>
    <n v="0"/>
    <n v="2"/>
    <n v="1"/>
    <n v="0"/>
    <n v="36"/>
    <n v="3"/>
    <n v="4"/>
    <n v="3"/>
    <n v="2703"/>
    <n v="1256"/>
    <n v="1447"/>
    <n v="0.94899999999999995"/>
    <n v="2111"/>
    <n v="29"/>
    <n v="0.70599999999999996"/>
    <n v="0.46500000000000002"/>
    <n v="3.3362000000000002E-4"/>
    <n v="0.99966999999999995"/>
    <s v="25.35755116620104"/>
    <s v="26.83265543192153"/>
    <s v="52.095713306558665"/>
    <s v="15.748929568122293"/>
    <n v="715843533"/>
    <x v="0"/>
    <n v="1.3312350000000001E-3"/>
    <x v="0"/>
  </r>
  <r>
    <n v="59"/>
    <n v="1"/>
    <n v="0"/>
    <n v="3"/>
    <n v="1"/>
    <n v="3"/>
    <n v="0"/>
    <n v="47"/>
    <n v="5"/>
    <n v="1"/>
    <n v="2"/>
    <n v="3278"/>
    <n v="1306"/>
    <n v="1972"/>
    <n v="0.39900000000000002"/>
    <n v="1374"/>
    <n v="32"/>
    <n v="0.39100000000000001"/>
    <n v="0.39800000000000002"/>
    <s v="4.5946e-05"/>
    <n v="0.99995000000000001"/>
    <s v="5.216001113406289"/>
    <s v="1.4876253822857417"/>
    <s v="109.39672663731366"/>
    <s v="1.2881249432072557"/>
    <n v="718777008"/>
    <x v="0"/>
    <n v="1.1982243E-3"/>
    <x v="0"/>
  </r>
  <r>
    <n v="46"/>
    <n v="1"/>
    <n v="3"/>
    <n v="2"/>
    <n v="1"/>
    <n v="3"/>
    <n v="0"/>
    <n v="37"/>
    <n v="3"/>
    <n v="1"/>
    <n v="4"/>
    <n v="4786"/>
    <n v="0"/>
    <n v="4786"/>
    <n v="0.78900000000000003"/>
    <n v="4347"/>
    <n v="69"/>
    <n v="0.68300000000000005"/>
    <n v="0"/>
    <n v="1.6399000000000001E-4"/>
    <n v="0.99983999999999995"/>
    <s v="8.818916279201964"/>
    <s v="12.455562394984227"/>
    <n v="2.2364985655643901"/>
    <s v="7.216283441986343"/>
    <n v="718509858"/>
    <x v="0"/>
    <n v="7.4965424999999997E-4"/>
    <x v="0"/>
  </r>
  <r>
    <n v="50"/>
    <n v="1"/>
    <n v="0"/>
    <n v="6"/>
    <n v="0"/>
    <n v="2"/>
    <n v="0"/>
    <n v="36"/>
    <n v="3"/>
    <n v="3"/>
    <n v="2"/>
    <n v="5444"/>
    <n v="2499"/>
    <n v="2945"/>
    <n v="0.46800000000000003"/>
    <n v="4509"/>
    <n v="80"/>
    <n v="0.66700000000000004"/>
    <n v="0.45900000000000002"/>
    <n v="1.6966E-4"/>
    <n v="0.99983"/>
    <s v="1.860266610122992"/>
    <s v="17.977727606695428"/>
    <s v="68.83479774331575"/>
    <s v="8.893459049058253"/>
    <n v="717825033"/>
    <x v="0"/>
    <n v="3.4692350000000002E-4"/>
    <x v="0"/>
  </r>
  <r>
    <n v="42"/>
    <n v="0"/>
    <n v="5"/>
    <n v="2"/>
    <n v="2"/>
    <n v="4"/>
    <n v="0"/>
    <n v="36"/>
    <n v="4"/>
    <n v="2"/>
    <n v="2"/>
    <n v="8464"/>
    <n v="1002"/>
    <n v="7462"/>
    <n v="0.59799999999999998"/>
    <n v="4227"/>
    <n v="92"/>
    <n v="0.84"/>
    <n v="0.11799999999999999"/>
    <n v="1.1751E-4"/>
    <n v="0.99987999999999999"/>
    <s v="23.41152771419688"/>
    <s v="25.459199779344647"/>
    <s v="127.75936736216462"/>
    <s v="6.450069896123884"/>
    <n v="719462433"/>
    <x v="0"/>
    <n v="3.2101269999999999E-4"/>
    <x v="0"/>
  </r>
  <r>
    <n v="38"/>
    <n v="0"/>
    <n v="4"/>
    <n v="5"/>
    <n v="1"/>
    <n v="4"/>
    <n v="0"/>
    <n v="27"/>
    <n v="1"/>
    <n v="3"/>
    <n v="1"/>
    <n v="1736"/>
    <n v="1319"/>
    <n v="417"/>
    <n v="0.66700000000000004"/>
    <n v="5045"/>
    <n v="86"/>
    <n v="0.755"/>
    <n v="0.76"/>
    <n v="1.1697E-4"/>
    <n v="0.99987999999999999"/>
    <s v="7.191379889399115"/>
    <s v="11.29856523796764"/>
    <s v="124.98939710755916"/>
    <s v="1.7187126564824888"/>
    <n v="779613933"/>
    <x v="0"/>
    <n v="3.2101269999999999E-4"/>
    <x v="0"/>
  </r>
  <r>
    <n v="33"/>
    <n v="0"/>
    <n v="1"/>
    <n v="5"/>
    <n v="2"/>
    <n v="4"/>
    <n v="0"/>
    <n v="36"/>
    <n v="5"/>
    <n v="3"/>
    <n v="3"/>
    <n v="8398"/>
    <n v="1875"/>
    <n v="6523"/>
    <n v="0.72699999999999998"/>
    <n v="16706"/>
    <n v="123"/>
    <n v="0.75700000000000001"/>
    <n v="0.223"/>
    <n v="2.9196000000000002E-4"/>
    <n v="0.99970999999999999"/>
    <s v="60.60611915161392"/>
    <s v="11.692932969026272"/>
    <s v="58.74070029240961"/>
    <s v="29.23260327664353"/>
    <n v="720608658"/>
    <x v="0"/>
    <n v="3.4656386999999997E-4"/>
    <x v="0"/>
  </r>
  <r>
    <n v="50"/>
    <n v="0"/>
    <n v="2"/>
    <n v="2"/>
    <n v="1"/>
    <n v="5"/>
    <n v="1"/>
    <n v="40"/>
    <n v="2"/>
    <n v="1"/>
    <n v="1"/>
    <n v="34516"/>
    <n v="1826"/>
    <n v="32690"/>
    <n v="0.71799999999999997"/>
    <n v="14994"/>
    <n v="121"/>
    <n v="0.83299999999999996"/>
    <n v="5.2999999999999999E-2"/>
    <s v="3.8266e-05"/>
    <n v="0.99995999999999996"/>
    <s v="6.122337168977805"/>
    <n v="54.664629960906801"/>
    <s v="13.599231343754075"/>
    <s v="8.438778124152243"/>
    <n v="718337733"/>
    <x v="0"/>
    <n v="3.8573547000000003E-4"/>
    <x v="0"/>
  </r>
  <r>
    <n v="37"/>
    <n v="0"/>
    <n v="2"/>
    <n v="3"/>
    <n v="2"/>
    <n v="4"/>
    <n v="0"/>
    <n v="28"/>
    <n v="5"/>
    <n v="2"/>
    <n v="1"/>
    <n v="7411"/>
    <n v="633"/>
    <n v="6778"/>
    <n v="0.76200000000000001"/>
    <n v="2761"/>
    <n v="77"/>
    <n v="0.60399999999999998"/>
    <n v="8.5000000000000006E-2"/>
    <s v="6.6728e-05"/>
    <n v="0.99992999999999999"/>
    <s v="13.40114458380314"/>
    <s v="11.067371637054816"/>
    <s v="117.72547288003123"/>
    <s v="13.426431202634198"/>
    <n v="709886583"/>
    <x v="0"/>
    <n v="6.8373757000000002E-4"/>
    <x v="0"/>
  </r>
  <r>
    <n v="60"/>
    <n v="0"/>
    <n v="0"/>
    <n v="0"/>
    <n v="2"/>
    <n v="4"/>
    <n v="0"/>
    <n v="48"/>
    <n v="5"/>
    <n v="1"/>
    <n v="3"/>
    <n v="1438.3"/>
    <n v="0"/>
    <n v="1438.3"/>
    <n v="0.65300000000000002"/>
    <n v="4104"/>
    <n v="83"/>
    <n v="0.72899999999999998"/>
    <n v="0"/>
    <s v="7.7286e-05"/>
    <n v="0.99992000000000003"/>
    <s v="2.8870719659211863"/>
    <s v="11.033759590776755"/>
    <s v="29.168853396660484"/>
    <s v="22.34335520399429"/>
    <n v="771455508"/>
    <x v="0"/>
    <n v="6.9517245999999998E-4"/>
    <x v="0"/>
  </r>
  <r>
    <n v="46"/>
    <n v="1"/>
    <n v="4"/>
    <n v="5"/>
    <n v="2"/>
    <n v="3"/>
    <n v="0"/>
    <n v="36"/>
    <n v="1"/>
    <n v="2"/>
    <n v="3"/>
    <n v="10492"/>
    <n v="1094"/>
    <n v="9398"/>
    <n v="0.91500000000000004"/>
    <n v="13764"/>
    <n v="104"/>
    <n v="0.73299999999999998"/>
    <n v="0.104"/>
    <n v="2.0642999999999999E-4"/>
    <n v="0.99978999999999996"/>
    <s v="21.264176846741037"/>
    <s v="11.48460864849026"/>
    <s v="7.827110577080775"/>
    <s v="17.107468185755927"/>
    <n v="720535008"/>
    <x v="0"/>
    <n v="3.6437239999999999E-4"/>
    <x v="0"/>
  </r>
  <r>
    <n v="57"/>
    <n v="0"/>
    <n v="3"/>
    <n v="3"/>
    <n v="2"/>
    <n v="4"/>
    <n v="0"/>
    <n v="53"/>
    <n v="1"/>
    <n v="3"/>
    <n v="2"/>
    <n v="3029"/>
    <n v="2214"/>
    <n v="815"/>
    <n v="0.7"/>
    <n v="4750"/>
    <n v="89"/>
    <n v="0.97799999999999998"/>
    <n v="0.73099999999999998"/>
    <n v="1.8144999999999999E-4"/>
    <n v="0.99982000000000004"/>
    <s v="26.14021064296197"/>
    <s v="36.33609002630409"/>
    <n v="74.658880320614799"/>
    <n v="0.15240356900140001"/>
    <n v="826783233"/>
    <x v="0"/>
    <n v="3.2101269999999999E-4"/>
    <x v="0"/>
  </r>
  <r>
    <n v="38"/>
    <n v="0"/>
    <n v="2"/>
    <n v="1"/>
    <n v="1"/>
    <n v="4"/>
    <n v="0"/>
    <n v="33"/>
    <n v="4"/>
    <n v="3"/>
    <n v="3"/>
    <n v="7530"/>
    <n v="1336"/>
    <n v="6194"/>
    <n v="0.749"/>
    <n v="14719"/>
    <n v="115"/>
    <n v="0.85499999999999998"/>
    <n v="0.17699999999999999"/>
    <n v="4.3772E-4"/>
    <n v="0.99956"/>
    <s v="49.07912516474989"/>
    <s v="2.971036121070232"/>
    <n v="35.897546108438704"/>
    <s v="7.231205001908392"/>
    <n v="816517683"/>
    <x v="0"/>
    <n v="3.4656386999999997E-4"/>
    <x v="0"/>
  </r>
  <r>
    <n v="42"/>
    <n v="1"/>
    <n v="2"/>
    <n v="0"/>
    <n v="1"/>
    <n v="2"/>
    <n v="0"/>
    <n v="28"/>
    <n v="6"/>
    <n v="1"/>
    <n v="3"/>
    <n v="7340"/>
    <n v="0"/>
    <n v="7340"/>
    <n v="0.65"/>
    <n v="838"/>
    <n v="24"/>
    <n v="0.41199999999999998"/>
    <n v="0"/>
    <n v="0.98902000000000001"/>
    <n v="1.098E-2"/>
    <s v="18.16877444916407"/>
    <s v="82.44503134838284"/>
    <s v="91.34545054858464"/>
    <s v="3.606654746095192"/>
    <n v="770724558"/>
    <x v="1"/>
    <n v="0.99867176999999996"/>
    <x v="1"/>
  </r>
  <r>
    <n v="39"/>
    <n v="0"/>
    <n v="1"/>
    <n v="2"/>
    <n v="2"/>
    <n v="4"/>
    <n v="0"/>
    <n v="24"/>
    <n v="4"/>
    <n v="3"/>
    <n v="3"/>
    <n v="2310"/>
    <n v="1306"/>
    <n v="1004"/>
    <n v="0.52500000000000002"/>
    <n v="4343"/>
    <n v="74"/>
    <n v="0.68200000000000005"/>
    <n v="0.56499999999999995"/>
    <n v="2.8394999999999999E-4"/>
    <n v="0.99972000000000005"/>
    <s v="7.613619853333983"/>
    <s v="39.92444680036748"/>
    <s v="48.783067457395525"/>
    <s v="24.45603488191449"/>
    <n v="720527058"/>
    <x v="0"/>
    <n v="3.2101269999999999E-4"/>
    <x v="0"/>
  </r>
  <r>
    <n v="63"/>
    <n v="0"/>
    <n v="0"/>
    <n v="5"/>
    <n v="2"/>
    <n v="1"/>
    <n v="0"/>
    <n v="56"/>
    <n v="3"/>
    <n v="6"/>
    <n v="4"/>
    <n v="1438.3"/>
    <n v="0"/>
    <n v="1438.3"/>
    <n v="0.86399999999999999"/>
    <n v="3630"/>
    <n v="71"/>
    <n v="0.57799999999999996"/>
    <n v="0"/>
    <n v="3.5943999999999999E-4"/>
    <n v="0.99963999999999997"/>
    <s v="14.557043800754297"/>
    <s v="11.486168785593962"/>
    <s v="153.47264884572684"/>
    <s v="8.955743079523797"/>
    <n v="795052083"/>
    <x v="0"/>
    <n v="7.9661230000000003E-4"/>
    <x v="0"/>
  </r>
  <r>
    <n v="43"/>
    <n v="0"/>
    <n v="0"/>
    <n v="3"/>
    <n v="1"/>
    <n v="4"/>
    <n v="0"/>
    <n v="35"/>
    <n v="1"/>
    <n v="1"/>
    <n v="0"/>
    <n v="8401"/>
    <n v="1085"/>
    <n v="7316"/>
    <n v="0.69599999999999995"/>
    <n v="7697"/>
    <n v="98"/>
    <n v="0.50800000000000001"/>
    <n v="0.129"/>
    <s v="1.6948e-05"/>
    <n v="0.99997999999999998"/>
    <s v="4.862647275817971"/>
    <s v="27.41680203333857"/>
    <s v="27.14068029269824"/>
    <s v="14.595136157927502"/>
    <n v="713824983"/>
    <x v="0"/>
    <n v="3.9225167999999998E-4"/>
    <x v="0"/>
  </r>
  <r>
    <n v="41"/>
    <n v="1"/>
    <n v="3"/>
    <n v="5"/>
    <n v="1"/>
    <n v="3"/>
    <n v="0"/>
    <n v="31"/>
    <n v="4"/>
    <n v="2"/>
    <n v="2"/>
    <n v="4740"/>
    <n v="1348"/>
    <n v="3392"/>
    <n v="0.47199999999999998"/>
    <n v="1406"/>
    <n v="23"/>
    <n v="0.53300000000000003"/>
    <n v="0.28399999999999997"/>
    <n v="1.2144E-4"/>
    <n v="0.99987999999999999"/>
    <s v="5.646675911535129"/>
    <s v="9.943943632016063"/>
    <s v="82.01748479682752"/>
    <s v="19.914873921382643"/>
    <n v="711999783"/>
    <x v="0"/>
    <n v="1.1544054E-3"/>
    <x v="0"/>
  </r>
  <r>
    <n v="48"/>
    <n v="1"/>
    <n v="4"/>
    <n v="4"/>
    <n v="2"/>
    <n v="0"/>
    <n v="0"/>
    <n v="38"/>
    <n v="5"/>
    <n v="2"/>
    <n v="0"/>
    <n v="34516"/>
    <n v="1639"/>
    <n v="32877"/>
    <n v="0.68799999999999994"/>
    <n v="4959"/>
    <n v="74"/>
    <n v="0.80500000000000005"/>
    <n v="4.7E-2"/>
    <s v="5.1813e-05"/>
    <n v="0.99995000000000001"/>
    <s v="57.56822363329084"/>
    <s v="112.28729202733598"/>
    <s v="34.15958424436684"/>
    <s v="6.958038770159286"/>
    <n v="714169083"/>
    <x v="0"/>
    <n v="3.5729867999999997E-4"/>
    <x v="0"/>
  </r>
  <r>
    <n v="41"/>
    <n v="0"/>
    <n v="2"/>
    <n v="2"/>
    <n v="2"/>
    <n v="4"/>
    <n v="0"/>
    <n v="30"/>
    <n v="3"/>
    <n v="2"/>
    <n v="2"/>
    <n v="3028"/>
    <n v="2270"/>
    <n v="758"/>
    <n v="0.80400000000000005"/>
    <n v="4727"/>
    <n v="78"/>
    <n v="0.66"/>
    <n v="0.75"/>
    <n v="1.1382E-4"/>
    <n v="0.99988999999999995"/>
    <s v="4.250959084940683"/>
    <s v="1.0236167205771862"/>
    <s v="16.21286900749103"/>
    <s v="2.3852483438455225"/>
    <n v="787519683"/>
    <x v="0"/>
    <n v="3.2101269999999999E-4"/>
    <x v="0"/>
  </r>
  <r>
    <n v="50"/>
    <n v="1"/>
    <n v="2"/>
    <n v="2"/>
    <n v="1"/>
    <n v="0"/>
    <n v="0"/>
    <n v="41"/>
    <n v="1"/>
    <n v="3"/>
    <n v="3"/>
    <n v="4607"/>
    <n v="0"/>
    <n v="4607"/>
    <n v="0.89800000000000002"/>
    <n v="4793"/>
    <n v="88"/>
    <n v="0.63"/>
    <n v="0"/>
    <n v="3.0250999999999998E-4"/>
    <n v="0.99970000000000003"/>
    <s v="23.063670354896644"/>
    <s v="22.359683671845684"/>
    <s v="23.55530840938195"/>
    <s v="2.6718022558965626"/>
    <n v="781073733"/>
    <x v="0"/>
    <n v="7.6589819999999995E-4"/>
    <x v="0"/>
  </r>
  <r>
    <n v="26"/>
    <n v="0"/>
    <n v="0"/>
    <n v="2"/>
    <n v="2"/>
    <n v="1"/>
    <n v="0"/>
    <n v="13"/>
    <n v="6"/>
    <n v="3"/>
    <n v="4"/>
    <n v="1643"/>
    <n v="1101"/>
    <n v="542"/>
    <n v="0.71299999999999997"/>
    <n v="2152"/>
    <n v="50"/>
    <n v="0.47099999999999997"/>
    <n v="0.67"/>
    <n v="4.4282000000000002E-4"/>
    <n v="0.99956"/>
    <s v="31.823861982450047"/>
    <s v="15.280169120725391"/>
    <s v="52.63585354199906"/>
    <s v="12.995738963105136"/>
    <n v="712586583"/>
    <x v="0"/>
    <n v="1.237803E-3"/>
    <x v="0"/>
  </r>
  <r>
    <n v="36"/>
    <n v="0"/>
    <n v="3"/>
    <n v="2"/>
    <n v="1"/>
    <n v="4"/>
    <n v="0"/>
    <n v="27"/>
    <n v="1"/>
    <n v="2"/>
    <n v="3"/>
    <n v="2328"/>
    <n v="1953"/>
    <n v="375"/>
    <n v="0.59899999999999998"/>
    <n v="4373"/>
    <n v="89"/>
    <n v="0.93500000000000005"/>
    <n v="0.83899999999999997"/>
    <n v="1.9864000000000001E-4"/>
    <n v="0.99980000000000002"/>
    <n v="4.6891779766459996"/>
    <s v="2.214811062832392"/>
    <s v="34.21152553951037"/>
    <s v="2.845490200179739"/>
    <n v="711984633"/>
    <x v="0"/>
    <n v="3.2101269999999999E-4"/>
    <x v="0"/>
  </r>
  <r>
    <n v="49"/>
    <n v="0"/>
    <n v="2"/>
    <n v="2"/>
    <n v="1"/>
    <n v="4"/>
    <n v="0"/>
    <n v="39"/>
    <n v="3"/>
    <n v="3"/>
    <n v="3"/>
    <n v="2796"/>
    <n v="1035"/>
    <n v="1761"/>
    <n v="0.66400000000000003"/>
    <n v="4869"/>
    <n v="78"/>
    <n v="0.85699999999999998"/>
    <n v="0.37"/>
    <n v="3.0250999999999998E-4"/>
    <n v="0.99970000000000003"/>
    <n v="10.3797220567183"/>
    <s v="58.376712283262535"/>
    <s v="25.92339068722897"/>
    <s v="3.3120529420109577"/>
    <n v="716352033"/>
    <x v="0"/>
    <n v="3.2101269999999999E-4"/>
    <x v="0"/>
  </r>
  <r>
    <n v="49"/>
    <n v="1"/>
    <n v="3"/>
    <n v="0"/>
    <n v="1"/>
    <n v="0"/>
    <n v="0"/>
    <n v="43"/>
    <n v="5"/>
    <n v="3"/>
    <n v="3"/>
    <n v="4781"/>
    <n v="0"/>
    <n v="4781"/>
    <n v="0.78800000000000003"/>
    <n v="2451"/>
    <n v="50"/>
    <n v="0.66700000000000004"/>
    <n v="0"/>
    <n v="0.99673999999999996"/>
    <n v="3.2649799999999998E-3"/>
    <s v="0.4119938333001028"/>
    <s v="5.718762487139617"/>
    <s v="43.96974926737168"/>
    <s v="8.292645978967872"/>
    <n v="768162108"/>
    <x v="1"/>
    <n v="0.99814259999999999"/>
    <x v="1"/>
  </r>
  <r>
    <n v="33"/>
    <n v="1"/>
    <n v="2"/>
    <n v="0"/>
    <n v="1"/>
    <n v="3"/>
    <n v="0"/>
    <n v="36"/>
    <n v="3"/>
    <n v="1"/>
    <n v="2"/>
    <n v="2355"/>
    <n v="1773"/>
    <n v="582"/>
    <n v="0.77400000000000002"/>
    <n v="1765"/>
    <n v="27"/>
    <n v="0.92900000000000005"/>
    <n v="0.753"/>
    <s v="5.3547e-05"/>
    <n v="0.99995000000000001"/>
    <s v="5.073743121571461"/>
    <s v="24.020006944890905"/>
    <s v="17.278500983942564"/>
    <s v="1.452008984745035"/>
    <n v="716569983"/>
    <x v="0"/>
    <n v="1.0249399E-3"/>
    <x v="0"/>
  </r>
  <r>
    <n v="44"/>
    <n v="0"/>
    <n v="3"/>
    <n v="3"/>
    <n v="2"/>
    <n v="4"/>
    <n v="0"/>
    <n v="37"/>
    <n v="3"/>
    <n v="2"/>
    <n v="2"/>
    <n v="8512"/>
    <n v="1471"/>
    <n v="7041"/>
    <n v="0.86699999999999999"/>
    <n v="4056"/>
    <n v="81"/>
    <n v="0.84099999999999997"/>
    <n v="0.17299999999999999"/>
    <n v="1.1482E-4"/>
    <n v="0.99988999999999995"/>
    <s v="11.528869189416296"/>
    <s v="4.650060589134004"/>
    <s v="7.7604626838109265"/>
    <s v="13.107972948589332"/>
    <n v="789580908"/>
    <x v="0"/>
    <n v="3.2101269999999999E-4"/>
    <x v="0"/>
  </r>
  <r>
    <n v="42"/>
    <n v="1"/>
    <n v="2"/>
    <n v="5"/>
    <n v="2"/>
    <n v="2"/>
    <n v="0"/>
    <n v="30"/>
    <n v="2"/>
    <n v="2"/>
    <n v="3"/>
    <n v="6414"/>
    <n v="0"/>
    <n v="6414"/>
    <n v="0.71799999999999997"/>
    <n v="708"/>
    <n v="14"/>
    <n v="0.4"/>
    <n v="0"/>
    <n v="0.99495"/>
    <n v="5.0499999999999998E-3"/>
    <s v="29.94790673070952"/>
    <s v="69.42829705355364"/>
    <s v="117.43542403894082"/>
    <s v="10.68750453593194"/>
    <n v="721249158"/>
    <x v="1"/>
    <n v="0.99877890000000003"/>
    <x v="1"/>
  </r>
  <r>
    <n v="49"/>
    <n v="1"/>
    <n v="4"/>
    <n v="3"/>
    <n v="2"/>
    <n v="3"/>
    <n v="0"/>
    <n v="38"/>
    <n v="4"/>
    <n v="3"/>
    <n v="0"/>
    <n v="31302"/>
    <n v="1953"/>
    <n v="29349"/>
    <n v="0.875"/>
    <n v="1564"/>
    <n v="35"/>
    <n v="2.1819999999999999"/>
    <n v="6.2E-2"/>
    <s v="6.765e-05"/>
    <n v="0.99992999999999999"/>
    <s v="70.70199712973856"/>
    <s v="13.240634755229742"/>
    <s v="86.75117295076996"/>
    <s v="17.907147641243355"/>
    <n v="714070758"/>
    <x v="0"/>
    <n v="1.0985557E-3"/>
    <x v="0"/>
  </r>
  <r>
    <n v="47"/>
    <n v="1"/>
    <n v="1"/>
    <n v="6"/>
    <n v="0"/>
    <n v="3"/>
    <n v="0"/>
    <n v="38"/>
    <n v="5"/>
    <n v="3"/>
    <n v="5"/>
    <n v="18432"/>
    <n v="1422"/>
    <n v="17010"/>
    <n v="1.357"/>
    <n v="2748"/>
    <n v="58"/>
    <n v="0.93300000000000005"/>
    <n v="7.6999999999999999E-2"/>
    <n v="9.2091999999999999E-4"/>
    <n v="0.99907999999999997"/>
    <s v="55.019286751876784"/>
    <s v="41.352688747867326"/>
    <s v="47.500598188940366"/>
    <s v="26.83644245265212"/>
    <n v="719888358"/>
    <x v="0"/>
    <n v="3.6489725000000001E-2"/>
    <x v="0"/>
  </r>
  <r>
    <n v="46"/>
    <n v="1"/>
    <n v="3"/>
    <n v="0"/>
    <n v="2"/>
    <n v="3"/>
    <n v="3"/>
    <n v="38"/>
    <n v="3"/>
    <n v="3"/>
    <n v="1"/>
    <n v="34516"/>
    <n v="1278"/>
    <n v="33238"/>
    <n v="0.51"/>
    <n v="4699"/>
    <n v="73"/>
    <n v="0.622"/>
    <n v="3.6999999999999998E-2"/>
    <s v="9.8883e-05"/>
    <n v="0.99990000000000001"/>
    <s v="36.46474952059573"/>
    <s v="64.04840193409376"/>
    <s v="53.544324144245024"/>
    <n v="16.1840790377635"/>
    <n v="788142483"/>
    <x v="0"/>
    <n v="3.6634394000000002E-4"/>
    <x v="0"/>
  </r>
  <r>
    <n v="33"/>
    <n v="0"/>
    <n v="1"/>
    <n v="4"/>
    <n v="1"/>
    <n v="4"/>
    <n v="0"/>
    <n v="15"/>
    <n v="6"/>
    <n v="2"/>
    <n v="0"/>
    <n v="1741"/>
    <n v="1328"/>
    <n v="413"/>
    <n v="0.69"/>
    <n v="2629"/>
    <n v="61"/>
    <n v="0.64900000000000002"/>
    <n v="0.76300000000000001"/>
    <s v="4.6372e-05"/>
    <n v="0.99995000000000001"/>
    <s v="7.510481216969563"/>
    <s v="51.781543377392445"/>
    <s v="140.63758631846585"/>
    <n v="7.3223918130525298"/>
    <n v="779100408"/>
    <x v="0"/>
    <n v="4.3839816000000001E-4"/>
    <x v="0"/>
  </r>
  <r>
    <n v="45"/>
    <n v="1"/>
    <n v="4"/>
    <n v="2"/>
    <n v="0"/>
    <n v="2"/>
    <n v="0"/>
    <n v="37"/>
    <n v="5"/>
    <n v="2"/>
    <n v="4"/>
    <n v="6784"/>
    <n v="891"/>
    <n v="5893"/>
    <n v="1.0469999999999999"/>
    <n v="1900"/>
    <n v="28"/>
    <n v="0.55600000000000005"/>
    <n v="0.13100000000000001"/>
    <n v="3.4247999999999999E-4"/>
    <n v="0.99965999999999999"/>
    <s v="18.434226390228893"/>
    <s v="108.3091133895108"/>
    <s v="30.876770184479508"/>
    <s v="5.747964676797682"/>
    <n v="713346558"/>
    <x v="0"/>
    <n v="1.5460891000000001E-3"/>
    <x v="0"/>
  </r>
  <r>
    <n v="38"/>
    <n v="0"/>
    <n v="2"/>
    <n v="0"/>
    <n v="1"/>
    <n v="4"/>
    <n v="0"/>
    <n v="33"/>
    <n v="1"/>
    <n v="3"/>
    <n v="2"/>
    <n v="3420"/>
    <n v="1405"/>
    <n v="2015"/>
    <n v="0.84299999999999997"/>
    <n v="4267"/>
    <n v="75"/>
    <n v="0.59599999999999997"/>
    <n v="0.41099999999999998"/>
    <n v="1.7488000000000001E-4"/>
    <n v="0.99983"/>
    <s v="30.74552478689077"/>
    <n v="12.9097617687612"/>
    <s v="86.03034572407358"/>
    <s v="16.58113088949527"/>
    <n v="806634783"/>
    <x v="0"/>
    <n v="3.2914013999999999E-4"/>
    <x v="0"/>
  </r>
  <r>
    <n v="28"/>
    <n v="1"/>
    <n v="0"/>
    <n v="5"/>
    <n v="2"/>
    <n v="4"/>
    <n v="0"/>
    <n v="20"/>
    <n v="1"/>
    <n v="1"/>
    <n v="3"/>
    <n v="4342"/>
    <n v="893"/>
    <n v="3449"/>
    <n v="0.878"/>
    <n v="17064"/>
    <n v="116"/>
    <n v="0.75800000000000001"/>
    <n v="0.20599999999999999"/>
    <s v="8.1736e-05"/>
    <n v="0.99992000000000003"/>
    <s v="5.789344221713654"/>
    <s v="60.898804589063296"/>
    <s v="100.46854142118296"/>
    <s v="0.9081165170176388"/>
    <n v="789539058"/>
    <x v="0"/>
    <n v="4.5518312000000002E-4"/>
    <x v="0"/>
  </r>
  <r>
    <n v="49"/>
    <n v="1"/>
    <n v="2"/>
    <n v="5"/>
    <n v="1"/>
    <n v="2"/>
    <n v="0"/>
    <n v="42"/>
    <n v="3"/>
    <n v="3"/>
    <n v="2"/>
    <n v="3783"/>
    <n v="0"/>
    <n v="3783"/>
    <n v="0.59"/>
    <n v="4383"/>
    <n v="82"/>
    <n v="0.78300000000000003"/>
    <n v="0"/>
    <n v="1.8494E-4"/>
    <n v="0.99982000000000004"/>
    <s v="13.202949777779397"/>
    <s v="2.4945354692924457"/>
    <s v="23.372030954849567"/>
    <s v="21.35975139791929"/>
    <n v="709014558"/>
    <x v="0"/>
    <n v="6.9517245999999998E-4"/>
    <x v="0"/>
  </r>
  <r>
    <n v="55"/>
    <n v="1"/>
    <n v="2"/>
    <n v="1"/>
    <n v="2"/>
    <n v="3"/>
    <n v="0"/>
    <n v="36"/>
    <n v="6"/>
    <n v="3"/>
    <n v="3"/>
    <n v="3046"/>
    <n v="2415"/>
    <n v="631"/>
    <n v="0.49199999999999999"/>
    <n v="3153"/>
    <n v="57"/>
    <n v="0.58299999999999996"/>
    <n v="0.79300000000000004"/>
    <n v="4.3772E-4"/>
    <n v="0.99956"/>
    <s v="56.07021671976503"/>
    <s v="26.174937288325214"/>
    <s v="10.097636594479964"/>
    <s v="1.0477159164324037"/>
    <n v="717212958"/>
    <x v="0"/>
    <n v="4.5822666000000002E-4"/>
    <x v="0"/>
  </r>
  <r>
    <n v="30"/>
    <n v="0"/>
    <n v="1"/>
    <n v="0"/>
    <n v="2"/>
    <n v="4"/>
    <n v="0"/>
    <n v="24"/>
    <n v="4"/>
    <n v="3"/>
    <n v="0"/>
    <n v="3450"/>
    <n v="2517"/>
    <n v="933"/>
    <n v="0.65200000000000002"/>
    <n v="2545"/>
    <n v="64"/>
    <n v="0.77800000000000002"/>
    <n v="0.73"/>
    <s v="6.0552e-05"/>
    <n v="0.99994000000000005"/>
    <s v="23.79530349898216"/>
    <s v="28.51381568893358"/>
    <s v="61.76353795494592"/>
    <s v="5.451179413894537"/>
    <n v="814571058"/>
    <x v="0"/>
    <n v="4.4824787999999999E-4"/>
    <x v="0"/>
  </r>
  <r>
    <n v="38"/>
    <n v="1"/>
    <n v="5"/>
    <n v="6"/>
    <n v="1"/>
    <n v="3"/>
    <n v="0"/>
    <n v="26"/>
    <n v="5"/>
    <n v="1"/>
    <n v="2"/>
    <n v="16033"/>
    <n v="766"/>
    <n v="15267"/>
    <n v="0.68200000000000005"/>
    <n v="15260"/>
    <n v="115"/>
    <n v="0.85499999999999998"/>
    <n v="4.8000000000000001E-2"/>
    <s v="6.2502e-05"/>
    <n v="0.99994000000000005"/>
    <s v="5.732139615071235"/>
    <s v="21.99313606988228"/>
    <s v="51.58732290405685"/>
    <s v="5.722746164455181"/>
    <n v="716990883"/>
    <x v="0"/>
    <n v="6.3162530000000002E-4"/>
    <x v="0"/>
  </r>
  <r>
    <n v="40"/>
    <n v="0"/>
    <n v="4"/>
    <n v="2"/>
    <n v="1"/>
    <n v="1"/>
    <n v="3"/>
    <n v="32"/>
    <n v="1"/>
    <n v="2"/>
    <n v="3"/>
    <n v="16191"/>
    <n v="0"/>
    <n v="16191"/>
    <n v="0.96699999999999997"/>
    <n v="13452"/>
    <n v="107"/>
    <n v="0.621"/>
    <n v="0"/>
    <n v="1.8141000000000001E-4"/>
    <n v="0.99982000000000004"/>
    <s v="30.067063977263796"/>
    <s v="44.59205710984037"/>
    <s v="72.41213823621278"/>
    <s v="0.8016739707686477"/>
    <n v="719924433"/>
    <x v="0"/>
    <n v="8.2682739999999995E-4"/>
    <x v="0"/>
  </r>
  <r>
    <n v="42"/>
    <n v="1"/>
    <n v="4"/>
    <n v="2"/>
    <n v="3"/>
    <n v="2"/>
    <n v="3"/>
    <n v="30"/>
    <n v="3"/>
    <n v="1"/>
    <n v="3"/>
    <n v="29937"/>
    <n v="0"/>
    <n v="29937"/>
    <n v="0.746"/>
    <n v="14863"/>
    <n v="109"/>
    <n v="0.627"/>
    <n v="0"/>
    <s v="8.7785e-05"/>
    <n v="0.99990999999999997"/>
    <s v="15.895788225714735"/>
    <s v="34.633579638027264"/>
    <s v="36.963138425143214"/>
    <s v="9.267202338287769"/>
    <n v="708248358"/>
    <x v="0"/>
    <n v="7.6947116999999995E-4"/>
    <x v="0"/>
  </r>
  <r>
    <n v="45"/>
    <n v="1"/>
    <n v="3"/>
    <n v="2"/>
    <n v="1"/>
    <n v="1"/>
    <n v="0"/>
    <n v="35"/>
    <n v="5"/>
    <n v="3"/>
    <n v="2"/>
    <n v="3538"/>
    <n v="0"/>
    <n v="3538"/>
    <n v="0.65300000000000002"/>
    <n v="4123"/>
    <n v="74"/>
    <n v="0.76200000000000001"/>
    <n v="0"/>
    <n v="1.8665000000000001E-4"/>
    <n v="0.99980999999999998"/>
    <s v="2.518877704610443"/>
    <s v="41.683060967813184"/>
    <s v="14.35623710180789"/>
    <s v="13.740055723734594"/>
    <n v="715196508"/>
    <x v="0"/>
    <n v="6.9517245999999998E-4"/>
    <x v="0"/>
  </r>
  <r>
    <n v="49"/>
    <n v="1"/>
    <n v="3"/>
    <n v="6"/>
    <n v="1"/>
    <n v="2"/>
    <n v="0"/>
    <n v="36"/>
    <n v="6"/>
    <n v="3"/>
    <n v="3"/>
    <n v="7451"/>
    <n v="1542"/>
    <n v="5909"/>
    <n v="0.68400000000000005"/>
    <n v="4960"/>
    <n v="97"/>
    <n v="0.56499999999999995"/>
    <n v="0.20699999999999999"/>
    <n v="3.4503000000000002E-4"/>
    <n v="0.99965000000000004"/>
    <s v="5.702485644239208"/>
    <s v="64.05549967172387"/>
    <s v="86.01305648187416"/>
    <s v="15.550767857353955"/>
    <n v="720778458"/>
    <x v="0"/>
    <n v="3.2914013999999999E-4"/>
    <x v="0"/>
  </r>
  <r>
    <n v="26"/>
    <n v="0"/>
    <n v="0"/>
    <n v="6"/>
    <n v="2"/>
    <n v="5"/>
    <n v="0"/>
    <n v="36"/>
    <n v="3"/>
    <n v="3"/>
    <n v="2"/>
    <n v="7595"/>
    <n v="1032"/>
    <n v="6563"/>
    <n v="1.0349999999999999"/>
    <n v="4080"/>
    <n v="72"/>
    <n v="0.8"/>
    <n v="0.13600000000000001"/>
    <n v="1.6966E-4"/>
    <n v="0.99983"/>
    <s v="17.269441542063227"/>
    <s v="56.68075304160003"/>
    <s v="7.0718157791815335"/>
    <s v="12.66868904751126"/>
    <n v="711336033"/>
    <x v="0"/>
    <n v="3.3750932000000002E-4"/>
    <x v="0"/>
  </r>
  <r>
    <n v="39"/>
    <n v="0"/>
    <n v="1"/>
    <n v="2"/>
    <n v="3"/>
    <n v="4"/>
    <n v="0"/>
    <n v="25"/>
    <n v="4"/>
    <n v="2"/>
    <n v="3"/>
    <n v="2006"/>
    <n v="1197"/>
    <n v="809"/>
    <n v="0.877"/>
    <n v="4139"/>
    <n v="69"/>
    <n v="0.76900000000000002"/>
    <n v="0.59699999999999998"/>
    <n v="1.7969000000000001E-4"/>
    <n v="0.99982000000000004"/>
    <s v="32.75688666288104"/>
    <s v="34.169251298262616"/>
    <s v="144.16550513068546"/>
    <s v="15.72344601337024"/>
    <n v="780272208"/>
    <x v="0"/>
    <n v="3.2101269999999999E-4"/>
    <x v="0"/>
  </r>
  <r>
    <n v="43"/>
    <n v="0"/>
    <n v="3"/>
    <n v="3"/>
    <n v="3"/>
    <n v="5"/>
    <n v="0"/>
    <n v="28"/>
    <n v="6"/>
    <n v="2"/>
    <n v="3"/>
    <n v="6720"/>
    <n v="2143"/>
    <n v="4577"/>
    <n v="0.81399999999999995"/>
    <n v="5049"/>
    <n v="85"/>
    <n v="0.73499999999999999"/>
    <n v="0.31900000000000001"/>
    <n v="1.9311E-4"/>
    <n v="0.99980999999999998"/>
    <s v="23.78149655956975"/>
    <n v="7.21237016165193"/>
    <s v="13.084081171095535"/>
    <n v="4.5177100452006602"/>
    <n v="720210483"/>
    <x v="0"/>
    <n v="3.2101269999999999E-4"/>
    <x v="0"/>
  </r>
  <r>
    <n v="41"/>
    <n v="1"/>
    <n v="3"/>
    <n v="5"/>
    <n v="1"/>
    <n v="3"/>
    <n v="0"/>
    <n v="24"/>
    <n v="4"/>
    <n v="3"/>
    <n v="3"/>
    <n v="4119"/>
    <n v="1656"/>
    <n v="2463"/>
    <n v="0.56100000000000005"/>
    <n v="1455"/>
    <n v="35"/>
    <n v="0.66700000000000004"/>
    <n v="0.40200000000000002"/>
    <n v="3.2275000000000001E-4"/>
    <n v="0.99968000000000001"/>
    <s v="15.92506995315376"/>
    <s v="31.933921933299967"/>
    <s v="50.43112217886392"/>
    <s v="9.562895119626576"/>
    <n v="708772308"/>
    <x v="0"/>
    <n v="1.0337284E-3"/>
    <x v="0"/>
  </r>
  <r>
    <n v="56"/>
    <n v="0"/>
    <n v="2"/>
    <n v="6"/>
    <n v="1"/>
    <n v="4"/>
    <n v="0"/>
    <n v="36"/>
    <n v="5"/>
    <n v="3"/>
    <n v="3"/>
    <n v="2029"/>
    <n v="974"/>
    <n v="1055"/>
    <n v="0.624"/>
    <n v="4170"/>
    <n v="73"/>
    <n v="0.55300000000000005"/>
    <n v="0.48"/>
    <n v="3.3251E-4"/>
    <n v="0.99966999999999995"/>
    <s v="28.88928256407938"/>
    <s v="49.14880078955173"/>
    <s v="23.12174877754087"/>
    <s v="12.90223713302471"/>
    <n v="718569258"/>
    <x v="0"/>
    <n v="3.9241477000000001E-4"/>
    <x v="0"/>
  </r>
  <r>
    <n v="60"/>
    <n v="0"/>
    <n v="2"/>
    <n v="5"/>
    <n v="3"/>
    <n v="1"/>
    <n v="0"/>
    <n v="52"/>
    <n v="4"/>
    <n v="3"/>
    <n v="2"/>
    <n v="2676"/>
    <n v="1740"/>
    <n v="936"/>
    <n v="0.73499999999999999"/>
    <n v="3863"/>
    <n v="69"/>
    <n v="0.72499999999999998"/>
    <n v="0.65"/>
    <n v="1.8494E-4"/>
    <n v="0.99982000000000004"/>
    <s v="35.14750934757885"/>
    <n v="5.4080137367290604"/>
    <s v="162.15727668524784"/>
    <s v="19.093083048367276"/>
    <n v="718547358"/>
    <x v="0"/>
    <n v="3.2101269999999999E-4"/>
    <x v="0"/>
  </r>
  <r>
    <n v="44"/>
    <n v="1"/>
    <n v="2"/>
    <n v="2"/>
    <n v="1"/>
    <n v="3"/>
    <n v="0"/>
    <n v="36"/>
    <n v="2"/>
    <n v="2"/>
    <n v="2"/>
    <n v="19141"/>
    <n v="1933"/>
    <n v="17208"/>
    <n v="1.05"/>
    <n v="15203"/>
    <n v="114"/>
    <n v="0.78100000000000003"/>
    <n v="0.10100000000000001"/>
    <n v="1.1382E-4"/>
    <n v="0.99988999999999995"/>
    <s v="6.646384258688237"/>
    <s v="12.820725400782717"/>
    <s v="191.4219504533705"/>
    <s v="8.849326451075108"/>
    <n v="712464933"/>
    <x v="0"/>
    <n v="3.6437239999999999E-4"/>
    <x v="0"/>
  </r>
  <r>
    <n v="30"/>
    <n v="1"/>
    <n v="0"/>
    <n v="6"/>
    <n v="2"/>
    <n v="2"/>
    <n v="0"/>
    <n v="20"/>
    <n v="1"/>
    <n v="3"/>
    <n v="3"/>
    <n v="23760"/>
    <n v="1349"/>
    <n v="22411"/>
    <n v="0.96099999999999997"/>
    <n v="13124"/>
    <n v="103"/>
    <n v="0.746"/>
    <n v="5.7000000000000002E-2"/>
    <n v="2.8535000000000002E-4"/>
    <n v="0.99970999999999999"/>
    <s v="17.98276762837016"/>
    <s v="45.92510682798507"/>
    <s v="53.180603545228216"/>
    <s v="12.178302583550217"/>
    <n v="716406483"/>
    <x v="0"/>
    <n v="4.0555582000000002E-4"/>
    <x v="0"/>
  </r>
  <r>
    <n v="42"/>
    <n v="1"/>
    <n v="4"/>
    <n v="5"/>
    <n v="1"/>
    <n v="0"/>
    <n v="0"/>
    <n v="34"/>
    <n v="2"/>
    <n v="3"/>
    <n v="3"/>
    <n v="5195"/>
    <n v="468"/>
    <n v="4727"/>
    <n v="0.56699999999999995"/>
    <n v="2682"/>
    <n v="48"/>
    <n v="0.23100000000000001"/>
    <n v="0.09"/>
    <n v="0.99694000000000005"/>
    <n v="3.0552299999999999E-3"/>
    <s v="9.092120487153098"/>
    <s v="41.617365623671965"/>
    <s v="70.58073451586122"/>
    <s v="6.689970745119303"/>
    <n v="716694108"/>
    <x v="1"/>
    <n v="0.99854904"/>
    <x v="1"/>
  </r>
  <r>
    <n v="37"/>
    <n v="1"/>
    <n v="2"/>
    <n v="5"/>
    <n v="0"/>
    <n v="4"/>
    <n v="3"/>
    <n v="36"/>
    <n v="3"/>
    <n v="3"/>
    <n v="2"/>
    <n v="11568"/>
    <n v="1846"/>
    <n v="9722"/>
    <n v="0.755"/>
    <n v="1701"/>
    <n v="44"/>
    <n v="1.095"/>
    <n v="0.16"/>
    <n v="1.6710999999999999E-4"/>
    <n v="0.99983"/>
    <s v="3.346682102445325"/>
    <s v="6.304514223867113"/>
    <s v="88.90542409332286"/>
    <s v="11.854133164024992"/>
    <n v="719914908"/>
    <x v="0"/>
    <n v="1.0249399E-3"/>
    <x v="0"/>
  </r>
  <r>
    <n v="59"/>
    <n v="1"/>
    <n v="1"/>
    <n v="2"/>
    <n v="2"/>
    <n v="5"/>
    <n v="0"/>
    <n v="36"/>
    <n v="1"/>
    <n v="5"/>
    <n v="2"/>
    <n v="12265"/>
    <n v="1412"/>
    <n v="10853"/>
    <n v="0.64300000000000002"/>
    <n v="7470"/>
    <n v="82"/>
    <n v="0.78300000000000003"/>
    <n v="0.115"/>
    <n v="1.8856999999999999E-4"/>
    <n v="0.99980999999999998"/>
    <s v="55.26863843602791"/>
    <s v="59.73191068794728"/>
    <s v="22.988594552032417"/>
    <s v="15.039122059439904"/>
    <n v="721468533"/>
    <x v="0"/>
    <n v="3.6856539999999998E-4"/>
    <x v="0"/>
  </r>
  <r>
    <n v="61"/>
    <n v="1"/>
    <n v="0"/>
    <n v="4"/>
    <n v="1"/>
    <n v="1"/>
    <n v="0"/>
    <n v="53"/>
    <n v="5"/>
    <n v="1"/>
    <n v="2"/>
    <n v="5561"/>
    <n v="1434"/>
    <n v="4127"/>
    <n v="1.423"/>
    <n v="1820"/>
    <n v="42"/>
    <n v="0.82599999999999996"/>
    <n v="0.25800000000000001"/>
    <s v="5.5613e-05"/>
    <n v="0.99994000000000005"/>
    <s v="0.3608693228233056"/>
    <s v="59.88548259697303"/>
    <s v="9.354624173500202"/>
    <s v="2.4921136146913923"/>
    <n v="715232058"/>
    <x v="0"/>
    <n v="9.8706899999999992E-4"/>
    <x v="0"/>
  </r>
  <r>
    <n v="51"/>
    <n v="0"/>
    <n v="3"/>
    <n v="2"/>
    <n v="1"/>
    <n v="1"/>
    <n v="0"/>
    <n v="45"/>
    <n v="5"/>
    <n v="2"/>
    <n v="3"/>
    <n v="9117"/>
    <n v="1259"/>
    <n v="7858"/>
    <n v="0.88"/>
    <n v="3837"/>
    <n v="75"/>
    <n v="0.70499999999999996"/>
    <n v="0.13800000000000001"/>
    <n v="1.9864000000000001E-4"/>
    <n v="0.99980000000000002"/>
    <s v="6.014966179952113"/>
    <s v="18.66154420621526"/>
    <n v="50.239548222357598"/>
    <s v="8.858474728639147"/>
    <n v="708807483"/>
    <x v="0"/>
    <n v="3.2101269999999999E-4"/>
    <x v="0"/>
  </r>
  <r>
    <n v="51"/>
    <n v="0"/>
    <n v="0"/>
    <n v="1"/>
    <n v="2"/>
    <n v="1"/>
    <n v="0"/>
    <n v="36"/>
    <n v="3"/>
    <n v="2"/>
    <n v="1"/>
    <n v="2637"/>
    <n v="1009"/>
    <n v="1628"/>
    <n v="0.57399999999999995"/>
    <n v="4525"/>
    <n v="83"/>
    <n v="0.72899999999999998"/>
    <n v="0.38300000000000001"/>
    <s v="8.5238e-05"/>
    <n v="0.99990999999999997"/>
    <n v="15.0011265487305"/>
    <s v="93.76314743870924"/>
    <s v="39.75147857254134"/>
    <n v="0.116044637919407"/>
    <n v="714172158"/>
    <x v="0"/>
    <n v="3.2101269999999999E-4"/>
    <x v="0"/>
  </r>
  <r>
    <n v="61"/>
    <n v="1"/>
    <n v="0"/>
    <n v="2"/>
    <n v="1"/>
    <n v="2"/>
    <n v="0"/>
    <n v="49"/>
    <n v="4"/>
    <n v="3"/>
    <n v="4"/>
    <n v="3352"/>
    <n v="1713"/>
    <n v="1639"/>
    <n v="0.65700000000000003"/>
    <n v="1952"/>
    <n v="50"/>
    <n v="0.66700000000000004"/>
    <n v="0.51100000000000001"/>
    <n v="4.4282000000000002E-4"/>
    <n v="0.99956"/>
    <s v="27.30224372323085"/>
    <s v="82.94652867984983"/>
    <s v="41.27894034316332"/>
    <s v="22.85391662401718"/>
    <n v="717268458"/>
    <x v="0"/>
    <n v="9.4502827E-4"/>
    <x v="0"/>
  </r>
  <r>
    <n v="47"/>
    <n v="0"/>
    <n v="4"/>
    <n v="3"/>
    <n v="3"/>
    <n v="5"/>
    <n v="0"/>
    <n v="42"/>
    <n v="3"/>
    <n v="3"/>
    <n v="2"/>
    <n v="16998"/>
    <n v="1404"/>
    <n v="15594"/>
    <n v="0.78500000000000003"/>
    <n v="13977"/>
    <n v="127"/>
    <n v="0.69299999999999995"/>
    <n v="8.3000000000000004E-2"/>
    <n v="1.8338999999999999E-4"/>
    <n v="0.99982000000000004"/>
    <n v="60.132586143035503"/>
    <s v="11.278514698826989"/>
    <s v="65.13165569939902"/>
    <s v="8.403445872944724"/>
    <n v="806649333"/>
    <x v="0"/>
    <n v="3.6583058E-4"/>
    <x v="0"/>
  </r>
  <r>
    <n v="36"/>
    <n v="1"/>
    <n v="1"/>
    <n v="4"/>
    <n v="1"/>
    <n v="3"/>
    <n v="0"/>
    <n v="26"/>
    <n v="3"/>
    <n v="4"/>
    <n v="2"/>
    <n v="21927"/>
    <n v="1291"/>
    <n v="20636"/>
    <n v="0.86399999999999999"/>
    <n v="1946"/>
    <n v="37"/>
    <n v="0.54200000000000004"/>
    <n v="5.8999999999999997E-2"/>
    <n v="2.4007999999999999E-4"/>
    <n v="0.99975999999999998"/>
    <s v="2.3929469661780782"/>
    <s v="14.587570034237109"/>
    <s v="18.70717300078824"/>
    <s v="21.706348437616256"/>
    <n v="772468983"/>
    <x v="0"/>
    <n v="1.3443193E-3"/>
    <x v="0"/>
  </r>
  <r>
    <n v="56"/>
    <n v="1"/>
    <n v="2"/>
    <n v="6"/>
    <n v="2"/>
    <n v="1"/>
    <n v="0"/>
    <n v="48"/>
    <n v="2"/>
    <n v="2"/>
    <n v="1"/>
    <n v="14344"/>
    <n v="2014"/>
    <n v="12330"/>
    <n v="0.72599999999999998"/>
    <n v="7359"/>
    <n v="85"/>
    <n v="0.57399999999999995"/>
    <n v="0.14000000000000001"/>
    <s v="7.5449e-05"/>
    <n v="0.99992000000000003"/>
    <n v="19.772995046640599"/>
    <s v="81.92327745278635"/>
    <s v="98.51911588902767"/>
    <s v="5.484570282109192"/>
    <n v="713664258"/>
    <x v="0"/>
    <n v="3.7789578000000003E-4"/>
    <x v="0"/>
  </r>
  <r>
    <n v="51"/>
    <n v="0"/>
    <n v="1"/>
    <n v="3"/>
    <n v="1"/>
    <n v="4"/>
    <n v="0"/>
    <n v="36"/>
    <n v="3"/>
    <n v="4"/>
    <n v="2"/>
    <n v="1857"/>
    <n v="1033"/>
    <n v="824"/>
    <n v="0.95"/>
    <n v="5149"/>
    <n v="90"/>
    <n v="0.63600000000000001"/>
    <n v="0.55600000000000005"/>
    <n v="1.9835E-4"/>
    <n v="0.99980000000000002"/>
    <s v="18.48460168135841"/>
    <s v="28.21152295143069"/>
    <s v="69.18306164685816"/>
    <s v="24.923861757758917"/>
    <n v="715009833"/>
    <x v="0"/>
    <n v="3.3028650000000001E-4"/>
    <x v="0"/>
  </r>
  <r>
    <n v="37"/>
    <n v="1"/>
    <n v="2"/>
    <n v="2"/>
    <n v="1"/>
    <n v="3"/>
    <n v="0"/>
    <n v="27"/>
    <n v="4"/>
    <n v="2"/>
    <n v="1"/>
    <n v="12702"/>
    <n v="2008"/>
    <n v="10694"/>
    <n v="0.51"/>
    <n v="1992"/>
    <n v="40"/>
    <n v="0.66700000000000004"/>
    <n v="0.158"/>
    <s v="6.864e-05"/>
    <n v="0.99992999999999999"/>
    <s v="31.621401544164755"/>
    <s v="12.611187245968273"/>
    <s v="73.20394948857214"/>
    <s v="23.274744619958064"/>
    <n v="708811233"/>
    <x v="0"/>
    <n v="1.1451696999999999E-3"/>
    <x v="0"/>
  </r>
  <r>
    <n v="56"/>
    <n v="1"/>
    <n v="2"/>
    <n v="5"/>
    <n v="1"/>
    <n v="1"/>
    <n v="0"/>
    <n v="50"/>
    <n v="4"/>
    <n v="2"/>
    <n v="3"/>
    <n v="4458"/>
    <n v="1880"/>
    <n v="2578"/>
    <n v="1.107"/>
    <n v="1424"/>
    <n v="29"/>
    <n v="1.417"/>
    <n v="0.42199999999999999"/>
    <n v="1.9683E-4"/>
    <n v="0.99980000000000002"/>
    <s v="23.173710525620773"/>
    <s v="72.98842012496307"/>
    <s v="45.87836855890687"/>
    <s v="13.563520783430649"/>
    <n v="768563658"/>
    <x v="0"/>
    <n v="9.8706899999999992E-4"/>
    <x v="0"/>
  </r>
  <r>
    <n v="50"/>
    <n v="0"/>
    <n v="3"/>
    <n v="3"/>
    <n v="2"/>
    <n v="4"/>
    <n v="3"/>
    <n v="38"/>
    <n v="3"/>
    <n v="2"/>
    <n v="2"/>
    <n v="12569"/>
    <n v="2167"/>
    <n v="10402"/>
    <n v="0.63400000000000001"/>
    <n v="7344"/>
    <n v="95"/>
    <n v="0.69599999999999995"/>
    <n v="0.17199999999999999"/>
    <n v="1.0374000000000001E-4"/>
    <n v="0.99990000000000001"/>
    <s v="54.66686212421395"/>
    <s v="16.494923432751754"/>
    <s v="102.28913156571214"/>
    <s v="6.2077641994321375"/>
    <n v="708693558"/>
    <x v="0"/>
    <n v="3.6856539999999998E-4"/>
    <x v="0"/>
  </r>
  <r>
    <n v="48"/>
    <n v="0"/>
    <n v="3"/>
    <n v="2"/>
    <n v="1"/>
    <n v="5"/>
    <n v="0"/>
    <n v="39"/>
    <n v="3"/>
    <n v="1"/>
    <n v="2"/>
    <n v="6130"/>
    <n v="1741"/>
    <n v="4389"/>
    <n v="0.57799999999999996"/>
    <n v="4264"/>
    <n v="63"/>
    <n v="0.65800000000000003"/>
    <n v="0.28399999999999997"/>
    <s v="5.7151e-05"/>
    <n v="0.99994000000000005"/>
    <s v="37.164852874022095"/>
    <s v="82.22512071892743"/>
    <s v="134.31105287844758"/>
    <s v="18.789845018999184"/>
    <n v="772813458"/>
    <x v="0"/>
    <n v="3.479205E-4"/>
    <x v="0"/>
  </r>
  <r>
    <n v="33"/>
    <n v="1"/>
    <n v="1"/>
    <n v="2"/>
    <n v="2"/>
    <n v="2"/>
    <n v="0"/>
    <n v="36"/>
    <n v="4"/>
    <n v="3"/>
    <n v="2"/>
    <n v="1819"/>
    <n v="725"/>
    <n v="1094"/>
    <n v="0.73699999999999999"/>
    <n v="2254"/>
    <n v="45"/>
    <n v="0.40600000000000003"/>
    <n v="0.39900000000000002"/>
    <n v="0.99411000000000005"/>
    <n v="5.8900000000000003E-3"/>
    <s v="18.280528129514803"/>
    <s v="9.162491157441808"/>
    <s v="79.74279995456138"/>
    <s v="12.28770331309222"/>
    <n v="708186933"/>
    <x v="1"/>
    <n v="0.99756120000000004"/>
    <x v="1"/>
  </r>
  <r>
    <n v="44"/>
    <n v="0"/>
    <n v="4"/>
    <n v="2"/>
    <n v="2"/>
    <n v="5"/>
    <n v="0"/>
    <n v="36"/>
    <n v="3"/>
    <n v="1"/>
    <n v="3"/>
    <n v="8482"/>
    <n v="0"/>
    <n v="8482"/>
    <n v="0.56299999999999994"/>
    <n v="4076"/>
    <n v="81"/>
    <n v="0.68799999999999994"/>
    <n v="0"/>
    <s v="9.7154e-05"/>
    <n v="0.99990000000000001"/>
    <s v="48.26760194728855"/>
    <s v="23.709818722023424"/>
    <s v="116.25929880848771"/>
    <n v="3.14981116609261"/>
    <n v="721531683"/>
    <x v="0"/>
    <n v="6.9517245999999998E-4"/>
    <x v="0"/>
  </r>
  <r>
    <n v="46"/>
    <n v="0"/>
    <n v="3"/>
    <n v="3"/>
    <n v="2"/>
    <n v="5"/>
    <n v="3"/>
    <n v="36"/>
    <n v="4"/>
    <n v="2"/>
    <n v="3"/>
    <n v="34516"/>
    <n v="154"/>
    <n v="34362"/>
    <n v="0.60199999999999998"/>
    <n v="1987"/>
    <n v="46"/>
    <n v="0.58599999999999997"/>
    <n v="4.0000000000000001E-3"/>
    <n v="0.99429999999999996"/>
    <n v="5.7000000000000002E-3"/>
    <s v="9.875164359826751"/>
    <s v="30.845416740210386"/>
    <s v="55.42413317752575"/>
    <n v="8.0557214698290203"/>
    <n v="710812533"/>
    <x v="1"/>
    <n v="0.99866544999999995"/>
    <x v="1"/>
  </r>
  <r>
    <n v="53"/>
    <n v="1"/>
    <n v="3"/>
    <n v="2"/>
    <n v="2"/>
    <n v="3"/>
    <n v="0"/>
    <n v="45"/>
    <n v="2"/>
    <n v="1"/>
    <n v="2"/>
    <n v="24262"/>
    <n v="1984"/>
    <n v="22278"/>
    <n v="0.80500000000000005"/>
    <n v="8241"/>
    <n v="105"/>
    <n v="0.75"/>
    <n v="8.2000000000000003E-2"/>
    <s v="5.7151e-05"/>
    <n v="0.99994000000000005"/>
    <s v="17.727672887380898"/>
    <s v="77.46833362962474"/>
    <s v="28.931698136526723"/>
    <n v="9.3637288408672799"/>
    <n v="718246458"/>
    <x v="0"/>
    <n v="3.8905455999999999E-4"/>
    <x v="0"/>
  </r>
  <r>
    <n v="48"/>
    <n v="1"/>
    <n v="3"/>
    <n v="2"/>
    <n v="1"/>
    <n v="2"/>
    <n v="0"/>
    <n v="42"/>
    <n v="6"/>
    <n v="1"/>
    <n v="3"/>
    <n v="6085"/>
    <n v="930"/>
    <n v="5155"/>
    <n v="1.3069999999999999"/>
    <n v="3154"/>
    <n v="59"/>
    <n v="0.96699999999999997"/>
    <n v="0.153"/>
    <s v="9.6126e-05"/>
    <n v="0.99990000000000001"/>
    <s v="5.882857598713805"/>
    <s v="18.532069871847646"/>
    <s v="127.62951660215916"/>
    <s v="9.307500843634362"/>
    <n v="767653233"/>
    <x v="0"/>
    <n v="4.8662192000000003E-4"/>
    <x v="0"/>
  </r>
  <r>
    <n v="46"/>
    <n v="0"/>
    <n v="3"/>
    <n v="5"/>
    <n v="2"/>
    <n v="5"/>
    <n v="0"/>
    <n v="42"/>
    <n v="6"/>
    <n v="4"/>
    <n v="2"/>
    <n v="1910"/>
    <n v="1431"/>
    <n v="479"/>
    <n v="0.85099999999999998"/>
    <n v="5253"/>
    <n v="82"/>
    <n v="0.745"/>
    <n v="0.749"/>
    <n v="2.3191999999999999E-4"/>
    <n v="0.99977000000000005"/>
    <n v="8.7644254208422598"/>
    <s v="56.89547269258532"/>
    <s v="9.520764735573565"/>
    <s v="1.843541906831977"/>
    <n v="720079758"/>
    <x v="0"/>
    <n v="3.4800241999999998E-4"/>
    <x v="0"/>
  </r>
  <r>
    <n v="43"/>
    <n v="0"/>
    <n v="3"/>
    <n v="0"/>
    <n v="0"/>
    <n v="4"/>
    <n v="0"/>
    <n v="31"/>
    <n v="6"/>
    <n v="4"/>
    <n v="3"/>
    <n v="1477"/>
    <n v="0"/>
    <n v="1477"/>
    <n v="0.75600000000000001"/>
    <n v="4802"/>
    <n v="82"/>
    <n v="0.86399999999999999"/>
    <n v="0"/>
    <n v="3.6881000000000001E-4"/>
    <n v="0.99963000000000002"/>
    <s v="52.92706523680203"/>
    <s v="38.97297558318742"/>
    <s v="81.33448480423883"/>
    <s v="0.1323203995970578"/>
    <n v="708507483"/>
    <x v="0"/>
    <n v="6.9517245999999998E-4"/>
    <x v="0"/>
  </r>
  <r>
    <n v="45"/>
    <n v="0"/>
    <n v="1"/>
    <n v="5"/>
    <n v="1"/>
    <n v="4"/>
    <n v="0"/>
    <n v="35"/>
    <n v="3"/>
    <n v="3"/>
    <n v="2"/>
    <n v="1438.3"/>
    <n v="1080"/>
    <n v="358.3"/>
    <n v="0.80200000000000005"/>
    <n v="4425"/>
    <n v="79"/>
    <n v="0.71699999999999997"/>
    <n v="0.751"/>
    <n v="1.7359999999999999E-4"/>
    <n v="0.99983"/>
    <s v="4.012659347785055"/>
    <n v="33.933822249541102"/>
    <s v="13.300522569378735"/>
    <s v="9.175331543604056"/>
    <n v="720988083"/>
    <x v="0"/>
    <n v="3.2101269999999999E-4"/>
    <x v="0"/>
  </r>
  <r>
    <n v="41"/>
    <n v="0"/>
    <n v="1"/>
    <n v="3"/>
    <n v="2"/>
    <n v="1"/>
    <n v="0"/>
    <n v="36"/>
    <n v="4"/>
    <n v="3"/>
    <n v="3"/>
    <n v="2667"/>
    <n v="0"/>
    <n v="2667"/>
    <n v="0.49399999999999999"/>
    <n v="4399"/>
    <n v="54"/>
    <n v="0.86199999999999999"/>
    <n v="0"/>
    <n v="0.99639"/>
    <n v="3.6085800000000001E-3"/>
    <s v="0.2108588307402665"/>
    <s v="15.082070125978673"/>
    <s v="122.55660330207496"/>
    <n v="0.97839204506428801"/>
    <n v="813804783"/>
    <x v="1"/>
    <n v="0.99590814000000005"/>
    <x v="1"/>
  </r>
  <r>
    <n v="49"/>
    <n v="0"/>
    <n v="3"/>
    <n v="0"/>
    <n v="1"/>
    <n v="1"/>
    <n v="0"/>
    <n v="44"/>
    <n v="6"/>
    <n v="2"/>
    <n v="3"/>
    <n v="2578"/>
    <n v="1590"/>
    <n v="988"/>
    <n v="0.65700000000000003"/>
    <n v="4683"/>
    <n v="89"/>
    <n v="0.61799999999999999"/>
    <n v="0.61699999999999999"/>
    <n v="1.9312999999999999E-4"/>
    <n v="0.99980999999999998"/>
    <s v="20.44345442456201"/>
    <s v="13.280610578233036"/>
    <s v="35.10255601415233"/>
    <s v="7.767216685725331"/>
    <n v="818007783"/>
    <x v="0"/>
    <n v="3.2914013999999999E-4"/>
    <x v="0"/>
  </r>
  <r>
    <n v="53"/>
    <n v="0"/>
    <n v="2"/>
    <n v="0"/>
    <n v="2"/>
    <n v="5"/>
    <n v="0"/>
    <n v="49"/>
    <n v="2"/>
    <n v="2"/>
    <n v="4"/>
    <n v="10195"/>
    <n v="0"/>
    <n v="10195"/>
    <n v="0.629"/>
    <n v="2489"/>
    <n v="54"/>
    <n v="0.38500000000000001"/>
    <n v="0"/>
    <n v="0.99685999999999997"/>
    <n v="3.1388000000000002E-3"/>
    <s v="20.22571518615279"/>
    <n v="73.087554345273901"/>
    <s v="123.95428004629338"/>
    <s v="0.9572980484966894"/>
    <n v="823904133"/>
    <x v="1"/>
    <n v="0.99678160000000005"/>
    <x v="1"/>
  </r>
  <r>
    <n v="51"/>
    <n v="1"/>
    <n v="1"/>
    <n v="6"/>
    <n v="1"/>
    <n v="2"/>
    <n v="0"/>
    <n v="45"/>
    <n v="2"/>
    <n v="3"/>
    <n v="3"/>
    <n v="11548"/>
    <n v="0"/>
    <n v="11548"/>
    <n v="0.61099999999999999"/>
    <n v="7781"/>
    <n v="72"/>
    <n v="0.89500000000000002"/>
    <n v="0"/>
    <n v="3.1210999999999999E-4"/>
    <n v="0.99968999999999997"/>
    <n v="6.24728779728314"/>
    <s v="4.867197209247126"/>
    <s v="33.973429223894506"/>
    <s v="3.1163690536560837"/>
    <n v="775112958"/>
    <x v="0"/>
    <n v="1.2090505000000001E-3"/>
    <x v="0"/>
  </r>
  <r>
    <n v="48"/>
    <n v="0"/>
    <n v="4"/>
    <n v="4"/>
    <n v="2"/>
    <n v="4"/>
    <n v="0"/>
    <n v="38"/>
    <n v="3"/>
    <n v="3"/>
    <n v="3"/>
    <n v="3874"/>
    <n v="460"/>
    <n v="3414"/>
    <n v="1.0229999999999999"/>
    <n v="4921"/>
    <n v="51"/>
    <n v="0.64500000000000002"/>
    <n v="0.11899999999999999"/>
    <n v="0.99733000000000005"/>
    <n v="2.6707200000000001E-3"/>
    <s v="2.9916483768680147"/>
    <s v="6.015693353447381"/>
    <s v="12.415403156079766"/>
    <s v="12.271453967101994"/>
    <n v="789312033"/>
    <x v="1"/>
    <n v="0.99751805999999998"/>
    <x v="1"/>
  </r>
  <r>
    <n v="45"/>
    <n v="1"/>
    <n v="4"/>
    <n v="3"/>
    <n v="0"/>
    <n v="3"/>
    <n v="0"/>
    <n v="39"/>
    <n v="5"/>
    <n v="3"/>
    <n v="4"/>
    <n v="14290"/>
    <n v="1432"/>
    <n v="12858"/>
    <n v="0.81499999999999995"/>
    <n v="14709"/>
    <n v="125"/>
    <n v="0.68899999999999995"/>
    <n v="0.1"/>
    <n v="5.2607999999999995E-4"/>
    <n v="0.99946999999999997"/>
    <s v="4.611142444651389"/>
    <s v="68.95136411370375"/>
    <s v="113.72244773441098"/>
    <s v="8.116758215705538"/>
    <n v="712846458"/>
    <x v="0"/>
    <n v="3.4656386999999997E-4"/>
    <x v="0"/>
  </r>
  <r>
    <n v="50"/>
    <n v="1"/>
    <n v="3"/>
    <n v="4"/>
    <n v="0"/>
    <n v="2"/>
    <n v="0"/>
    <n v="36"/>
    <n v="3"/>
    <n v="2"/>
    <n v="3"/>
    <n v="14409"/>
    <n v="511"/>
    <n v="13898"/>
    <n v="0.79900000000000004"/>
    <n v="2351"/>
    <n v="39"/>
    <n v="0.3"/>
    <n v="3.5000000000000003E-2"/>
    <n v="0.99573999999999996"/>
    <n v="4.2591599999999997E-3"/>
    <s v="21.368228652660807"/>
    <s v="55.269858343672034"/>
    <s v="73.06477387312843"/>
    <s v="7.578019148425988"/>
    <n v="716570958"/>
    <x v="1"/>
    <n v="0.99870159999999997"/>
    <x v="1"/>
  </r>
  <r>
    <n v="47"/>
    <n v="1"/>
    <n v="4"/>
    <n v="6"/>
    <n v="2"/>
    <n v="2"/>
    <n v="0"/>
    <n v="36"/>
    <n v="5"/>
    <n v="3"/>
    <n v="1"/>
    <n v="9132"/>
    <n v="800"/>
    <n v="8332"/>
    <n v="0.62"/>
    <n v="3809"/>
    <n v="71"/>
    <n v="0.51100000000000001"/>
    <n v="8.7999999999999995E-2"/>
    <n v="1.2505E-4"/>
    <n v="0.99987000000000004"/>
    <s v="2.4740925979223047"/>
    <s v="74.03373591952752"/>
    <s v="14.416917878633653"/>
    <s v="8.968838308216847"/>
    <n v="713657733"/>
    <x v="0"/>
    <n v="5.8012020000000001E-4"/>
    <x v="0"/>
  </r>
  <r>
    <n v="48"/>
    <n v="0"/>
    <n v="3"/>
    <n v="1"/>
    <n v="2"/>
    <n v="4"/>
    <n v="0"/>
    <n v="39"/>
    <n v="3"/>
    <n v="3"/>
    <n v="4"/>
    <n v="1644"/>
    <n v="500"/>
    <n v="1144"/>
    <n v="0.78400000000000003"/>
    <n v="2450"/>
    <n v="45"/>
    <n v="0.40600000000000003"/>
    <n v="0.30399999999999999"/>
    <n v="0.99870999999999999"/>
    <n v="1.2882200000000001E-3"/>
    <s v="12.437495074391292"/>
    <s v="33.72222452774305"/>
    <s v="10.74903787847277"/>
    <s v="19.803840470894453"/>
    <n v="717429258"/>
    <x v="1"/>
    <n v="0.99814594000000001"/>
    <x v="1"/>
  </r>
  <r>
    <n v="52"/>
    <n v="0"/>
    <n v="2"/>
    <n v="2"/>
    <n v="2"/>
    <n v="1"/>
    <n v="0"/>
    <n v="33"/>
    <n v="5"/>
    <n v="2"/>
    <n v="2"/>
    <n v="6081"/>
    <n v="989"/>
    <n v="5092"/>
    <n v="1.222"/>
    <n v="4451"/>
    <n v="70"/>
    <n v="0.42899999999999999"/>
    <n v="0.16300000000000001"/>
    <n v="1.1382E-4"/>
    <n v="0.99988999999999995"/>
    <s v="45.87476750633997"/>
    <s v="23.99785605109645"/>
    <s v="6.979856582619717"/>
    <s v="17.44395222790771"/>
    <n v="709700058"/>
    <x v="0"/>
    <n v="3.7584610000000003E-4"/>
    <x v="0"/>
  </r>
  <r>
    <n v="53"/>
    <n v="0"/>
    <n v="5"/>
    <n v="6"/>
    <n v="1"/>
    <n v="4"/>
    <n v="0"/>
    <n v="42"/>
    <n v="1"/>
    <n v="2"/>
    <n v="2"/>
    <n v="4021"/>
    <n v="1745"/>
    <n v="2276"/>
    <n v="0.78400000000000003"/>
    <n v="14567"/>
    <n v="120"/>
    <n v="0.84599999999999997"/>
    <n v="0.434"/>
    <n v="1.2915999999999999E-4"/>
    <n v="0.99987000000000004"/>
    <s v="44.412514785314045"/>
    <s v="61.41692789583407"/>
    <s v="65.31961587028665"/>
    <s v="7.040172770497763"/>
    <n v="780588258"/>
    <x v="0"/>
    <n v="3.4656386999999997E-4"/>
    <x v="0"/>
  </r>
  <r>
    <n v="46"/>
    <n v="1"/>
    <n v="4"/>
    <n v="2"/>
    <n v="2"/>
    <n v="2"/>
    <n v="0"/>
    <n v="39"/>
    <n v="6"/>
    <n v="2"/>
    <n v="3"/>
    <n v="10741"/>
    <n v="755"/>
    <n v="9986"/>
    <n v="1.1659999999999999"/>
    <n v="1278"/>
    <n v="22"/>
    <n v="1.444"/>
    <n v="7.0000000000000007E-2"/>
    <n v="2.0076999999999999E-4"/>
    <n v="0.99980000000000002"/>
    <s v="48.85333199326992"/>
    <s v="21.66480795412336"/>
    <s v="77.45908092477468"/>
    <s v="3.790649403522362"/>
    <n v="790134408"/>
    <x v="0"/>
    <n v="1.9247852999999999E-3"/>
    <x v="0"/>
  </r>
  <r>
    <n v="55"/>
    <n v="1"/>
    <n v="3"/>
    <n v="6"/>
    <n v="2"/>
    <n v="2"/>
    <n v="0"/>
    <n v="35"/>
    <n v="3"/>
    <n v="3"/>
    <n v="3"/>
    <n v="14266"/>
    <n v="1341"/>
    <n v="12925"/>
    <n v="0.309"/>
    <n v="1625"/>
    <n v="34"/>
    <n v="0.36"/>
    <n v="9.4E-2"/>
    <n v="0.99711000000000005"/>
    <n v="2.8889200000000001E-3"/>
    <s v="18.586107519892035"/>
    <s v="59.60342719764812"/>
    <s v="55.86967449513542"/>
    <s v="16.578112646514665"/>
    <n v="817108083"/>
    <x v="1"/>
    <n v="0.99495370000000005"/>
    <x v="1"/>
  </r>
  <r>
    <n v="53"/>
    <n v="0"/>
    <n v="2"/>
    <n v="3"/>
    <n v="2"/>
    <n v="4"/>
    <n v="0"/>
    <n v="40"/>
    <n v="3"/>
    <n v="1"/>
    <n v="3"/>
    <n v="1438.3"/>
    <n v="0"/>
    <n v="1438.3"/>
    <n v="1.052"/>
    <n v="4978"/>
    <n v="73"/>
    <n v="0.92100000000000004"/>
    <n v="0"/>
    <s v="9.0056e-05"/>
    <n v="0.99990999999999997"/>
    <s v="17.938901090273525"/>
    <s v="9.832206789130735"/>
    <s v="147.88817575258716"/>
    <s v="6.468898815206381"/>
    <n v="720027258"/>
    <x v="0"/>
    <n v="7.1297199999999998E-4"/>
    <x v="0"/>
  </r>
  <r>
    <n v="46"/>
    <n v="1"/>
    <n v="5"/>
    <n v="3"/>
    <n v="1"/>
    <n v="0"/>
    <n v="0"/>
    <n v="42"/>
    <n v="1"/>
    <n v="1"/>
    <n v="3"/>
    <n v="32926"/>
    <n v="1540"/>
    <n v="31386"/>
    <n v="0.86199999999999999"/>
    <n v="8231"/>
    <n v="98"/>
    <n v="0.55600000000000005"/>
    <n v="4.7E-2"/>
    <s v="9.2974e-05"/>
    <n v="0.99990999999999997"/>
    <s v="12.694342540088652"/>
    <s v="49.67850753598111"/>
    <s v="23.593733174913343"/>
    <s v="2.6940089465767896"/>
    <n v="820330008"/>
    <x v="0"/>
    <n v="4.2060707000000003E-4"/>
    <x v="0"/>
  </r>
  <r>
    <n v="38"/>
    <n v="0"/>
    <n v="2"/>
    <n v="0"/>
    <n v="3"/>
    <n v="4"/>
    <n v="0"/>
    <n v="32"/>
    <n v="2"/>
    <n v="2"/>
    <n v="6"/>
    <n v="7385"/>
    <n v="1817"/>
    <n v="5568"/>
    <n v="1.0289999999999999"/>
    <n v="5070"/>
    <n v="50"/>
    <n v="0.38900000000000001"/>
    <n v="0.246"/>
    <n v="0.99895999999999996"/>
    <n v="1.0355099999999999E-3"/>
    <s v="13.16834915814252"/>
    <s v="49.28431000175625"/>
    <s v="37.82940875625295"/>
    <s v="12.808718283906886"/>
    <n v="791730183"/>
    <x v="1"/>
    <n v="0.99176569999999997"/>
    <x v="1"/>
  </r>
  <r>
    <n v="50"/>
    <n v="1"/>
    <n v="2"/>
    <n v="5"/>
    <n v="1"/>
    <n v="1"/>
    <n v="0"/>
    <n v="43"/>
    <n v="1"/>
    <n v="3"/>
    <n v="1"/>
    <n v="12458"/>
    <n v="1332"/>
    <n v="11126"/>
    <n v="0.68"/>
    <n v="8752"/>
    <n v="95"/>
    <n v="0.86299999999999999"/>
    <n v="0.107"/>
    <n v="1.1153E-4"/>
    <n v="0.99988999999999995"/>
    <s v="15.45195308053911"/>
    <s v="43.14292553214058"/>
    <s v="125.99647135539207"/>
    <s v="11.02769079932982"/>
    <n v="708881583"/>
    <x v="0"/>
    <n v="3.6856539999999998E-4"/>
    <x v="0"/>
  </r>
  <r>
    <n v="47"/>
    <n v="0"/>
    <n v="4"/>
    <n v="5"/>
    <n v="1"/>
    <n v="1"/>
    <n v="0"/>
    <n v="39"/>
    <n v="3"/>
    <n v="3"/>
    <n v="3"/>
    <n v="2680"/>
    <n v="1652"/>
    <n v="1028"/>
    <n v="1.1319999999999999"/>
    <n v="3382"/>
    <n v="58"/>
    <n v="0.75800000000000001"/>
    <n v="0.61599999999999999"/>
    <n v="3.2620000000000001E-4"/>
    <n v="0.99966999999999995"/>
    <s v="18.407728908938648"/>
    <s v="40.30307656730861"/>
    <n v="24.145260224752001"/>
    <s v="12.624296715101732"/>
    <n v="719095533"/>
    <x v="0"/>
    <n v="3.838057E-4"/>
    <x v="0"/>
  </r>
  <r>
    <n v="54"/>
    <n v="1"/>
    <n v="3"/>
    <n v="3"/>
    <n v="1"/>
    <n v="0"/>
    <n v="0"/>
    <n v="43"/>
    <n v="4"/>
    <n v="1"/>
    <n v="1"/>
    <n v="13219"/>
    <n v="0"/>
    <n v="13219"/>
    <n v="0.57599999999999996"/>
    <n v="1097"/>
    <n v="24"/>
    <n v="0.5"/>
    <n v="0"/>
    <s v="3.3505e-05"/>
    <n v="0.99997000000000003"/>
    <s v="30.288910258214877"/>
    <s v="18.06999395134661"/>
    <s v="11.903594072720274"/>
    <s v="23.17943075814017"/>
    <n v="713134458"/>
    <x v="0"/>
    <n v="4.8183080000000003E-3"/>
    <x v="0"/>
  </r>
  <r>
    <n v="43"/>
    <n v="1"/>
    <n v="3"/>
    <n v="6"/>
    <n v="0"/>
    <n v="2"/>
    <n v="0"/>
    <n v="30"/>
    <n v="3"/>
    <n v="2"/>
    <n v="1"/>
    <n v="2588"/>
    <n v="1669"/>
    <n v="919"/>
    <n v="0.78800000000000003"/>
    <n v="1053"/>
    <n v="31"/>
    <n v="0.55000000000000004"/>
    <n v="0.64500000000000002"/>
    <s v="7.8291e-05"/>
    <n v="0.99992000000000003"/>
    <s v="41.03092350252768"/>
    <s v="19.057547194842364"/>
    <s v="70.65683496216124"/>
    <s v="1.966477249944996"/>
    <n v="780095808"/>
    <x v="0"/>
    <n v="1.1784283999999999E-3"/>
    <x v="0"/>
  </r>
  <r>
    <n v="35"/>
    <n v="0"/>
    <n v="1"/>
    <n v="2"/>
    <n v="1"/>
    <n v="1"/>
    <n v="0"/>
    <n v="29"/>
    <n v="4"/>
    <n v="2"/>
    <n v="2"/>
    <n v="2523"/>
    <n v="1877"/>
    <n v="646"/>
    <n v="1.631"/>
    <n v="2005"/>
    <n v="50"/>
    <n v="1.1739999999999999"/>
    <n v="0.74399999999999999"/>
    <n v="1.0684E-4"/>
    <n v="0.99988999999999995"/>
    <s v="35.707655191798935"/>
    <s v="48.82531319132326"/>
    <s v="15.006179322949505"/>
    <s v="12.105538303717449"/>
    <n v="714474483"/>
    <x v="0"/>
    <n v="8.1504247000000005E-4"/>
    <x v="0"/>
  </r>
  <r>
    <n v="52"/>
    <n v="0"/>
    <n v="2"/>
    <n v="0"/>
    <n v="2"/>
    <n v="4"/>
    <n v="0"/>
    <n v="40"/>
    <n v="4"/>
    <n v="3"/>
    <n v="3"/>
    <n v="2783"/>
    <n v="2379"/>
    <n v="404"/>
    <n v="0.91200000000000003"/>
    <n v="3897"/>
    <n v="74"/>
    <n v="1"/>
    <n v="0.85499999999999998"/>
    <n v="2.9410999999999999E-4"/>
    <n v="0.99970999999999999"/>
    <s v="57.438367856401534"/>
    <s v="64.66099192670089"/>
    <s v="25.50874786698761"/>
    <s v="26.40320976147004"/>
    <n v="771534408"/>
    <x v="0"/>
    <n v="3.221314E-4"/>
    <x v="0"/>
  </r>
  <r>
    <n v="48"/>
    <n v="0"/>
    <n v="2"/>
    <n v="2"/>
    <n v="2"/>
    <n v="5"/>
    <n v="0"/>
    <n v="29"/>
    <n v="6"/>
    <n v="1"/>
    <n v="2"/>
    <n v="9554"/>
    <n v="2337"/>
    <n v="7217"/>
    <n v="0.79"/>
    <n v="4049"/>
    <n v="71"/>
    <n v="0.69"/>
    <n v="0.245"/>
    <s v="5.5077e-05"/>
    <n v="0.99994000000000005"/>
    <s v="11.168251168223769"/>
    <s v="23.10011102865297"/>
    <s v="1.263119717933038"/>
    <s v="22.974848282880554"/>
    <n v="710503308"/>
    <x v="0"/>
    <n v="3.2101269999999999E-4"/>
    <x v="0"/>
  </r>
  <r>
    <n v="47"/>
    <n v="0"/>
    <n v="2"/>
    <n v="5"/>
    <n v="3"/>
    <n v="4"/>
    <n v="3"/>
    <n v="36"/>
    <n v="1"/>
    <n v="3"/>
    <n v="2"/>
    <n v="14767"/>
    <n v="948"/>
    <n v="13819"/>
    <n v="0.999"/>
    <n v="13090"/>
    <n v="104"/>
    <n v="0.625"/>
    <n v="6.4000000000000001E-2"/>
    <n v="1.6710999999999999E-4"/>
    <n v="0.99983"/>
    <s v="43.800700069247526"/>
    <s v="61.58488004153538"/>
    <n v="9.95894230468617"/>
    <s v="3.8090720135560736"/>
    <n v="758863383"/>
    <x v="0"/>
    <n v="5.1194520000000005E-4"/>
    <x v="0"/>
  </r>
  <r>
    <n v="59"/>
    <n v="1"/>
    <n v="1"/>
    <n v="0"/>
    <n v="2"/>
    <n v="1"/>
    <n v="0"/>
    <n v="48"/>
    <n v="6"/>
    <n v="3"/>
    <n v="3"/>
    <n v="7251"/>
    <n v="1603"/>
    <n v="5648"/>
    <n v="0.59099999999999997"/>
    <n v="1300"/>
    <n v="36"/>
    <n v="0.8"/>
    <n v="0.221"/>
    <n v="2.7607E-4"/>
    <n v="0.99972000000000005"/>
    <s v="20.89734059100913"/>
    <s v="6.654135708497877"/>
    <s v="3.223590572058897"/>
    <s v="8.526734438755241"/>
    <n v="711195558"/>
    <x v="0"/>
    <n v="9.8706899999999992E-4"/>
    <x v="0"/>
  </r>
  <r>
    <n v="48"/>
    <n v="1"/>
    <n v="2"/>
    <n v="5"/>
    <n v="1"/>
    <n v="1"/>
    <n v="0"/>
    <n v="42"/>
    <n v="1"/>
    <n v="3"/>
    <n v="3"/>
    <n v="3202"/>
    <n v="2517"/>
    <n v="685"/>
    <n v="0.59699999999999998"/>
    <n v="4675"/>
    <n v="88"/>
    <n v="0.69199999999999995"/>
    <n v="0.78600000000000003"/>
    <n v="3.1104E-4"/>
    <n v="0.99968999999999997"/>
    <s v="7.222382508758827"/>
    <s v="54.81285980391769"/>
    <s v="30.005836702432266"/>
    <s v="1.1177086165998031"/>
    <n v="781926633"/>
    <x v="0"/>
    <n v="3.4692350000000002E-4"/>
    <x v="0"/>
  </r>
  <r>
    <n v="54"/>
    <n v="1"/>
    <n v="3"/>
    <n v="2"/>
    <n v="1"/>
    <n v="3"/>
    <n v="3"/>
    <n v="36"/>
    <n v="2"/>
    <n v="3"/>
    <n v="1"/>
    <n v="34516"/>
    <n v="761"/>
    <n v="33755"/>
    <n v="0.83799999999999997"/>
    <n v="8444"/>
    <n v="68"/>
    <n v="0.74399999999999999"/>
    <n v="2.1999999999999999E-2"/>
    <n v="0.99026000000000003"/>
    <n v="9.7400000000000004E-3"/>
    <n v="6.0953804405485004"/>
    <s v="87.20078329744244"/>
    <s v="85.81234262934285"/>
    <s v="5.381382801116867"/>
    <n v="708948483"/>
    <x v="1"/>
    <n v="0.99393869999999995"/>
    <x v="1"/>
  </r>
  <r>
    <n v="50"/>
    <n v="1"/>
    <n v="4"/>
    <n v="3"/>
    <n v="1"/>
    <n v="0"/>
    <n v="0"/>
    <n v="41"/>
    <n v="2"/>
    <n v="2"/>
    <n v="2"/>
    <n v="34516"/>
    <n v="2353"/>
    <n v="32163"/>
    <n v="0.66700000000000004"/>
    <n v="15214"/>
    <n v="129"/>
    <n v="0.67500000000000004"/>
    <n v="6.8000000000000005E-2"/>
    <n v="1.1603999999999999E-4"/>
    <n v="0.99987999999999999"/>
    <s v="20.673609668932823"/>
    <s v="10.498215271825387"/>
    <s v="144.85350653468385"/>
    <s v="5.603400452623073"/>
    <n v="709066983"/>
    <x v="0"/>
    <n v="3.8573547000000003E-4"/>
    <x v="0"/>
  </r>
  <r>
    <n v="42"/>
    <n v="0"/>
    <n v="4"/>
    <n v="5"/>
    <n v="2"/>
    <n v="4"/>
    <n v="0"/>
    <n v="36"/>
    <n v="6"/>
    <n v="2"/>
    <n v="1"/>
    <n v="1734"/>
    <n v="0"/>
    <n v="1734"/>
    <n v="0.59299999999999997"/>
    <n v="4092"/>
    <n v="76"/>
    <n v="1.054"/>
    <n v="0"/>
    <s v="7.4017e-05"/>
    <n v="0.99992999999999999"/>
    <s v="14.695921173334376"/>
    <s v="53.70923828483858"/>
    <s v="166.9390037521449"/>
    <s v="5.611617440505344"/>
    <n v="713380308"/>
    <x v="0"/>
    <n v="6.9517245999999998E-4"/>
    <x v="0"/>
  </r>
  <r>
    <n v="56"/>
    <n v="0"/>
    <n v="2"/>
    <n v="3"/>
    <n v="2"/>
    <n v="1"/>
    <n v="0"/>
    <n v="36"/>
    <n v="4"/>
    <n v="1"/>
    <n v="2"/>
    <n v="13904"/>
    <n v="625"/>
    <n v="13279"/>
    <n v="0.67300000000000004"/>
    <n v="3151"/>
    <n v="67"/>
    <n v="0.59499999999999997"/>
    <n v="4.4999999999999998E-2"/>
    <s v="5.3542e-05"/>
    <n v="0.99995000000000001"/>
    <s v="12.73565985660985"/>
    <n v="3.5056913944893999"/>
    <s v="9.625133540222576"/>
    <s v="0.1736235211581497"/>
    <n v="717141858"/>
    <x v="0"/>
    <n v="6.2181555999999999E-4"/>
    <x v="0"/>
  </r>
  <r>
    <n v="45"/>
    <n v="1"/>
    <n v="0"/>
    <n v="5"/>
    <n v="2"/>
    <n v="3"/>
    <n v="0"/>
    <n v="36"/>
    <n v="1"/>
    <n v="4"/>
    <n v="3"/>
    <n v="20356"/>
    <n v="2031"/>
    <n v="18325"/>
    <n v="0.752"/>
    <n v="15180"/>
    <n v="121"/>
    <n v="0.80600000000000005"/>
    <n v="0.1"/>
    <n v="3.2257E-4"/>
    <n v="0.99968000000000001"/>
    <s v="57.70009076164536"/>
    <s v="59.35905465348662"/>
    <s v="28.824329867707466"/>
    <s v="9.239111060920376"/>
    <n v="719841708"/>
    <x v="0"/>
    <n v="3.4656386999999997E-4"/>
    <x v="0"/>
  </r>
  <r>
    <n v="57"/>
    <n v="1"/>
    <n v="3"/>
    <n v="4"/>
    <n v="1"/>
    <n v="2"/>
    <n v="0"/>
    <n v="36"/>
    <n v="6"/>
    <n v="1"/>
    <n v="4"/>
    <n v="3478"/>
    <n v="2517"/>
    <n v="961"/>
    <n v="0.68500000000000005"/>
    <n v="1409"/>
    <n v="49"/>
    <n v="0.75"/>
    <n v="0.72399999999999998"/>
    <n v="1.9296E-4"/>
    <n v="0.99980999999999998"/>
    <s v="12.346829793838484"/>
    <s v="38.63388384482477"/>
    <s v="23.69107205879861"/>
    <s v="16.310059368089817"/>
    <n v="718484283"/>
    <x v="0"/>
    <n v="8.8625395000000004E-4"/>
    <x v="0"/>
  </r>
  <r>
    <n v="33"/>
    <n v="1"/>
    <n v="2"/>
    <n v="1"/>
    <n v="2"/>
    <n v="1"/>
    <n v="0"/>
    <n v="25"/>
    <n v="5"/>
    <n v="2"/>
    <n v="2"/>
    <n v="9371"/>
    <n v="1541"/>
    <n v="7830"/>
    <n v="0.78100000000000003"/>
    <n v="2518"/>
    <n v="67"/>
    <n v="0.97099999999999997"/>
    <n v="0.16400000000000001"/>
    <n v="1.6470999999999999E-4"/>
    <n v="0.99983999999999995"/>
    <s v="15.13652526926669"/>
    <s v="58.44942790829951"/>
    <s v="6.693530139256966"/>
    <s v="20.350741059203298"/>
    <n v="712112733"/>
    <x v="0"/>
    <n v="3.9451056999999999E-4"/>
    <x v="0"/>
  </r>
  <r>
    <n v="51"/>
    <n v="1"/>
    <n v="3"/>
    <n v="2"/>
    <n v="1"/>
    <n v="3"/>
    <n v="1"/>
    <n v="36"/>
    <n v="2"/>
    <n v="1"/>
    <n v="3"/>
    <n v="34516"/>
    <n v="761"/>
    <n v="33755"/>
    <n v="0.71599999999999997"/>
    <n v="7499"/>
    <n v="88"/>
    <n v="0.57099999999999995"/>
    <n v="2.1999999999999999E-2"/>
    <n v="1.1075E-4"/>
    <n v="0.99988999999999995"/>
    <s v="34.57771499575768"/>
    <s v="22.93159439122958"/>
    <s v="54.393053935855775"/>
    <s v="20.207215615289677"/>
    <n v="720712533"/>
    <x v="0"/>
    <n v="7.1389230000000004E-4"/>
    <x v="0"/>
  </r>
  <r>
    <n v="66"/>
    <n v="0"/>
    <n v="0"/>
    <n v="3"/>
    <n v="1"/>
    <n v="4"/>
    <n v="0"/>
    <n v="54"/>
    <n v="3"/>
    <n v="4"/>
    <n v="2"/>
    <n v="3171"/>
    <n v="2179"/>
    <n v="992"/>
    <n v="1.224"/>
    <n v="1946"/>
    <n v="38"/>
    <n v="1.923"/>
    <n v="0.68700000000000006"/>
    <n v="1.8134E-4"/>
    <n v="0.99982000000000004"/>
    <s v="9.263072271785576"/>
    <n v="82.832858124111596"/>
    <s v="15.450673923069491"/>
    <s v="18.17147691949338"/>
    <n v="711525033"/>
    <x v="0"/>
    <n v="1.0255767000000001E-3"/>
    <x v="0"/>
  </r>
  <r>
    <n v="57"/>
    <n v="0"/>
    <n v="1"/>
    <n v="2"/>
    <n v="2"/>
    <n v="1"/>
    <n v="0"/>
    <n v="48"/>
    <n v="5"/>
    <n v="1"/>
    <n v="0"/>
    <n v="10953"/>
    <n v="1945"/>
    <n v="9008"/>
    <n v="0.88600000000000001"/>
    <n v="1277"/>
    <n v="29"/>
    <n v="0.52600000000000002"/>
    <n v="0.17799999999999999"/>
    <s v="1.9069e-05"/>
    <n v="0.99997999999999998"/>
    <s v="3.169256771531892"/>
    <s v="9.906321002235874"/>
    <s v="144.47272132117055"/>
    <s v="24.81322144147212"/>
    <n v="717956283"/>
    <x v="0"/>
    <n v="1.1544054E-3"/>
    <x v="0"/>
  </r>
  <r>
    <n v="55"/>
    <n v="0"/>
    <n v="0"/>
    <n v="5"/>
    <n v="1"/>
    <n v="4"/>
    <n v="0"/>
    <n v="44"/>
    <n v="1"/>
    <n v="1"/>
    <n v="3"/>
    <n v="2596"/>
    <n v="1929"/>
    <n v="667"/>
    <n v="0.60899999999999999"/>
    <n v="4726"/>
    <n v="87"/>
    <n v="0.81200000000000006"/>
    <n v="0.74299999999999999"/>
    <s v="8.1736e-05"/>
    <n v="0.99992000000000003"/>
    <s v="1.6159308807065538"/>
    <s v="32.62574064201327"/>
    <s v="27.16889576684753"/>
    <n v="8.8005802977281604"/>
    <n v="789164283"/>
    <x v="0"/>
    <n v="3.2101269999999999E-4"/>
    <x v="0"/>
  </r>
  <r>
    <n v="34"/>
    <n v="1"/>
    <n v="1"/>
    <n v="6"/>
    <n v="1"/>
    <n v="1"/>
    <n v="0"/>
    <n v="36"/>
    <n v="2"/>
    <n v="2"/>
    <n v="2"/>
    <n v="3995"/>
    <n v="2475"/>
    <n v="1520"/>
    <n v="0.81699999999999995"/>
    <n v="12575"/>
    <n v="99"/>
    <n v="0.8"/>
    <n v="0.62"/>
    <n v="1.1743000000000001E-4"/>
    <n v="0.99987999999999999"/>
    <s v="12.486522096359412"/>
    <s v="52.628329822545545"/>
    <s v="17.56281823341761"/>
    <s v="14.08245225997378"/>
    <n v="710026458"/>
    <x v="0"/>
    <n v="3.9831083000000002E-4"/>
    <x v="0"/>
  </r>
  <r>
    <n v="65"/>
    <n v="0"/>
    <n v="0"/>
    <n v="4"/>
    <n v="1"/>
    <n v="4"/>
    <n v="0"/>
    <n v="56"/>
    <n v="5"/>
    <n v="3"/>
    <n v="2"/>
    <n v="3549"/>
    <n v="1880"/>
    <n v="1669"/>
    <n v="0.624"/>
    <n v="1215"/>
    <n v="22"/>
    <n v="0.57099999999999995"/>
    <n v="0.53"/>
    <n v="1.8162000000000001E-4"/>
    <n v="0.99982000000000004"/>
    <s v="11.605744840909663"/>
    <s v="26.921490840577928"/>
    <s v="28.866891579163926"/>
    <s v="11.409983459285831"/>
    <n v="708295533"/>
    <x v="0"/>
    <n v="1.0598798E-3"/>
    <x v="0"/>
  </r>
  <r>
    <n v="46"/>
    <n v="1"/>
    <n v="5"/>
    <n v="3"/>
    <n v="3"/>
    <n v="0"/>
    <n v="0"/>
    <n v="26"/>
    <n v="4"/>
    <n v="3"/>
    <n v="3"/>
    <n v="34516"/>
    <n v="772"/>
    <n v="33744"/>
    <n v="0.97899999999999998"/>
    <n v="3699"/>
    <n v="77"/>
    <n v="0.878"/>
    <n v="2.1999999999999999E-2"/>
    <n v="3.0361E-4"/>
    <n v="0.99970000000000003"/>
    <n v="37.609416346462098"/>
    <s v="36.45108872783949"/>
    <s v="42.93477985968599"/>
    <s v="6.952970101872642"/>
    <n v="721523658"/>
    <x v="0"/>
    <n v="6.151288E-4"/>
    <x v="0"/>
  </r>
  <r>
    <n v="47"/>
    <n v="0"/>
    <n v="4"/>
    <n v="3"/>
    <n v="1"/>
    <n v="4"/>
    <n v="0"/>
    <n v="40"/>
    <n v="4"/>
    <n v="2"/>
    <n v="2"/>
    <n v="4490"/>
    <n v="1989"/>
    <n v="2501"/>
    <n v="0.60399999999999998"/>
    <n v="4346"/>
    <n v="70"/>
    <n v="0.79500000000000004"/>
    <n v="0.443"/>
    <n v="1.1603999999999999E-4"/>
    <n v="0.99987999999999999"/>
    <s v="12.19320459015989"/>
    <s v="1.288711465233147"/>
    <s v="1.938255328953694"/>
    <s v="1.4771104149977068"/>
    <n v="719690733"/>
    <x v="0"/>
    <n v="3.2101269999999999E-4"/>
    <x v="0"/>
  </r>
  <r>
    <n v="31"/>
    <n v="1"/>
    <n v="0"/>
    <n v="4"/>
    <n v="1"/>
    <n v="4"/>
    <n v="0"/>
    <n v="21"/>
    <n v="1"/>
    <n v="2"/>
    <n v="2"/>
    <n v="3768"/>
    <n v="0"/>
    <n v="3768"/>
    <n v="0.79900000000000004"/>
    <n v="6639"/>
    <n v="71"/>
    <n v="1.1519999999999999"/>
    <n v="0"/>
    <n v="0.99136999999999997"/>
    <n v="8.6300000000000005E-3"/>
    <s v="27.927260014528137"/>
    <s v="13.291992429049827"/>
    <s v="24.75806622031677"/>
    <s v="1.1218651234766723"/>
    <n v="718045008"/>
    <x v="1"/>
    <n v="0.99509144000000005"/>
    <x v="1"/>
  </r>
  <r>
    <n v="55"/>
    <n v="1"/>
    <n v="1"/>
    <n v="5"/>
    <n v="2"/>
    <n v="2"/>
    <n v="0"/>
    <n v="48"/>
    <n v="5"/>
    <n v="2"/>
    <n v="2"/>
    <n v="1723"/>
    <n v="0"/>
    <n v="1723"/>
    <n v="1.038"/>
    <n v="2574"/>
    <n v="43"/>
    <n v="0.72"/>
    <n v="0"/>
    <n v="0.99097999999999997"/>
    <n v="9.0200000000000002E-3"/>
    <s v="69.12803829020808"/>
    <s v="9.232165100555582"/>
    <s v="16.475630321688442"/>
    <s v="5.100852704583545"/>
    <n v="711100608"/>
    <x v="1"/>
    <n v="0.99840289999999998"/>
    <x v="1"/>
  </r>
  <r>
    <n v="46"/>
    <n v="1"/>
    <n v="2"/>
    <n v="2"/>
    <n v="1"/>
    <n v="2"/>
    <n v="0"/>
    <n v="36"/>
    <n v="4"/>
    <n v="2"/>
    <n v="2"/>
    <n v="1939"/>
    <n v="685"/>
    <n v="1254"/>
    <n v="0.42099999999999999"/>
    <n v="4327"/>
    <n v="84"/>
    <n v="0.68"/>
    <n v="0.35299999999999998"/>
    <n v="1.1382E-4"/>
    <n v="0.99988999999999995"/>
    <s v="22.712719422557097"/>
    <n v="7.5671804517603303E-2"/>
    <n v="108.684670062769"/>
    <n v="8.8658360029419807"/>
    <n v="709759908"/>
    <x v="0"/>
    <n v="5.4489190000000002E-4"/>
    <x v="0"/>
  </r>
  <r>
    <n v="44"/>
    <n v="1"/>
    <n v="3"/>
    <n v="6"/>
    <n v="1"/>
    <n v="1"/>
    <n v="0"/>
    <n v="36"/>
    <n v="4"/>
    <n v="2"/>
    <n v="3"/>
    <n v="9465"/>
    <n v="0"/>
    <n v="9465"/>
    <n v="0.65700000000000003"/>
    <n v="3675"/>
    <n v="59"/>
    <n v="1.107"/>
    <n v="0"/>
    <n v="2.1834E-4"/>
    <n v="0.99978"/>
    <s v="19.377032774171347"/>
    <s v="79.66448163192871"/>
    <s v="104.67004429678296"/>
    <s v="4.533417391586882"/>
    <n v="714253983"/>
    <x v="0"/>
    <n v="9.5221170000000003E-4"/>
    <x v="0"/>
  </r>
  <r>
    <n v="51"/>
    <n v="0"/>
    <n v="4"/>
    <n v="5"/>
    <n v="0"/>
    <n v="4"/>
    <n v="0"/>
    <n v="40"/>
    <n v="5"/>
    <n v="4"/>
    <n v="3"/>
    <n v="1562"/>
    <n v="1057"/>
    <n v="505"/>
    <n v="0.80700000000000005"/>
    <n v="5019"/>
    <n v="78"/>
    <n v="0.69599999999999995"/>
    <n v="0.67700000000000005"/>
    <n v="3.9420999999999998E-4"/>
    <n v="0.99961"/>
    <s v="25.633603814951503"/>
    <n v="39.193217945855402"/>
    <s v="148.54323945879858"/>
    <s v="12.40144944391883"/>
    <n v="713695158"/>
    <x v="0"/>
    <n v="3.2101269999999999E-4"/>
    <x v="0"/>
  </r>
  <r>
    <n v="51"/>
    <n v="0"/>
    <n v="2"/>
    <n v="2"/>
    <n v="1"/>
    <n v="5"/>
    <n v="0"/>
    <n v="36"/>
    <n v="5"/>
    <n v="3"/>
    <n v="3"/>
    <n v="17412"/>
    <n v="730"/>
    <n v="16682"/>
    <n v="0.83699999999999997"/>
    <n v="4997"/>
    <n v="84"/>
    <n v="0.61499999999999999"/>
    <n v="4.2000000000000003E-2"/>
    <n v="3.0250999999999998E-4"/>
    <n v="0.99970000000000003"/>
    <s v="28.468532362427567"/>
    <s v="50.67980259738574"/>
    <s v="60.29168200497987"/>
    <s v="17.061985273457264"/>
    <n v="720730683"/>
    <x v="0"/>
    <n v="6.2181555999999999E-4"/>
    <x v="0"/>
  </r>
  <r>
    <n v="58"/>
    <n v="1"/>
    <n v="3"/>
    <n v="6"/>
    <n v="2"/>
    <n v="3"/>
    <n v="0"/>
    <n v="36"/>
    <n v="6"/>
    <n v="2"/>
    <n v="3"/>
    <n v="3355"/>
    <n v="1878"/>
    <n v="1477"/>
    <n v="0.72499999999999998"/>
    <n v="4578"/>
    <n v="84"/>
    <n v="0.95299999999999996"/>
    <n v="0.56000000000000005"/>
    <n v="2.1834E-4"/>
    <n v="0.99978"/>
    <n v="37.2534104366012"/>
    <s v="21.807807232479465"/>
    <s v="27.104683530183028"/>
    <s v="17.557696795585706"/>
    <n v="716716083"/>
    <x v="0"/>
    <n v="3.2101269999999999E-4"/>
    <x v="0"/>
  </r>
  <r>
    <n v="49"/>
    <n v="1"/>
    <n v="3"/>
    <n v="6"/>
    <n v="3"/>
    <n v="0"/>
    <n v="0"/>
    <n v="44"/>
    <n v="5"/>
    <n v="2"/>
    <n v="2"/>
    <n v="21620"/>
    <n v="2008"/>
    <n v="19612"/>
    <n v="0.69099999999999995"/>
    <n v="1300"/>
    <n v="33"/>
    <n v="0.5"/>
    <n v="9.2999999999999999E-2"/>
    <n v="1.2982E-4"/>
    <n v="0.99987000000000004"/>
    <s v="9.859167883533416"/>
    <s v="46.73489450004634"/>
    <s v="0.7660793301184479"/>
    <s v="4.514907233371124"/>
    <n v="819352983"/>
    <x v="0"/>
    <n v="1.2325711E-3"/>
    <x v="0"/>
  </r>
  <r>
    <n v="34"/>
    <n v="0"/>
    <n v="2"/>
    <n v="0"/>
    <n v="2"/>
    <n v="4"/>
    <n v="0"/>
    <n v="20"/>
    <n v="5"/>
    <n v="2"/>
    <n v="3"/>
    <n v="2715"/>
    <n v="1503"/>
    <n v="1212"/>
    <n v="0.70399999999999996"/>
    <n v="4177"/>
    <n v="68"/>
    <n v="0.65900000000000003"/>
    <n v="0.55400000000000005"/>
    <n v="1.8611999999999999E-4"/>
    <n v="0.99980999999999998"/>
    <s v="0.2991099859972893"/>
    <s v="4.990814485440692"/>
    <n v="5.9604599105966202E-2"/>
    <s v="4.324976145990053"/>
    <n v="720725883"/>
    <x v="0"/>
    <n v="3.2101269999999999E-4"/>
    <x v="0"/>
  </r>
  <r>
    <n v="48"/>
    <n v="0"/>
    <n v="3"/>
    <n v="4"/>
    <n v="1"/>
    <n v="4"/>
    <n v="3"/>
    <n v="40"/>
    <n v="6"/>
    <n v="3"/>
    <n v="3"/>
    <n v="13991"/>
    <n v="1580"/>
    <n v="12411"/>
    <n v="0.86399999999999999"/>
    <n v="4100"/>
    <n v="74"/>
    <n v="0.72099999999999997"/>
    <n v="0.113"/>
    <n v="3.3374000000000001E-4"/>
    <n v="0.99966999999999995"/>
    <s v="3.0774262953634888"/>
    <s v="66.58434255254367"/>
    <n v="81.197806440408399"/>
    <s v="7.353516700917791"/>
    <n v="718270833"/>
    <x v="0"/>
    <n v="3.2101269999999999E-4"/>
    <x v="0"/>
  </r>
  <r>
    <n v="56"/>
    <n v="0"/>
    <n v="3"/>
    <n v="3"/>
    <n v="1"/>
    <n v="5"/>
    <n v="0"/>
    <n v="41"/>
    <n v="3"/>
    <n v="2"/>
    <n v="3"/>
    <n v="4169"/>
    <n v="1549"/>
    <n v="2620"/>
    <n v="0.76800000000000002"/>
    <n v="4519"/>
    <n v="82"/>
    <n v="0.70799999999999996"/>
    <n v="0.372"/>
    <n v="1.9311E-4"/>
    <n v="0.99980999999999998"/>
    <s v="37.11334480863777"/>
    <s v="76.17318314381785"/>
    <s v="94.92410253531132"/>
    <s v="13.805166763385404"/>
    <n v="817041408"/>
    <x v="0"/>
    <n v="3.2101269999999999E-4"/>
    <x v="0"/>
  </r>
  <r>
    <n v="37"/>
    <n v="0"/>
    <n v="2"/>
    <n v="5"/>
    <n v="1"/>
    <n v="5"/>
    <n v="0"/>
    <n v="22"/>
    <n v="4"/>
    <n v="3"/>
    <n v="3"/>
    <n v="7927"/>
    <n v="996"/>
    <n v="6931"/>
    <n v="0.52100000000000002"/>
    <n v="4094"/>
    <n v="85"/>
    <n v="0.77100000000000002"/>
    <n v="0.126"/>
    <n v="3.1104E-4"/>
    <n v="0.99968999999999997"/>
    <s v="39.48031907576311"/>
    <s v="0.7851945228480773"/>
    <s v="104.63148290821134"/>
    <s v="12.978822161104269"/>
    <n v="718469658"/>
    <x v="0"/>
    <n v="3.2101269999999999E-4"/>
    <x v="0"/>
  </r>
  <r>
    <n v="48"/>
    <n v="0"/>
    <n v="3"/>
    <n v="3"/>
    <n v="1"/>
    <n v="4"/>
    <n v="0"/>
    <n v="43"/>
    <n v="3"/>
    <n v="3"/>
    <n v="3"/>
    <n v="1670"/>
    <n v="0"/>
    <n v="1670"/>
    <n v="0.70699999999999996"/>
    <n v="2790"/>
    <n v="37"/>
    <n v="0.32100000000000001"/>
    <n v="0"/>
    <n v="0.99673"/>
    <n v="3.2652800000000002E-3"/>
    <s v="11.000527515664295"/>
    <s v="7.7173220271160625"/>
    <s v="6.660424478469836"/>
    <n v="22.763822251467101"/>
    <n v="809626983"/>
    <x v="1"/>
    <n v="0.99872713999999996"/>
    <x v="1"/>
  </r>
  <r>
    <n v="40"/>
    <n v="1"/>
    <n v="3"/>
    <n v="3"/>
    <n v="1"/>
    <n v="2"/>
    <n v="0"/>
    <n v="28"/>
    <n v="2"/>
    <n v="3"/>
    <n v="1"/>
    <n v="11476"/>
    <n v="2365"/>
    <n v="9111"/>
    <n v="0.65"/>
    <n v="8110"/>
    <n v="113"/>
    <n v="0.76600000000000001"/>
    <n v="0.20599999999999999"/>
    <n v="1.0943E-4"/>
    <n v="0.99988999999999995"/>
    <s v="40.13196763329224"/>
    <n v="67.507129559887005"/>
    <s v="3.304721122317329"/>
    <s v="19.41457511871332"/>
    <n v="708568983"/>
    <x v="0"/>
    <n v="3.6856539999999998E-4"/>
    <x v="0"/>
  </r>
  <r>
    <n v="50"/>
    <n v="1"/>
    <n v="0"/>
    <n v="5"/>
    <n v="0"/>
    <n v="2"/>
    <n v="0"/>
    <n v="39"/>
    <n v="6"/>
    <n v="3"/>
    <n v="3"/>
    <n v="9474"/>
    <n v="1021"/>
    <n v="8453"/>
    <n v="0.55700000000000005"/>
    <n v="3240"/>
    <n v="54"/>
    <n v="0.58799999999999997"/>
    <n v="0.108"/>
    <n v="2.6692000000000003E-4"/>
    <n v="0.99973000000000001"/>
    <s v="28.132187963198444"/>
    <s v="7.754487816831689"/>
    <s v="122.62972026623676"/>
    <s v="15.523660040521712"/>
    <n v="716037708"/>
    <x v="0"/>
    <n v="5.4729509999999998E-4"/>
    <x v="0"/>
  </r>
  <r>
    <n v="30"/>
    <n v="1"/>
    <n v="1"/>
    <n v="5"/>
    <n v="0"/>
    <n v="5"/>
    <n v="0"/>
    <n v="22"/>
    <n v="5"/>
    <n v="3"/>
    <n v="4"/>
    <n v="12539"/>
    <n v="910"/>
    <n v="11629"/>
    <n v="0.85599999999999998"/>
    <n v="2643"/>
    <n v="72"/>
    <n v="0.67400000000000004"/>
    <n v="7.2999999999999995E-2"/>
    <n v="4.9799999999999996E-4"/>
    <n v="0.99950000000000006"/>
    <s v="26.74401123779215"/>
    <s v="44.22808554314638"/>
    <s v="21.20318344559176"/>
    <s v="21.46301321446517"/>
    <n v="708231183"/>
    <x v="0"/>
    <n v="5.6064985000000005E-4"/>
    <x v="0"/>
  </r>
  <r>
    <n v="55"/>
    <n v="1"/>
    <n v="3"/>
    <n v="4"/>
    <n v="3"/>
    <n v="0"/>
    <n v="0"/>
    <n v="40"/>
    <n v="3"/>
    <n v="1"/>
    <n v="4"/>
    <n v="15631"/>
    <n v="1305"/>
    <n v="14326"/>
    <n v="0.66800000000000004"/>
    <n v="4313"/>
    <n v="67"/>
    <n v="0.91400000000000003"/>
    <n v="8.3000000000000004E-2"/>
    <n v="1.9296E-4"/>
    <n v="0.99980999999999998"/>
    <s v="39.46753729512114"/>
    <s v="12.712754991306308"/>
    <s v="132.44655960297413"/>
    <s v="2.6212097823897222"/>
    <n v="788874333"/>
    <x v="0"/>
    <n v="3.3885973999999997E-4"/>
    <x v="0"/>
  </r>
  <r>
    <n v="44"/>
    <n v="1"/>
    <n v="3"/>
    <n v="2"/>
    <n v="1"/>
    <n v="2"/>
    <n v="0"/>
    <n v="34"/>
    <n v="5"/>
    <n v="3"/>
    <n v="3"/>
    <n v="14201"/>
    <n v="0"/>
    <n v="14201"/>
    <n v="0.57399999999999995"/>
    <n v="2223"/>
    <n v="47"/>
    <n v="0.67900000000000005"/>
    <n v="0"/>
    <n v="0.99682999999999999"/>
    <n v="3.1745800000000002E-3"/>
    <s v="0.1618103317487387"/>
    <s v="0.1511813230567904"/>
    <s v="37.82715621785291"/>
    <s v="18.988837345638128"/>
    <n v="780032208"/>
    <x v="1"/>
    <n v="0.99846690000000005"/>
    <x v="1"/>
  </r>
  <r>
    <n v="39"/>
    <n v="0"/>
    <n v="0"/>
    <n v="3"/>
    <n v="2"/>
    <n v="5"/>
    <n v="0"/>
    <n v="27"/>
    <n v="6"/>
    <n v="3"/>
    <n v="3"/>
    <n v="17531"/>
    <n v="0"/>
    <n v="17531"/>
    <n v="0.8"/>
    <n v="4563"/>
    <n v="61"/>
    <n v="0.74299999999999999"/>
    <n v="0"/>
    <n v="2.5237000000000002E-4"/>
    <n v="0.99975000000000003"/>
    <s v="23.880066506960542"/>
    <s v="18.009284954781425"/>
    <s v="59.11859033472295"/>
    <s v="20.961607486718485"/>
    <n v="709730508"/>
    <x v="0"/>
    <n v="8.1245880000000001E-4"/>
    <x v="0"/>
  </r>
  <r>
    <n v="45"/>
    <n v="1"/>
    <n v="2"/>
    <n v="0"/>
    <n v="2"/>
    <n v="1"/>
    <n v="0"/>
    <n v="31"/>
    <n v="2"/>
    <n v="2"/>
    <n v="1"/>
    <n v="6530"/>
    <n v="1425"/>
    <n v="5105"/>
    <n v="0.71599999999999997"/>
    <n v="8904"/>
    <n v="101"/>
    <n v="0.65600000000000003"/>
    <n v="0.218"/>
    <s v="6.6734e-05"/>
    <n v="0.99992999999999999"/>
    <s v="39.90668107836256"/>
    <n v="24.617293600590099"/>
    <s v="15.046156632407133"/>
    <s v="6.283357492561829"/>
    <n v="721053633"/>
    <x v="0"/>
    <n v="3.6856539999999998E-4"/>
    <x v="0"/>
  </r>
  <r>
    <n v="51"/>
    <n v="1"/>
    <n v="2"/>
    <n v="2"/>
    <n v="1"/>
    <n v="0"/>
    <n v="0"/>
    <n v="42"/>
    <n v="3"/>
    <n v="3"/>
    <n v="0"/>
    <n v="24221"/>
    <n v="1707"/>
    <n v="22514"/>
    <n v="0.81599999999999995"/>
    <n v="1678"/>
    <n v="40"/>
    <n v="0.53800000000000003"/>
    <n v="7.0000000000000007E-2"/>
    <s v="6.6354e-05"/>
    <n v="0.99992999999999999"/>
    <s v="4.572083742825471"/>
    <s v="50.683293860018665"/>
    <s v="76.24069714995247"/>
    <s v="7.087273199659032"/>
    <n v="721509558"/>
    <x v="0"/>
    <n v="1.2135226000000001E-3"/>
    <x v="0"/>
  </r>
  <r>
    <n v="44"/>
    <n v="0"/>
    <n v="3"/>
    <n v="5"/>
    <n v="2"/>
    <n v="4"/>
    <n v="0"/>
    <n v="38"/>
    <n v="4"/>
    <n v="1"/>
    <n v="3"/>
    <n v="1438.3"/>
    <n v="0"/>
    <n v="1438.3"/>
    <n v="0.80100000000000005"/>
    <n v="4287"/>
    <n v="80"/>
    <n v="0.66700000000000004"/>
    <n v="0"/>
    <s v="9.8837e-05"/>
    <n v="0.99990000000000001"/>
    <n v="30.906505111753201"/>
    <s v="24.561513035648403"/>
    <s v="45.21693214497692"/>
    <s v="3.833176555722316"/>
    <n v="793345008"/>
    <x v="0"/>
    <n v="6.9517245999999998E-4"/>
    <x v="0"/>
  </r>
  <r>
    <n v="46"/>
    <n v="1"/>
    <n v="1"/>
    <n v="2"/>
    <n v="2"/>
    <n v="3"/>
    <n v="0"/>
    <n v="41"/>
    <n v="4"/>
    <n v="2"/>
    <n v="3"/>
    <n v="8916"/>
    <n v="0"/>
    <n v="8916"/>
    <n v="0.63100000000000001"/>
    <n v="2773"/>
    <n v="62"/>
    <n v="0.67600000000000005"/>
    <n v="0"/>
    <n v="1.7969000000000001E-4"/>
    <n v="0.99982000000000004"/>
    <s v="43.69839594436234"/>
    <s v="15.779977842748927"/>
    <s v="16.79300126728602"/>
    <s v="15.572988727303024"/>
    <n v="816608808"/>
    <x v="0"/>
    <n v="9.8558470000000009E-4"/>
    <x v="0"/>
  </r>
  <r>
    <n v="49"/>
    <n v="1"/>
    <n v="5"/>
    <n v="3"/>
    <n v="2"/>
    <n v="2"/>
    <n v="0"/>
    <n v="36"/>
    <n v="1"/>
    <n v="2"/>
    <n v="2"/>
    <n v="5578"/>
    <n v="0"/>
    <n v="5578"/>
    <n v="0.627"/>
    <n v="3459"/>
    <n v="53"/>
    <n v="0.71"/>
    <n v="0"/>
    <n v="1.1423E-4"/>
    <n v="0.99988999999999995"/>
    <s v="13.68541674731497"/>
    <s v="20.487821124950944"/>
    <s v="6.112779661114717"/>
    <s v="17.12420978740261"/>
    <n v="713497983"/>
    <x v="0"/>
    <n v="2.2831150000000001E-3"/>
    <x v="0"/>
  </r>
  <r>
    <n v="46"/>
    <n v="1"/>
    <n v="3"/>
    <n v="3"/>
    <n v="2"/>
    <n v="0"/>
    <n v="0"/>
    <n v="34"/>
    <n v="5"/>
    <n v="3"/>
    <n v="2"/>
    <n v="5155"/>
    <n v="868"/>
    <n v="4287"/>
    <n v="0.88200000000000001"/>
    <n v="3535"/>
    <n v="57"/>
    <n v="1.111"/>
    <n v="0.16800000000000001"/>
    <n v="1.8144999999999999E-4"/>
    <n v="0.99982000000000004"/>
    <s v="8.791699869024992"/>
    <s v="45.43204773303391"/>
    <s v="18.98395208113817"/>
    <s v="19.64160938154827"/>
    <n v="712076358"/>
    <x v="0"/>
    <n v="5.7555479999999999E-4"/>
    <x v="0"/>
  </r>
  <r>
    <n v="44"/>
    <n v="0"/>
    <n v="2"/>
    <n v="3"/>
    <n v="3"/>
    <n v="4"/>
    <n v="0"/>
    <n v="29"/>
    <n v="2"/>
    <n v="3"/>
    <n v="1"/>
    <n v="3170"/>
    <n v="2330"/>
    <n v="840"/>
    <n v="0.85799999999999998"/>
    <n v="5357"/>
    <n v="91"/>
    <n v="0.97799999999999998"/>
    <n v="0.73499999999999999"/>
    <n v="1.0545E-4"/>
    <n v="0.99988999999999995"/>
    <s v="23.260113107602564"/>
    <s v="53.885278824462326"/>
    <s v="50.574920901708296"/>
    <s v="14.468928682853305"/>
    <n v="720165258"/>
    <x v="0"/>
    <n v="3.6588970000000001E-4"/>
    <x v="0"/>
  </r>
  <r>
    <n v="45"/>
    <n v="1"/>
    <n v="3"/>
    <n v="5"/>
    <n v="3"/>
    <n v="2"/>
    <n v="0"/>
    <n v="39"/>
    <n v="3"/>
    <n v="2"/>
    <n v="3"/>
    <n v="5996"/>
    <n v="865"/>
    <n v="5131"/>
    <n v="0.51100000000000001"/>
    <n v="4542"/>
    <n v="77"/>
    <n v="0.48099999999999998"/>
    <n v="0.14399999999999999"/>
    <n v="2.0424000000000001E-4"/>
    <n v="0.99980000000000002"/>
    <s v="46.15738982853686"/>
    <s v="2.773076195756899"/>
    <s v="131.81338463168763"/>
    <s v="4.198577929146288"/>
    <n v="797743233"/>
    <x v="0"/>
    <n v="4.8216098000000002E-4"/>
    <x v="0"/>
  </r>
  <r>
    <n v="61"/>
    <n v="1"/>
    <n v="1"/>
    <n v="2"/>
    <n v="2"/>
    <n v="5"/>
    <n v="0"/>
    <n v="56"/>
    <n v="5"/>
    <n v="3"/>
    <n v="2"/>
    <n v="4235"/>
    <n v="1675"/>
    <n v="2560"/>
    <n v="1.079"/>
    <n v="3862"/>
    <n v="76"/>
    <n v="0.94899999999999995"/>
    <n v="0.39600000000000002"/>
    <n v="1.6882999999999999E-4"/>
    <n v="0.99983"/>
    <n v="32.240544646993001"/>
    <s v="66.88202632239037"/>
    <s v="12.85207249845264"/>
    <s v="1.0957572118160537"/>
    <n v="808675083"/>
    <x v="0"/>
    <n v="3.221314E-4"/>
    <x v="0"/>
  </r>
  <r>
    <n v="48"/>
    <n v="1"/>
    <n v="4"/>
    <n v="2"/>
    <n v="1"/>
    <n v="4"/>
    <n v="0"/>
    <n v="36"/>
    <n v="4"/>
    <n v="1"/>
    <n v="2"/>
    <n v="2912"/>
    <n v="1501"/>
    <n v="1411"/>
    <n v="0.82499999999999996"/>
    <n v="4518"/>
    <n v="90"/>
    <n v="0.875"/>
    <n v="0.51500000000000001"/>
    <s v="5.7762e-05"/>
    <n v="0.99994000000000005"/>
    <n v="22.985985718138899"/>
    <s v="106.15717018804078"/>
    <s v="16.054745417736534"/>
    <s v="0.6689139879318909"/>
    <n v="712014708"/>
    <x v="0"/>
    <n v="3.2101269999999999E-4"/>
    <x v="0"/>
  </r>
  <r>
    <n v="28"/>
    <n v="1"/>
    <n v="1"/>
    <n v="5"/>
    <n v="2"/>
    <n v="2"/>
    <n v="0"/>
    <n v="18"/>
    <n v="6"/>
    <n v="3"/>
    <n v="2"/>
    <n v="16604"/>
    <n v="1716"/>
    <n v="14888"/>
    <n v="1.0249999999999999"/>
    <n v="2580"/>
    <n v="61"/>
    <n v="0.64900000000000002"/>
    <n v="0.10299999999999999"/>
    <n v="1.7359999999999999E-4"/>
    <n v="0.99983"/>
    <s v="0.1566892266407291"/>
    <s v="83.89882706319234"/>
    <s v="12.962004710031763"/>
    <s v="11.300356480162163"/>
    <n v="710112933"/>
    <x v="0"/>
    <n v="4.2245854000000002E-4"/>
    <x v="0"/>
  </r>
  <r>
    <n v="65"/>
    <n v="1"/>
    <n v="0"/>
    <n v="6"/>
    <n v="2"/>
    <n v="5"/>
    <n v="0"/>
    <n v="56"/>
    <n v="3"/>
    <n v="2"/>
    <n v="2"/>
    <n v="11332"/>
    <n v="633"/>
    <n v="10699"/>
    <n v="1.514"/>
    <n v="2758"/>
    <n v="56"/>
    <n v="1.24"/>
    <n v="5.6000000000000001E-2"/>
    <n v="1.0736E-4"/>
    <n v="0.99988999999999995"/>
    <s v="28.137312377123976"/>
    <s v="49.25322758926701"/>
    <s v="3.6439638602002105"/>
    <s v="22.74047795749077"/>
    <n v="780689733"/>
    <x v="0"/>
    <n v="9.5121249999999995E-4"/>
    <x v="0"/>
  </r>
  <r>
    <n v="48"/>
    <n v="0"/>
    <n v="3"/>
    <n v="2"/>
    <n v="2"/>
    <n v="4"/>
    <n v="0"/>
    <n v="36"/>
    <n v="2"/>
    <n v="3"/>
    <n v="1"/>
    <n v="3882"/>
    <n v="2029"/>
    <n v="1853"/>
    <n v="0.751"/>
    <n v="13980"/>
    <n v="128"/>
    <n v="0.70699999999999996"/>
    <n v="0.52300000000000002"/>
    <n v="1.1256000000000001E-4"/>
    <n v="0.99988999999999995"/>
    <s v="6.023495533759072"/>
    <s v="13.047385216284232"/>
    <s v="22.08618552977984"/>
    <s v="7.552472462033955"/>
    <n v="715518783"/>
    <x v="0"/>
    <n v="3.4656386999999997E-4"/>
    <x v="0"/>
  </r>
  <r>
    <n v="46"/>
    <n v="0"/>
    <n v="3"/>
    <n v="6"/>
    <n v="2"/>
    <n v="4"/>
    <n v="0"/>
    <n v="41"/>
    <n v="3"/>
    <n v="2"/>
    <n v="2"/>
    <n v="1937"/>
    <n v="916"/>
    <n v="1021"/>
    <n v="0.80700000000000005"/>
    <n v="4303"/>
    <n v="89"/>
    <n v="0.78"/>
    <n v="0.47299999999999998"/>
    <n v="1.2982E-4"/>
    <n v="0.99987000000000004"/>
    <s v="24.64756618227041"/>
    <s v="44.75517084781436"/>
    <s v="60.50834731525055"/>
    <s v="18.17256395283536"/>
    <n v="804344733"/>
    <x v="0"/>
    <n v="4.0989029999999999E-4"/>
    <x v="0"/>
  </r>
  <r>
    <n v="26"/>
    <n v="1"/>
    <n v="0"/>
    <n v="2"/>
    <n v="2"/>
    <n v="4"/>
    <n v="0"/>
    <n v="21"/>
    <n v="4"/>
    <n v="3"/>
    <n v="2"/>
    <n v="1585"/>
    <n v="1535"/>
    <n v="50"/>
    <n v="0.46200000000000002"/>
    <n v="2299"/>
    <n v="49"/>
    <n v="0.48499999999999999"/>
    <n v="0.96799999999999997"/>
    <n v="1.5435000000000001E-4"/>
    <n v="0.99985000000000002"/>
    <s v="9.417952676376542"/>
    <s v="61.909653741130334"/>
    <s v="45.52568059702522"/>
    <s v="1.8737558417662357"/>
    <n v="820075983"/>
    <x v="0"/>
    <n v="1.237803E-3"/>
    <x v="0"/>
  </r>
  <r>
    <n v="44"/>
    <n v="1"/>
    <n v="3"/>
    <n v="3"/>
    <n v="2"/>
    <n v="3"/>
    <n v="0"/>
    <n v="35"/>
    <n v="3"/>
    <n v="3"/>
    <n v="4"/>
    <n v="18358"/>
    <n v="1044"/>
    <n v="17314"/>
    <n v="0.52400000000000002"/>
    <n v="3920"/>
    <n v="85"/>
    <n v="0.49099999999999999"/>
    <n v="5.7000000000000002E-2"/>
    <n v="5.2052000000000001E-4"/>
    <n v="0.99948000000000004"/>
    <s v="4.219455468881355"/>
    <s v="24.018950766284803"/>
    <s v="60.13460705298729"/>
    <s v="8.175592015309498"/>
    <n v="714147858"/>
    <x v="0"/>
    <n v="3.9788143000000001E-4"/>
    <x v="0"/>
  </r>
  <r>
    <n v="45"/>
    <n v="1"/>
    <n v="4"/>
    <n v="2"/>
    <n v="1"/>
    <n v="2"/>
    <n v="0"/>
    <n v="39"/>
    <n v="6"/>
    <n v="3"/>
    <n v="2"/>
    <n v="12890"/>
    <n v="0"/>
    <n v="12890"/>
    <n v="0.57599999999999996"/>
    <n v="2216"/>
    <n v="51"/>
    <n v="0.54500000000000004"/>
    <n v="0"/>
    <n v="0.99473"/>
    <n v="5.2700000000000004E-3"/>
    <s v="1.936529612093314"/>
    <s v="27.09041759918449"/>
    <s v="127.84731573635136"/>
    <s v="5.788340460709196"/>
    <n v="801715383"/>
    <x v="1"/>
    <n v="0.99846387000000003"/>
    <x v="1"/>
  </r>
  <r>
    <n v="38"/>
    <n v="0"/>
    <n v="2"/>
    <n v="3"/>
    <n v="2"/>
    <n v="4"/>
    <n v="0"/>
    <n v="33"/>
    <n v="3"/>
    <n v="3"/>
    <n v="3"/>
    <n v="1568"/>
    <n v="0"/>
    <n v="1568"/>
    <n v="0.61099999999999999"/>
    <n v="2812"/>
    <n v="59"/>
    <n v="0.78800000000000003"/>
    <n v="0"/>
    <n v="0.99661"/>
    <n v="3.3878799999999998E-3"/>
    <s v="12.867433163681197"/>
    <s v="39.52003464339105"/>
    <s v="68.08553589133474"/>
    <s v="5.527282754865435"/>
    <n v="809616108"/>
    <x v="1"/>
    <n v="0.99446243000000001"/>
    <x v="1"/>
  </r>
  <r>
    <n v="48"/>
    <n v="1"/>
    <n v="4"/>
    <n v="6"/>
    <n v="2"/>
    <n v="1"/>
    <n v="0"/>
    <n v="43"/>
    <n v="2"/>
    <n v="3"/>
    <n v="2"/>
    <n v="11272"/>
    <n v="1744"/>
    <n v="9528"/>
    <n v="0.34699999999999998"/>
    <n v="1455"/>
    <n v="34"/>
    <n v="0.214"/>
    <n v="0.155"/>
    <n v="0.99519999999999997"/>
    <n v="4.7986299999999999E-3"/>
    <s v="4.577792010519147"/>
    <s v="76.14101286686999"/>
    <s v="19.139568068748307"/>
    <s v="14.08059734389519"/>
    <n v="821724483"/>
    <x v="1"/>
    <n v="0.99566540000000003"/>
    <x v="1"/>
  </r>
  <r>
    <n v="49"/>
    <n v="0"/>
    <n v="1"/>
    <n v="5"/>
    <n v="0"/>
    <n v="4"/>
    <n v="0"/>
    <n v="36"/>
    <n v="2"/>
    <n v="3"/>
    <n v="2"/>
    <n v="1838"/>
    <n v="0"/>
    <n v="1838"/>
    <n v="0.65"/>
    <n v="5156"/>
    <n v="72"/>
    <n v="0.89500000000000002"/>
    <n v="0"/>
    <n v="1.7359999999999999E-4"/>
    <n v="0.99983"/>
    <s v="8.298682667005796"/>
    <s v="23.800023592058405"/>
    <s v="5.212095397378248"/>
    <s v="11.169045239569042"/>
    <n v="714087258"/>
    <x v="0"/>
    <n v="6.9517245999999998E-4"/>
    <x v="0"/>
  </r>
  <r>
    <n v="50"/>
    <n v="0"/>
    <n v="5"/>
    <n v="6"/>
    <n v="3"/>
    <n v="5"/>
    <n v="0"/>
    <n v="43"/>
    <n v="5"/>
    <n v="1"/>
    <n v="2"/>
    <n v="3410"/>
    <n v="2281"/>
    <n v="1129"/>
    <n v="0.51800000000000002"/>
    <n v="1296"/>
    <n v="31"/>
    <n v="0.34799999999999998"/>
    <n v="0.66900000000000004"/>
    <s v="6.2502e-05"/>
    <n v="0.99994000000000005"/>
    <s v="33.56375819179923"/>
    <s v="4.898547536742552"/>
    <s v="41.60308099028143"/>
    <s v="1.3055874489390713"/>
    <n v="755959683"/>
    <x v="0"/>
    <n v="1.2315542E-3"/>
    <x v="0"/>
  </r>
  <r>
    <n v="50"/>
    <n v="0"/>
    <n v="4"/>
    <n v="6"/>
    <n v="1"/>
    <n v="5"/>
    <n v="3"/>
    <n v="36"/>
    <n v="6"/>
    <n v="1"/>
    <n v="2"/>
    <n v="32156"/>
    <n v="1791"/>
    <n v="30365"/>
    <n v="0.90600000000000003"/>
    <n v="1559"/>
    <n v="39"/>
    <n v="1.167"/>
    <n v="5.6000000000000001E-2"/>
    <s v="5.7369e-05"/>
    <n v="0.99994000000000005"/>
    <s v="33.31473321459282"/>
    <s v="36.94209262800721"/>
    <s v="39.35800455594213"/>
    <s v="13.998517946312033"/>
    <n v="779558733"/>
    <x v="0"/>
    <n v="1.0985557E-3"/>
    <x v="0"/>
  </r>
  <r>
    <n v="46"/>
    <n v="0"/>
    <n v="4"/>
    <n v="5"/>
    <n v="1"/>
    <n v="4"/>
    <n v="0"/>
    <n v="30"/>
    <n v="3"/>
    <n v="3"/>
    <n v="1"/>
    <n v="2479"/>
    <n v="1759"/>
    <n v="720"/>
    <n v="0.81"/>
    <n v="4562"/>
    <n v="86"/>
    <n v="0.72"/>
    <n v="0.71"/>
    <n v="1.1697E-4"/>
    <n v="0.99987999999999999"/>
    <s v="10.672397433168204"/>
    <s v="10.088220495656769"/>
    <s v="25.969884472341384"/>
    <s v="23.559159288048328"/>
    <n v="788552658"/>
    <x v="0"/>
    <n v="3.2101269999999999E-4"/>
    <x v="0"/>
  </r>
  <r>
    <n v="48"/>
    <n v="0"/>
    <n v="2"/>
    <n v="2"/>
    <n v="1"/>
    <n v="5"/>
    <n v="0"/>
    <n v="41"/>
    <n v="1"/>
    <n v="1"/>
    <n v="3"/>
    <n v="7884"/>
    <n v="745"/>
    <n v="7139"/>
    <n v="0.71399999999999997"/>
    <n v="4588"/>
    <n v="74"/>
    <n v="0.76200000000000001"/>
    <n v="9.4E-2"/>
    <s v="9.2637e-05"/>
    <n v="0.99990999999999997"/>
    <s v="26.49435158484696"/>
    <s v="42.62849525369458"/>
    <n v="84.366608651856097"/>
    <s v="23.059719138722507"/>
    <n v="765755283"/>
    <x v="0"/>
    <n v="5.6052160000000001E-4"/>
    <x v="0"/>
  </r>
  <r>
    <n v="33"/>
    <n v="1"/>
    <n v="3"/>
    <n v="4"/>
    <n v="1"/>
    <n v="3"/>
    <n v="0"/>
    <n v="25"/>
    <n v="4"/>
    <n v="2"/>
    <n v="3"/>
    <n v="16434"/>
    <n v="2104"/>
    <n v="14330"/>
    <n v="0.95499999999999996"/>
    <n v="1726"/>
    <n v="37"/>
    <n v="0.85"/>
    <n v="0.128"/>
    <n v="2.3373E-4"/>
    <n v="0.99977000000000005"/>
    <s v="4.093980510613013"/>
    <s v="16.55690274197124"/>
    <s v="111.86725225845944"/>
    <s v="13.365244047407684"/>
    <n v="711526533"/>
    <x v="0"/>
    <n v="9.8706899999999992E-4"/>
    <x v="0"/>
  </r>
  <r>
    <n v="52"/>
    <n v="1"/>
    <n v="1"/>
    <n v="1"/>
    <n v="1"/>
    <n v="0"/>
    <n v="0"/>
    <n v="41"/>
    <n v="4"/>
    <n v="2"/>
    <n v="2"/>
    <n v="33864"/>
    <n v="989"/>
    <n v="32875"/>
    <n v="1.2190000000000001"/>
    <n v="1751"/>
    <n v="48"/>
    <n v="0.92"/>
    <n v="2.9000000000000001E-2"/>
    <n v="1.5459999999999999E-4"/>
    <n v="0.99985000000000002"/>
    <s v="25.212706927769787"/>
    <s v="46.06170135959854"/>
    <s v="16.709385312768237"/>
    <s v="16.657340279391796"/>
    <n v="719459358"/>
    <x v="0"/>
    <n v="1.0985557E-3"/>
    <x v="0"/>
  </r>
  <r>
    <n v="39"/>
    <n v="1"/>
    <n v="1"/>
    <n v="5"/>
    <n v="1"/>
    <n v="1"/>
    <n v="0"/>
    <n v="29"/>
    <n v="4"/>
    <n v="2"/>
    <n v="2"/>
    <n v="4323"/>
    <n v="1267"/>
    <n v="3056"/>
    <n v="1.1020000000000001"/>
    <n v="3078"/>
    <n v="58"/>
    <n v="0.61099999999999999"/>
    <n v="0.29299999999999998"/>
    <n v="1.0985E-4"/>
    <n v="0.99988999999999995"/>
    <s v="26.33232558850164"/>
    <s v="11.794940409541782"/>
    <s v="62.00548534002891"/>
    <s v="0.2474087308133785"/>
    <n v="708513183"/>
    <x v="0"/>
    <n v="4.2119990000000001E-4"/>
    <x v="0"/>
  </r>
  <r>
    <n v="42"/>
    <n v="1"/>
    <n v="4"/>
    <n v="2"/>
    <n v="2"/>
    <n v="2"/>
    <n v="0"/>
    <n v="36"/>
    <n v="5"/>
    <n v="1"/>
    <n v="0"/>
    <n v="2727"/>
    <n v="834"/>
    <n v="1893"/>
    <n v="0.56799999999999995"/>
    <n v="1294"/>
    <n v="26"/>
    <n v="0.44400000000000001"/>
    <n v="0.30599999999999999"/>
    <s v="2.1307e-05"/>
    <n v="0.99997999999999998"/>
    <s v="26.68605128225236"/>
    <s v="25.23589582877739"/>
    <s v="128.59030165369128"/>
    <s v="17.240492671727218"/>
    <n v="714665733"/>
    <x v="0"/>
    <n v="1.8868185999999999E-3"/>
    <x v="0"/>
  </r>
  <r>
    <n v="50"/>
    <n v="0"/>
    <n v="2"/>
    <n v="6"/>
    <n v="2"/>
    <n v="4"/>
    <n v="0"/>
    <n v="36"/>
    <n v="3"/>
    <n v="2"/>
    <n v="2"/>
    <n v="2528"/>
    <n v="1689"/>
    <n v="839"/>
    <n v="0.51400000000000001"/>
    <n v="4269"/>
    <n v="78"/>
    <n v="0.85699999999999998"/>
    <n v="0.66800000000000004"/>
    <n v="1.2511E-4"/>
    <n v="0.99987000000000004"/>
    <s v="41.18668497625894"/>
    <s v="3.091714182939989"/>
    <s v="73.04723358154989"/>
    <s v="9.263452422886768"/>
    <n v="720977358"/>
    <x v="0"/>
    <n v="3.2101269999999999E-4"/>
    <x v="0"/>
  </r>
  <r>
    <n v="57"/>
    <n v="0"/>
    <n v="3"/>
    <n v="3"/>
    <n v="2"/>
    <n v="5"/>
    <n v="0"/>
    <n v="37"/>
    <n v="3"/>
    <n v="1"/>
    <n v="2"/>
    <n v="3052"/>
    <n v="1603"/>
    <n v="1449"/>
    <n v="0.77600000000000002"/>
    <n v="4210"/>
    <n v="82"/>
    <n v="0.90700000000000003"/>
    <n v="0.52500000000000002"/>
    <s v="5.5559e-05"/>
    <n v="0.99994000000000005"/>
    <s v="59.969668213090095"/>
    <s v="1.1366854373830804"/>
    <s v="25.433168664023203"/>
    <s v="21.25289835238891"/>
    <n v="714060408"/>
    <x v="0"/>
    <n v="3.2101269999999999E-4"/>
    <x v="0"/>
  </r>
  <r>
    <n v="37"/>
    <n v="1"/>
    <n v="2"/>
    <n v="0"/>
    <n v="1"/>
    <n v="3"/>
    <n v="0"/>
    <n v="17"/>
    <n v="5"/>
    <n v="3"/>
    <n v="2"/>
    <n v="4631"/>
    <n v="1991"/>
    <n v="2640"/>
    <n v="1.669"/>
    <n v="2864"/>
    <n v="37"/>
    <n v="0.94699999999999995"/>
    <n v="0.43"/>
    <n v="1.7488000000000001E-4"/>
    <n v="0.99983"/>
    <s v="8.785120166112543"/>
    <s v="14.73281041992263"/>
    <s v="24.763114171641533"/>
    <s v="14.071531593108476"/>
    <n v="712288158"/>
    <x v="0"/>
    <n v="1.0147218E-3"/>
    <x v="0"/>
  </r>
  <r>
    <n v="34"/>
    <n v="0"/>
    <n v="1"/>
    <n v="1"/>
    <n v="1"/>
    <n v="5"/>
    <n v="0"/>
    <n v="25"/>
    <n v="4"/>
    <n v="3"/>
    <n v="3"/>
    <n v="2318"/>
    <n v="2069"/>
    <n v="249"/>
    <n v="1.399"/>
    <n v="2689"/>
    <n v="57"/>
    <n v="0.78100000000000003"/>
    <n v="0.89300000000000002"/>
    <n v="4.1086999999999997E-4"/>
    <n v="0.99958999999999998"/>
    <s v="17.472024473821122"/>
    <s v="5.528867616168403"/>
    <n v="1.32827414973955"/>
    <s v="9.110507769909518"/>
    <n v="789952158"/>
    <x v="0"/>
    <n v="4.5097973999999998E-4"/>
    <x v="0"/>
  </r>
  <r>
    <n v="49"/>
    <n v="1"/>
    <n v="3"/>
    <n v="4"/>
    <n v="2"/>
    <n v="2"/>
    <n v="0"/>
    <n v="42"/>
    <n v="2"/>
    <n v="4"/>
    <n v="2"/>
    <n v="14895"/>
    <n v="0"/>
    <n v="14895"/>
    <n v="1.0429999999999999"/>
    <n v="5147"/>
    <n v="53"/>
    <n v="0.55900000000000005"/>
    <n v="0"/>
    <n v="0.99624999999999997"/>
    <n v="3.7526500000000002E-3"/>
    <s v="18.43439223915354"/>
    <s v="10.141180391734745"/>
    <s v="3.854155278700028"/>
    <s v="10.587732577773378"/>
    <n v="789560433"/>
    <x v="1"/>
    <n v="0.99767894000000001"/>
    <x v="1"/>
  </r>
  <r>
    <n v="30"/>
    <n v="1"/>
    <n v="1"/>
    <n v="4"/>
    <n v="1"/>
    <n v="4"/>
    <n v="0"/>
    <n v="17"/>
    <n v="5"/>
    <n v="1"/>
    <n v="2"/>
    <n v="7173"/>
    <n v="1227"/>
    <n v="5946"/>
    <n v="0.64600000000000002"/>
    <n v="1793"/>
    <n v="33"/>
    <n v="0.73699999999999999"/>
    <n v="0.17100000000000001"/>
    <s v="6.083e-05"/>
    <n v="0.99994000000000005"/>
    <s v="29.384807912362213"/>
    <s v="18.906042609513182"/>
    <s v="15.57286892873581"/>
    <s v="8.222850098926711"/>
    <n v="713352183"/>
    <x v="0"/>
    <n v="1.0337284E-3"/>
    <x v="0"/>
  </r>
  <r>
    <n v="36"/>
    <n v="1"/>
    <n v="3"/>
    <n v="5"/>
    <n v="1"/>
    <n v="3"/>
    <n v="0"/>
    <n v="25"/>
    <n v="6"/>
    <n v="3"/>
    <n v="3"/>
    <n v="21434"/>
    <n v="1345"/>
    <n v="20089"/>
    <n v="0.60299999999999998"/>
    <n v="2143"/>
    <n v="46"/>
    <n v="0.58599999999999997"/>
    <n v="6.3E-2"/>
    <n v="3.2275000000000001E-4"/>
    <n v="0.99968000000000001"/>
    <n v="8.8976270291002102"/>
    <s v="66.05753621136073"/>
    <s v="11.265317058368153"/>
    <s v="5.460972293675126"/>
    <n v="771829758"/>
    <x v="0"/>
    <n v="1.4765264000000001E-3"/>
    <x v="0"/>
  </r>
  <r>
    <n v="42"/>
    <n v="1"/>
    <n v="1"/>
    <n v="2"/>
    <n v="1"/>
    <n v="2"/>
    <n v="0"/>
    <n v="33"/>
    <n v="6"/>
    <n v="2"/>
    <n v="3"/>
    <n v="17165"/>
    <n v="1153"/>
    <n v="16012"/>
    <n v="0.57799999999999996"/>
    <n v="4063"/>
    <n v="62"/>
    <n v="0.67600000000000005"/>
    <n v="6.7000000000000004E-2"/>
    <n v="1.7969000000000001E-4"/>
    <n v="0.99982000000000004"/>
    <s v="52.51390630804995"/>
    <s v="1.508350237125488"/>
    <s v="2.4881967905548867"/>
    <s v="14.142151378265597"/>
    <n v="789407958"/>
    <x v="0"/>
    <n v="3.8724514999999998E-4"/>
    <x v="0"/>
  </r>
  <r>
    <n v="50"/>
    <n v="0"/>
    <n v="2"/>
    <n v="0"/>
    <n v="1"/>
    <n v="4"/>
    <n v="0"/>
    <n v="40"/>
    <n v="3"/>
    <n v="2"/>
    <n v="4"/>
    <n v="8416"/>
    <n v="1549"/>
    <n v="6867"/>
    <n v="0.64300000000000002"/>
    <n v="13988"/>
    <n v="124"/>
    <n v="0.77100000000000002"/>
    <n v="0.184"/>
    <n v="3.1749000000000002E-4"/>
    <n v="0.99968000000000001"/>
    <s v="18.49858455292829"/>
    <s v="52.83937285933986"/>
    <s v="30.819777818821137"/>
    <s v="13.379363531566842"/>
    <n v="772698783"/>
    <x v="0"/>
    <n v="3.4656386999999997E-4"/>
    <x v="0"/>
  </r>
  <r>
    <n v="29"/>
    <n v="0"/>
    <n v="2"/>
    <n v="6"/>
    <n v="2"/>
    <n v="4"/>
    <n v="0"/>
    <n v="21"/>
    <n v="4"/>
    <n v="3"/>
    <n v="2"/>
    <n v="2298"/>
    <n v="0"/>
    <n v="2298"/>
    <n v="0.77600000000000002"/>
    <n v="4814"/>
    <n v="88"/>
    <n v="0.63"/>
    <n v="0"/>
    <n v="1.9771E-4"/>
    <n v="0.99980000000000002"/>
    <s v="31.084009781204088"/>
    <s v="51.09700747445373"/>
    <s v="28.040829939838424"/>
    <s v="4.961816401602335"/>
    <n v="719147208"/>
    <x v="0"/>
    <n v="7.1276520000000004E-4"/>
    <x v="0"/>
  </r>
  <r>
    <n v="35"/>
    <n v="1"/>
    <n v="1"/>
    <n v="3"/>
    <n v="1"/>
    <n v="2"/>
    <n v="0"/>
    <n v="26"/>
    <n v="4"/>
    <n v="3"/>
    <n v="2"/>
    <n v="4008"/>
    <n v="1841"/>
    <n v="2167"/>
    <n v="1.504"/>
    <n v="2794"/>
    <n v="58"/>
    <n v="1.1479999999999999"/>
    <n v="0.45900000000000002"/>
    <n v="1.6412999999999999E-4"/>
    <n v="0.99983999999999995"/>
    <s v="14.567230168840537"/>
    <s v="32.574397147867806"/>
    <s v="55.77929272808166"/>
    <s v="13.96105724726764"/>
    <n v="713445183"/>
    <x v="0"/>
    <n v="4.2881382999999999E-4"/>
    <x v="0"/>
  </r>
  <r>
    <n v="33"/>
    <n v="1"/>
    <n v="4"/>
    <n v="0"/>
    <n v="2"/>
    <n v="1"/>
    <n v="3"/>
    <n v="20"/>
    <n v="2"/>
    <n v="1"/>
    <n v="3"/>
    <n v="15977"/>
    <n v="0"/>
    <n v="15977"/>
    <n v="0.70199999999999996"/>
    <n v="7745"/>
    <n v="64"/>
    <n v="0.68400000000000005"/>
    <n v="0"/>
    <n v="0.98841999999999997"/>
    <n v="1.158E-2"/>
    <s v="3.8040645242938993"/>
    <s v="21.406370100020737"/>
    <s v="129.31843920062397"/>
    <s v="6.674327717298899"/>
    <n v="714945708"/>
    <x v="1"/>
    <n v="0.99520869999999995"/>
    <x v="1"/>
  </r>
  <r>
    <n v="40"/>
    <n v="0"/>
    <n v="2"/>
    <n v="5"/>
    <n v="3"/>
    <n v="1"/>
    <n v="3"/>
    <n v="28"/>
    <n v="5"/>
    <n v="3"/>
    <n v="4"/>
    <n v="16903"/>
    <n v="1507"/>
    <n v="15396"/>
    <n v="0.97"/>
    <n v="3819"/>
    <n v="61"/>
    <n v="0.52500000000000002"/>
    <n v="8.8999999999999996E-2"/>
    <n v="4.794E-4"/>
    <n v="0.99951999999999996"/>
    <s v="4.584955163033415"/>
    <s v="39.17245952924193"/>
    <s v="67.41812989354274"/>
    <s v="1.0096677475496607"/>
    <n v="717655458"/>
    <x v="0"/>
    <n v="3.7656392999999998E-4"/>
    <x v="0"/>
  </r>
  <r>
    <n v="52"/>
    <n v="0"/>
    <n v="3"/>
    <n v="2"/>
    <n v="1"/>
    <n v="1"/>
    <n v="0"/>
    <n v="47"/>
    <n v="3"/>
    <n v="2"/>
    <n v="0"/>
    <n v="2741"/>
    <n v="1639"/>
    <n v="1102"/>
    <n v="0.64400000000000002"/>
    <n v="5077"/>
    <n v="87"/>
    <n v="0.74"/>
    <n v="0.59799999999999998"/>
    <s v="4.3568e-05"/>
    <n v="0.99995999999999996"/>
    <s v="23.972406257875846"/>
    <n v="9.9259753726194404"/>
    <s v="2.8875596707538733"/>
    <s v="33.43561790621665"/>
    <n v="811912608"/>
    <x v="0"/>
    <n v="3.2101269999999999E-4"/>
    <x v="0"/>
  </r>
  <r>
    <n v="42"/>
    <n v="0"/>
    <n v="4"/>
    <n v="3"/>
    <n v="1"/>
    <n v="4"/>
    <n v="0"/>
    <n v="31"/>
    <n v="5"/>
    <n v="1"/>
    <n v="2"/>
    <n v="1640"/>
    <n v="888"/>
    <n v="752"/>
    <n v="0.71499999999999997"/>
    <n v="4074"/>
    <n v="73"/>
    <n v="0.872"/>
    <n v="0.54100000000000004"/>
    <s v="5.6153e-05"/>
    <n v="0.99994000000000005"/>
    <s v="41.35433879865708"/>
    <s v="0.2900496832593746"/>
    <s v="109.62701898426914"/>
    <s v="1.1474337348545944"/>
    <n v="710866758"/>
    <x v="0"/>
    <n v="4.2162873000000002E-4"/>
    <x v="0"/>
  </r>
  <r>
    <n v="39"/>
    <n v="1"/>
    <n v="2"/>
    <n v="3"/>
    <n v="2"/>
    <n v="0"/>
    <n v="0"/>
    <n v="22"/>
    <n v="5"/>
    <n v="2"/>
    <n v="2"/>
    <n v="26124"/>
    <n v="0"/>
    <n v="26124"/>
    <n v="0.73499999999999999"/>
    <n v="4199"/>
    <n v="92"/>
    <n v="0.58599999999999997"/>
    <n v="0"/>
    <n v="1.1065000000000001E-4"/>
    <n v="0.99988999999999995"/>
    <s v="21.330760802442573"/>
    <s v="2.619626293804426"/>
    <s v="23.47633756034285"/>
    <s v="1.9995694820272956"/>
    <n v="779647608"/>
    <x v="0"/>
    <n v="7.387203E-4"/>
    <x v="0"/>
  </r>
  <r>
    <n v="35"/>
    <n v="0"/>
    <n v="1"/>
    <n v="2"/>
    <n v="2"/>
    <n v="4"/>
    <n v="0"/>
    <n v="30"/>
    <n v="2"/>
    <n v="2"/>
    <n v="2"/>
    <n v="1649"/>
    <n v="0"/>
    <n v="1649"/>
    <n v="0.68300000000000005"/>
    <n v="2549"/>
    <n v="54"/>
    <n v="0.58799999999999997"/>
    <n v="0"/>
    <n v="0.99073"/>
    <n v="9.2700000000000005E-3"/>
    <s v="11.355574903923586"/>
    <s v="12.298253208732344"/>
    <s v="56.13472193768421"/>
    <n v="7.7687318559418497"/>
    <n v="712664658"/>
    <x v="1"/>
    <n v="0.99749089999999996"/>
    <x v="1"/>
  </r>
  <r>
    <n v="53"/>
    <n v="0"/>
    <n v="2"/>
    <n v="5"/>
    <n v="2"/>
    <n v="1"/>
    <n v="0"/>
    <n v="47"/>
    <n v="1"/>
    <n v="2"/>
    <n v="3"/>
    <n v="1699"/>
    <n v="0"/>
    <n v="1699"/>
    <n v="0.60199999999999998"/>
    <n v="2520"/>
    <n v="49"/>
    <n v="0.53100000000000003"/>
    <n v="0"/>
    <n v="0.99495"/>
    <n v="5.0499999999999998E-3"/>
    <s v="21.480336173886315"/>
    <s v="38.214765006789314"/>
    <s v="10.436991344175416"/>
    <s v="2.174430118887943"/>
    <n v="770024733"/>
    <x v="1"/>
    <n v="0.99850684000000001"/>
    <x v="1"/>
  </r>
  <r>
    <n v="36"/>
    <n v="0"/>
    <n v="2"/>
    <n v="5"/>
    <n v="1"/>
    <n v="4"/>
    <n v="0"/>
    <n v="36"/>
    <n v="4"/>
    <n v="2"/>
    <n v="2"/>
    <n v="4066"/>
    <n v="1639"/>
    <n v="2427"/>
    <n v="1.7490000000000001"/>
    <n v="3040"/>
    <n v="56"/>
    <n v="0.93100000000000005"/>
    <n v="0.40300000000000002"/>
    <n v="1.1703E-4"/>
    <n v="0.99987999999999999"/>
    <s v="23.291754306787364"/>
    <s v="46.86388476819909"/>
    <s v="23.375518281338596"/>
    <s v="4.050445456358232"/>
    <n v="710624658"/>
    <x v="0"/>
    <n v="4.2605856999999999E-4"/>
    <x v="0"/>
  </r>
  <r>
    <n v="39"/>
    <n v="1"/>
    <n v="2"/>
    <n v="5"/>
    <n v="2"/>
    <n v="1"/>
    <n v="0"/>
    <n v="32"/>
    <n v="6"/>
    <n v="3"/>
    <n v="2"/>
    <n v="7723"/>
    <n v="1902"/>
    <n v="5821"/>
    <n v="1.181"/>
    <n v="1241"/>
    <n v="22"/>
    <n v="1"/>
    <n v="0.246"/>
    <n v="1.8494E-4"/>
    <n v="0.99982000000000004"/>
    <s v="39.34346532608191"/>
    <s v="9.798907762608644"/>
    <s v="54.27575373302106"/>
    <s v="3.8206793032682738"/>
    <n v="718325883"/>
    <x v="0"/>
    <n v="9.8706899999999992E-4"/>
    <x v="0"/>
  </r>
  <r>
    <n v="40"/>
    <n v="0"/>
    <n v="2"/>
    <n v="2"/>
    <n v="2"/>
    <n v="4"/>
    <n v="0"/>
    <n v="30"/>
    <n v="5"/>
    <n v="3"/>
    <n v="6"/>
    <n v="4458"/>
    <n v="0"/>
    <n v="4458"/>
    <n v="0.93500000000000005"/>
    <n v="9640"/>
    <n v="70"/>
    <n v="0.70699999999999996"/>
    <n v="0"/>
    <n v="0.99936000000000003"/>
    <n v="6.3727E-4"/>
    <s v="2.891595340850856"/>
    <s v="36.687735354551535"/>
    <s v="136.50203590398647"/>
    <s v="1.912593125670368"/>
    <n v="709566408"/>
    <x v="1"/>
    <n v="0.99277084999999998"/>
    <x v="1"/>
  </r>
  <r>
    <n v="40"/>
    <n v="0"/>
    <n v="3"/>
    <n v="0"/>
    <n v="2"/>
    <n v="1"/>
    <n v="3"/>
    <n v="28"/>
    <n v="2"/>
    <n v="1"/>
    <n v="2"/>
    <n v="22361"/>
    <n v="1873"/>
    <n v="20488"/>
    <n v="0.70099999999999996"/>
    <n v="7586"/>
    <n v="94"/>
    <n v="0.56699999999999995"/>
    <n v="8.4000000000000005E-2"/>
    <s v="5.0206e-05"/>
    <n v="0.99995000000000001"/>
    <s v="16.73754285354482"/>
    <s v="64.20076057565464"/>
    <s v="57.954114664156926"/>
    <s v="3.876997361572645"/>
    <n v="709556208"/>
    <x v="0"/>
    <n v="3.8873720999999998E-4"/>
    <x v="0"/>
  </r>
  <r>
    <n v="58"/>
    <n v="0"/>
    <n v="1"/>
    <n v="6"/>
    <n v="2"/>
    <n v="5"/>
    <n v="0"/>
    <n v="50"/>
    <n v="5"/>
    <n v="2"/>
    <n v="2"/>
    <n v="8513"/>
    <n v="799"/>
    <n v="7714"/>
    <n v="0.45100000000000001"/>
    <n v="2119"/>
    <n v="37"/>
    <n v="0.54200000000000004"/>
    <n v="9.4E-2"/>
    <n v="0.99156"/>
    <n v="8.4399999999999996E-3"/>
    <s v="26.739836959672896"/>
    <s v="38.12353265866005"/>
    <s v="69.48769578526738"/>
    <s v="20.76015280505033"/>
    <n v="708376983"/>
    <x v="1"/>
    <n v="0.99722230000000001"/>
    <x v="1"/>
  </r>
  <r>
    <n v="50"/>
    <n v="1"/>
    <n v="2"/>
    <n v="6"/>
    <n v="3"/>
    <n v="0"/>
    <n v="0"/>
    <n v="32"/>
    <n v="2"/>
    <n v="3"/>
    <n v="1"/>
    <n v="25645"/>
    <n v="1083"/>
    <n v="24562"/>
    <n v="0.75700000000000001"/>
    <n v="4302"/>
    <n v="63"/>
    <n v="0.5"/>
    <n v="4.2000000000000003E-2"/>
    <n v="1.1924E-4"/>
    <n v="0.99987999999999999"/>
    <s v="0.1106196048713773"/>
    <s v="38.55786808978139"/>
    <n v="2.9977026290820898"/>
    <s v="1.052467696847469"/>
    <n v="712228458"/>
    <x v="0"/>
    <n v="4.3122784999999997E-4"/>
    <x v="0"/>
  </r>
  <r>
    <n v="49"/>
    <n v="1"/>
    <n v="2"/>
    <n v="2"/>
    <n v="1"/>
    <n v="3"/>
    <n v="0"/>
    <n v="39"/>
    <n v="3"/>
    <n v="2"/>
    <n v="2"/>
    <n v="11332"/>
    <n v="946"/>
    <n v="10386"/>
    <n v="0.85699999999999998"/>
    <n v="3806"/>
    <n v="65"/>
    <n v="0.66700000000000004"/>
    <n v="8.3000000000000004E-2"/>
    <n v="1.1382E-4"/>
    <n v="0.99988999999999995"/>
    <s v="2.1637703360209897"/>
    <n v="56.720270602518099"/>
    <s v="84.37049091209171"/>
    <s v="10.676580995517016"/>
    <n v="711426033"/>
    <x v="0"/>
    <n v="4.2745395E-4"/>
    <x v="0"/>
  </r>
  <r>
    <n v="35"/>
    <n v="1"/>
    <n v="3"/>
    <n v="2"/>
    <n v="2"/>
    <n v="1"/>
    <n v="0"/>
    <n v="30"/>
    <n v="3"/>
    <n v="1"/>
    <n v="3"/>
    <n v="8969"/>
    <n v="1226"/>
    <n v="7743"/>
    <n v="0.84"/>
    <n v="2568"/>
    <n v="59"/>
    <n v="0.73499999999999999"/>
    <n v="0.13700000000000001"/>
    <s v="9.6126e-05"/>
    <n v="0.99990000000000001"/>
    <s v="5.727217702231139"/>
    <s v="10.440744105994634"/>
    <s v="46.57155850541361"/>
    <s v="4.6693636288240965"/>
    <n v="813964383"/>
    <x v="0"/>
    <n v="4.733537E-4"/>
    <x v="0"/>
  </r>
  <r>
    <n v="39"/>
    <n v="1"/>
    <n v="3"/>
    <n v="1"/>
    <n v="1"/>
    <n v="2"/>
    <n v="0"/>
    <n v="29"/>
    <n v="3"/>
    <n v="1"/>
    <n v="3"/>
    <n v="3537"/>
    <n v="2517"/>
    <n v="1020"/>
    <n v="1.0209999999999999"/>
    <n v="1605"/>
    <n v="43"/>
    <n v="0.34399999999999997"/>
    <n v="0.71199999999999997"/>
    <n v="1.3909999999999999E-4"/>
    <n v="0.99985999999999997"/>
    <s v="12.070840341778624"/>
    <s v="10.76164082526288"/>
    <s v="0.6838859011276693"/>
    <s v="4.964292520801145"/>
    <n v="715041333"/>
    <x v="0"/>
    <n v="1.2669897000000001E-3"/>
    <x v="0"/>
  </r>
  <r>
    <n v="64"/>
    <n v="0"/>
    <n v="0"/>
    <n v="3"/>
    <n v="1"/>
    <n v="1"/>
    <n v="0"/>
    <n v="53"/>
    <n v="1"/>
    <n v="3"/>
    <n v="3"/>
    <n v="3353"/>
    <n v="0"/>
    <n v="3353"/>
    <n v="1.0209999999999999"/>
    <n v="960"/>
    <n v="18"/>
    <n v="0.38500000000000001"/>
    <n v="0"/>
    <n v="0.99604999999999999"/>
    <n v="3.9458200000000001E-3"/>
    <s v="40.37720889250962"/>
    <s v="7.205150157588596"/>
    <s v="78.14867406079742"/>
    <s v="7.435729622161158"/>
    <n v="771809733"/>
    <x v="1"/>
    <n v="0.99877890000000003"/>
    <x v="1"/>
  </r>
  <r>
    <n v="56"/>
    <n v="1"/>
    <n v="2"/>
    <n v="2"/>
    <n v="1"/>
    <n v="3"/>
    <n v="0"/>
    <n v="36"/>
    <n v="4"/>
    <n v="2"/>
    <n v="3"/>
    <n v="23510"/>
    <n v="1049"/>
    <n v="22461"/>
    <n v="0.438"/>
    <n v="1661"/>
    <n v="35"/>
    <n v="0.29599999999999999"/>
    <n v="4.4999999999999998E-2"/>
    <n v="1.9143E-4"/>
    <n v="0.99980999999999998"/>
    <n v="9.8246727343176197"/>
    <s v="6.158540247691546"/>
    <s v="21.858422007874903"/>
    <s v="25.721624309207662"/>
    <n v="708112008"/>
    <x v="0"/>
    <n v="1.3335287000000001E-3"/>
    <x v="0"/>
  </r>
  <r>
    <n v="44"/>
    <n v="1"/>
    <n v="4"/>
    <n v="2"/>
    <n v="1"/>
    <n v="2"/>
    <n v="0"/>
    <n v="24"/>
    <n v="2"/>
    <n v="2"/>
    <n v="2"/>
    <n v="4752"/>
    <n v="0"/>
    <n v="4752"/>
    <n v="0.67900000000000005"/>
    <n v="7517"/>
    <n v="76"/>
    <n v="0.61699999999999999"/>
    <n v="0"/>
    <n v="1.1937E-4"/>
    <n v="0.99987999999999999"/>
    <s v="37.38278373514306"/>
    <s v="2.370494204395025"/>
    <s v="106.88930998624754"/>
    <s v="1.703042487200554"/>
    <n v="778742358"/>
    <x v="0"/>
    <n v="1.2396318E-3"/>
    <x v="0"/>
  </r>
  <r>
    <n v="32"/>
    <n v="1"/>
    <n v="0"/>
    <n v="3"/>
    <n v="1"/>
    <n v="1"/>
    <n v="0"/>
    <n v="24"/>
    <n v="5"/>
    <n v="2"/>
    <n v="0"/>
    <n v="3735"/>
    <n v="1176"/>
    <n v="2559"/>
    <n v="1.1839999999999999"/>
    <n v="1564"/>
    <n v="41"/>
    <n v="0.70799999999999996"/>
    <n v="0.315"/>
    <s v="3.5025e-05"/>
    <n v="0.99995999999999996"/>
    <n v="47.064443221630299"/>
    <s v="32.41358027054869"/>
    <s v="34.91819422245654"/>
    <n v="19.531910650885099"/>
    <n v="721397808"/>
    <x v="0"/>
    <n v="1.0337284E-3"/>
    <x v="0"/>
  </r>
  <r>
    <n v="39"/>
    <n v="1"/>
    <n v="1"/>
    <n v="0"/>
    <n v="0"/>
    <n v="3"/>
    <n v="0"/>
    <n v="28"/>
    <n v="1"/>
    <n v="3"/>
    <n v="4"/>
    <n v="12464"/>
    <n v="0"/>
    <n v="12464"/>
    <n v="0.86399999999999999"/>
    <n v="1195"/>
    <n v="35"/>
    <n v="0.52200000000000002"/>
    <n v="0"/>
    <n v="0.99787999999999999"/>
    <n v="2.1180700000000001E-3"/>
    <s v="41.10019230390546"/>
    <s v="21.24953905471301"/>
    <s v="8.436951088903205"/>
    <n v="9.6824794831558894"/>
    <n v="719818983"/>
    <x v="1"/>
    <n v="0.99830662999999997"/>
    <x v="1"/>
  </r>
  <r>
    <n v="44"/>
    <n v="0"/>
    <n v="2"/>
    <n v="2"/>
    <n v="1"/>
    <n v="4"/>
    <n v="0"/>
    <n v="30"/>
    <n v="3"/>
    <n v="2"/>
    <n v="3"/>
    <n v="9598"/>
    <n v="1092"/>
    <n v="8506"/>
    <n v="0.6"/>
    <n v="2216"/>
    <n v="54"/>
    <n v="0.58799999999999997"/>
    <n v="0.114"/>
    <n v="1.9143E-4"/>
    <n v="0.99980999999999998"/>
    <s v="5.904251141326862"/>
    <s v="33.43153343254682"/>
    <s v="1.2739054741446465"/>
    <s v="0.2999294797105632"/>
    <n v="710592933"/>
    <x v="0"/>
    <n v="6.9192685999999997E-4"/>
    <x v="0"/>
  </r>
  <r>
    <n v="38"/>
    <n v="0"/>
    <n v="0"/>
    <n v="6"/>
    <n v="1"/>
    <n v="4"/>
    <n v="0"/>
    <n v="36"/>
    <n v="4"/>
    <n v="2"/>
    <n v="3"/>
    <n v="1841"/>
    <n v="1246"/>
    <n v="595"/>
    <n v="0.75900000000000001"/>
    <n v="1819"/>
    <n v="35"/>
    <n v="0.52200000000000002"/>
    <n v="0.67700000000000005"/>
    <n v="1.8056999999999999E-4"/>
    <n v="0.99982000000000004"/>
    <s v="8.727040297993392"/>
    <s v="14.30261507854199"/>
    <s v="56.15203137412283"/>
    <s v="1.3201606308554472"/>
    <n v="709035708"/>
    <x v="0"/>
    <n v="1.1544054E-3"/>
    <x v="0"/>
  </r>
  <r>
    <n v="48"/>
    <n v="0"/>
    <n v="3"/>
    <n v="2"/>
    <n v="1"/>
    <n v="1"/>
    <n v="0"/>
    <n v="31"/>
    <n v="6"/>
    <n v="3"/>
    <n v="4"/>
    <n v="14899"/>
    <n v="0"/>
    <n v="14899"/>
    <n v="0.38100000000000001"/>
    <n v="1519"/>
    <n v="26"/>
    <n v="0.36799999999999999"/>
    <n v="0"/>
    <n v="0.99814000000000003"/>
    <n v="1.8631699999999999E-3"/>
    <s v="62.18003332718026"/>
    <s v="20.70841154153637"/>
    <s v="73.20842640783951"/>
    <s v="12.848689992451297"/>
    <n v="779681433"/>
    <x v="1"/>
    <n v="0.99815830000000005"/>
    <x v="1"/>
  </r>
  <r>
    <n v="58"/>
    <n v="1"/>
    <n v="3"/>
    <n v="2"/>
    <n v="1"/>
    <n v="3"/>
    <n v="0"/>
    <n v="54"/>
    <n v="4"/>
    <n v="3"/>
    <n v="3"/>
    <n v="18713"/>
    <n v="1022"/>
    <n v="17691"/>
    <n v="0.68200000000000005"/>
    <n v="1524"/>
    <n v="42"/>
    <n v="0.61499999999999999"/>
    <n v="5.5E-2"/>
    <n v="3.1389999999999999E-4"/>
    <n v="0.99968999999999997"/>
    <s v="48.72791555728377"/>
    <s v="25.17503279594727"/>
    <s v="57.77031586049918"/>
    <s v="19.35676927746974"/>
    <n v="824157858"/>
    <x v="0"/>
    <n v="1.1795807E-3"/>
    <x v="0"/>
  </r>
  <r>
    <n v="45"/>
    <n v="0"/>
    <n v="2"/>
    <n v="5"/>
    <n v="1"/>
    <n v="4"/>
    <n v="0"/>
    <n v="27"/>
    <n v="1"/>
    <n v="2"/>
    <n v="2"/>
    <n v="2490"/>
    <n v="1059"/>
    <n v="1431"/>
    <n v="0.71499999999999997"/>
    <n v="12257"/>
    <n v="101"/>
    <n v="0.77200000000000002"/>
    <n v="0.42499999999999999"/>
    <n v="1.1703E-4"/>
    <n v="0.99987999999999999"/>
    <s v="33.27364240631892"/>
    <s v="64.15158732766271"/>
    <s v="77.18766067314904"/>
    <s v="2.0599775688050883"/>
    <n v="708396033"/>
    <x v="0"/>
    <n v="3.6856539999999998E-4"/>
    <x v="0"/>
  </r>
  <r>
    <n v="52"/>
    <n v="0"/>
    <n v="2"/>
    <n v="3"/>
    <n v="2"/>
    <n v="1"/>
    <n v="0"/>
    <n v="36"/>
    <n v="1"/>
    <n v="2"/>
    <n v="2"/>
    <n v="2540"/>
    <n v="1093"/>
    <n v="1447"/>
    <n v="0.78300000000000003"/>
    <n v="9339"/>
    <n v="99"/>
    <n v="0.73699999999999999"/>
    <n v="0.43"/>
    <n v="1.1065000000000001E-4"/>
    <n v="0.99988999999999995"/>
    <n v="4.0875394884524203"/>
    <s v="33.87821871410519"/>
    <s v="19.77949792252581"/>
    <s v="5.355287560189456"/>
    <n v="710924658"/>
    <x v="0"/>
    <n v="3.6856539999999998E-4"/>
    <x v="0"/>
  </r>
  <r>
    <n v="56"/>
    <n v="0"/>
    <n v="1"/>
    <n v="2"/>
    <n v="2"/>
    <n v="4"/>
    <n v="0"/>
    <n v="47"/>
    <n v="5"/>
    <n v="2"/>
    <n v="3"/>
    <n v="2086"/>
    <n v="1792"/>
    <n v="294"/>
    <n v="0.85899999999999999"/>
    <n v="5774"/>
    <n v="84"/>
    <n v="0.90900000000000003"/>
    <n v="0.85899999999999999"/>
    <n v="1.7969000000000001E-4"/>
    <n v="0.99982000000000004"/>
    <s v="16.743215206197547"/>
    <s v="17.470244925359193"/>
    <s v="42.89581607610173"/>
    <s v="5.189095333589905"/>
    <n v="716298633"/>
    <x v="0"/>
    <n v="3.6856539999999998E-4"/>
    <x v="0"/>
  </r>
  <r>
    <n v="42"/>
    <n v="0"/>
    <n v="2"/>
    <n v="2"/>
    <n v="1"/>
    <n v="1"/>
    <n v="3"/>
    <n v="36"/>
    <n v="6"/>
    <n v="2"/>
    <n v="1"/>
    <n v="16290"/>
    <n v="0"/>
    <n v="16290"/>
    <n v="0.75800000000000001"/>
    <n v="4232"/>
    <n v="79"/>
    <n v="0.79500000000000004"/>
    <n v="0"/>
    <s v="6.2021e-05"/>
    <n v="0.99994000000000005"/>
    <s v="27.020071143701493"/>
    <n v="22.556784349742902"/>
    <s v="54.94359276315117"/>
    <s v="25.53599088405565"/>
    <n v="797389758"/>
    <x v="0"/>
    <n v="6.9517245999999998E-4"/>
    <x v="0"/>
  </r>
  <r>
    <n v="50"/>
    <n v="1"/>
    <n v="4"/>
    <n v="2"/>
    <n v="1"/>
    <n v="3"/>
    <n v="0"/>
    <n v="38"/>
    <n v="5"/>
    <n v="1"/>
    <n v="3"/>
    <n v="4601"/>
    <n v="2517"/>
    <n v="2084"/>
    <n v="0.77500000000000002"/>
    <n v="5056"/>
    <n v="80"/>
    <n v="0.77800000000000002"/>
    <n v="0.54700000000000004"/>
    <s v="9.7154e-05"/>
    <n v="0.99990000000000001"/>
    <s v="29.360484145502078"/>
    <s v="90.83383617578052"/>
    <s v="70.09348161629639"/>
    <s v="22.246771057253124"/>
    <n v="771332283"/>
    <x v="0"/>
    <n v="3.4692350000000002E-4"/>
    <x v="0"/>
  </r>
  <r>
    <n v="53"/>
    <n v="1"/>
    <n v="1"/>
    <n v="2"/>
    <n v="1"/>
    <n v="3"/>
    <n v="0"/>
    <n v="38"/>
    <n v="6"/>
    <n v="3"/>
    <n v="2"/>
    <n v="22140"/>
    <n v="733"/>
    <n v="21407"/>
    <n v="0.98699999999999999"/>
    <n v="1580"/>
    <n v="45"/>
    <n v="0.66700000000000004"/>
    <n v="3.3000000000000002E-2"/>
    <n v="1.6882999999999999E-4"/>
    <n v="0.99983"/>
    <s v="16.145521251148615"/>
    <s v="6.962628425039816"/>
    <s v="43.89008280736102"/>
    <s v="34.272767805546195"/>
    <n v="721301733"/>
    <x v="0"/>
    <n v="2.0156816999999999E-3"/>
    <x v="0"/>
  </r>
  <r>
    <n v="48"/>
    <n v="0"/>
    <n v="4"/>
    <n v="5"/>
    <n v="1"/>
    <n v="4"/>
    <n v="0"/>
    <n v="38"/>
    <n v="3"/>
    <n v="2"/>
    <n v="3"/>
    <n v="2732"/>
    <n v="0"/>
    <n v="2732"/>
    <n v="0.76"/>
    <n v="739"/>
    <n v="16"/>
    <n v="0.45500000000000002"/>
    <n v="0"/>
    <n v="0.99517999999999995"/>
    <n v="4.8199899999999997E-3"/>
    <s v="14.768502943969422"/>
    <s v="30.89303175407193"/>
    <s v="107.40524492906536"/>
    <s v="5.384014330478458"/>
    <n v="712950783"/>
    <x v="1"/>
    <n v="0.99870884000000004"/>
    <x v="1"/>
  </r>
  <r>
    <n v="51"/>
    <n v="0"/>
    <n v="0"/>
    <n v="3"/>
    <n v="1"/>
    <n v="4"/>
    <n v="0"/>
    <n v="35"/>
    <n v="5"/>
    <n v="3"/>
    <n v="4"/>
    <n v="3132"/>
    <n v="1815"/>
    <n v="1317"/>
    <n v="1.018"/>
    <n v="3607"/>
    <n v="60"/>
    <n v="0.93500000000000005"/>
    <n v="0.57999999999999996"/>
    <n v="4.3049000000000001E-4"/>
    <n v="0.99956999999999996"/>
    <s v="31.662187211244152"/>
    <s v="15.32604989604447"/>
    <s v="47.12113700023819"/>
    <s v="2.4246193476936355"/>
    <n v="779873508"/>
    <x v="0"/>
    <n v="3.5501685000000001E-4"/>
    <x v="0"/>
  </r>
  <r>
    <n v="51"/>
    <n v="0"/>
    <n v="3"/>
    <n v="0"/>
    <n v="1"/>
    <n v="5"/>
    <n v="0"/>
    <n v="36"/>
    <n v="3"/>
    <n v="2"/>
    <n v="3"/>
    <n v="12605"/>
    <n v="1449"/>
    <n v="11156"/>
    <n v="0.70299999999999996"/>
    <n v="1870"/>
    <n v="56"/>
    <n v="0.64700000000000002"/>
    <n v="0.115"/>
    <n v="1.9312999999999999E-4"/>
    <n v="0.99980999999999998"/>
    <s v="54.87567901760861"/>
    <s v="21.663065897863504"/>
    <s v="16.99783748055008"/>
    <s v="22.65439326983692"/>
    <n v="711676908"/>
    <x v="0"/>
    <n v="5.0073309999999998E-4"/>
    <x v="0"/>
  </r>
  <r>
    <n v="52"/>
    <n v="1"/>
    <n v="2"/>
    <n v="3"/>
    <n v="2"/>
    <n v="1"/>
    <n v="0"/>
    <n v="45"/>
    <n v="3"/>
    <n v="1"/>
    <n v="2"/>
    <n v="13532"/>
    <n v="1300"/>
    <n v="12232"/>
    <n v="0.84599999999999997"/>
    <n v="1521"/>
    <n v="29"/>
    <n v="1.417"/>
    <n v="9.6000000000000002E-2"/>
    <s v="5.3542e-05"/>
    <n v="0.99995000000000001"/>
    <n v="9.8127746141001602"/>
    <s v="41.11879462161528"/>
    <s v="2.381854366329523"/>
    <s v="15.54732471017833"/>
    <n v="718039683"/>
    <x v="0"/>
    <n v="1.0249399E-3"/>
    <x v="0"/>
  </r>
  <r>
    <n v="42"/>
    <n v="1"/>
    <n v="3"/>
    <n v="3"/>
    <n v="3"/>
    <n v="1"/>
    <n v="0"/>
    <n v="37"/>
    <n v="6"/>
    <n v="2"/>
    <n v="4"/>
    <n v="2793"/>
    <n v="1661"/>
    <n v="1132"/>
    <n v="1.117"/>
    <n v="3247"/>
    <n v="69"/>
    <n v="0.86499999999999999"/>
    <n v="0.59499999999999997"/>
    <n v="3.2941999999999997E-4"/>
    <n v="0.99966999999999995"/>
    <s v="29.29470913723653"/>
    <s v="61.03760402180361"/>
    <n v="40.314225604807902"/>
    <s v="11.50868408818253"/>
    <n v="812973708"/>
    <x v="0"/>
    <n v="3.221314E-4"/>
    <x v="0"/>
  </r>
  <r>
    <n v="33"/>
    <n v="0"/>
    <n v="3"/>
    <n v="0"/>
    <n v="2"/>
    <n v="1"/>
    <n v="0"/>
    <n v="26"/>
    <n v="6"/>
    <n v="3"/>
    <n v="5"/>
    <n v="6316"/>
    <n v="1344"/>
    <n v="4972"/>
    <n v="0.82299999999999995"/>
    <n v="2401"/>
    <n v="71"/>
    <n v="0.73199999999999998"/>
    <n v="0.21299999999999999"/>
    <n v="9.0050999999999998E-4"/>
    <n v="0.99909999999999999"/>
    <s v="26.914128267060324"/>
    <s v="1.224028468503051"/>
    <s v="43.130713548052725"/>
    <s v="0.1793040884244724"/>
    <n v="766322883"/>
    <x v="0"/>
    <n v="3.0539004000000002E-2"/>
    <x v="0"/>
  </r>
  <r>
    <n v="35"/>
    <n v="1"/>
    <n v="3"/>
    <n v="4"/>
    <n v="2"/>
    <n v="3"/>
    <n v="3"/>
    <n v="29"/>
    <n v="5"/>
    <n v="3"/>
    <n v="2"/>
    <n v="34516"/>
    <n v="1872"/>
    <n v="32644"/>
    <n v="1.0680000000000001"/>
    <n v="2227"/>
    <n v="61"/>
    <n v="1.103"/>
    <n v="5.3999999999999999E-2"/>
    <n v="1.9844E-4"/>
    <n v="0.99980000000000002"/>
    <s v="13.536862195647874"/>
    <s v="32.56538510513764"/>
    <s v="1.4688350895374704"/>
    <s v="7.9154024866730595"/>
    <n v="796990908"/>
    <x v="0"/>
    <n v="4.5859565999999997E-4"/>
    <x v="0"/>
  </r>
  <r>
    <n v="41"/>
    <n v="0"/>
    <n v="4"/>
    <n v="2"/>
    <n v="1"/>
    <n v="5"/>
    <n v="0"/>
    <n v="30"/>
    <n v="3"/>
    <n v="1"/>
    <n v="2"/>
    <n v="5417"/>
    <n v="1904"/>
    <n v="3513"/>
    <n v="0.496"/>
    <n v="1768"/>
    <n v="56"/>
    <n v="0.55600000000000005"/>
    <n v="0.35099999999999998"/>
    <s v="5.7762e-05"/>
    <n v="0.99994000000000005"/>
    <s v="41.22264060852367"/>
    <s v="43.01147353587858"/>
    <s v="72.04541522653204"/>
    <s v="18.728955428578285"/>
    <n v="713438358"/>
    <x v="0"/>
    <n v="5.0073309999999998E-4"/>
    <x v="0"/>
  </r>
  <r>
    <n v="39"/>
    <n v="1"/>
    <n v="2"/>
    <n v="2"/>
    <n v="1"/>
    <n v="2"/>
    <n v="0"/>
    <n v="23"/>
    <n v="5"/>
    <n v="2"/>
    <n v="1"/>
    <n v="4761"/>
    <n v="1561"/>
    <n v="3200"/>
    <n v="0.69"/>
    <n v="2045"/>
    <n v="53"/>
    <n v="1.65"/>
    <n v="0.32800000000000001"/>
    <s v="6.864e-05"/>
    <n v="0.99992999999999999"/>
    <s v="14.01764504265987"/>
    <n v="59.011723152423798"/>
    <s v="12.864229065717494"/>
    <s v="17.51539521025222"/>
    <n v="712817808"/>
    <x v="0"/>
    <n v="7.6539800000000003E-4"/>
    <x v="0"/>
  </r>
  <r>
    <n v="35"/>
    <n v="0"/>
    <n v="0"/>
    <n v="6"/>
    <n v="1"/>
    <n v="4"/>
    <n v="0"/>
    <n v="22"/>
    <n v="2"/>
    <n v="2"/>
    <n v="3"/>
    <n v="3009"/>
    <n v="2517"/>
    <n v="492"/>
    <n v="0.73499999999999999"/>
    <n v="5329"/>
    <n v="82"/>
    <n v="0.745"/>
    <n v="0.83599999999999997"/>
    <n v="1.8056999999999999E-4"/>
    <n v="0.99982000000000004"/>
    <s v="7.029442909514576"/>
    <s v="3.243799475694293"/>
    <s v="104.47580455900246"/>
    <s v="8.852165467151455"/>
    <n v="787466808"/>
    <x v="0"/>
    <n v="3.7608930000000002E-4"/>
    <x v="0"/>
  </r>
  <r>
    <n v="42"/>
    <n v="0"/>
    <n v="1"/>
    <n v="6"/>
    <n v="1"/>
    <n v="4"/>
    <n v="0"/>
    <n v="37"/>
    <n v="3"/>
    <n v="3"/>
    <n v="0"/>
    <n v="1438.3"/>
    <n v="0"/>
    <n v="1438.3"/>
    <n v="0.72"/>
    <n v="4154"/>
    <n v="78"/>
    <n v="0.81399999999999995"/>
    <n v="0"/>
    <s v="6.846e-05"/>
    <n v="0.99992999999999999"/>
    <s v="13.024930712804988"/>
    <s v="39.92135698445967"/>
    <s v="97.63295174454484"/>
    <s v="15.582252613309748"/>
    <n v="809846283"/>
    <x v="0"/>
    <n v="6.9517245999999998E-4"/>
    <x v="0"/>
  </r>
  <r>
    <n v="50"/>
    <n v="0"/>
    <n v="1"/>
    <n v="6"/>
    <n v="2"/>
    <n v="5"/>
    <n v="0"/>
    <n v="39"/>
    <n v="6"/>
    <n v="3"/>
    <n v="3"/>
    <n v="9248"/>
    <n v="0"/>
    <n v="9248"/>
    <n v="0.61299999999999999"/>
    <n v="2325"/>
    <n v="45"/>
    <n v="0.55200000000000005"/>
    <n v="0"/>
    <n v="0.99680999999999997"/>
    <n v="3.1927800000000001E-3"/>
    <s v="25.055056669471405"/>
    <s v="32.383793514998054"/>
    <s v="31.73654822828321"/>
    <s v="18.17707322249993"/>
    <n v="709714008"/>
    <x v="1"/>
    <n v="0.99873226999999998"/>
    <x v="1"/>
  </r>
  <r>
    <n v="52"/>
    <n v="1"/>
    <n v="2"/>
    <n v="3"/>
    <n v="1"/>
    <n v="0"/>
    <n v="0"/>
    <n v="36"/>
    <n v="5"/>
    <n v="1"/>
    <n v="2"/>
    <n v="2981"/>
    <n v="1358"/>
    <n v="1623"/>
    <n v="1.242"/>
    <n v="1648"/>
    <n v="30"/>
    <n v="1.5"/>
    <n v="0.45600000000000002"/>
    <s v="5.3542e-05"/>
    <n v="0.99995000000000001"/>
    <s v="18.82140994784567"/>
    <s v="18.498633671878245"/>
    <s v="37.01046742428324"/>
    <s v="5.665224624243938"/>
    <n v="779713608"/>
    <x v="0"/>
    <n v="9.8706899999999992E-4"/>
    <x v="0"/>
  </r>
  <r>
    <n v="51"/>
    <n v="1"/>
    <n v="1"/>
    <n v="3"/>
    <n v="1"/>
    <n v="0"/>
    <n v="0"/>
    <n v="43"/>
    <n v="2"/>
    <n v="3"/>
    <n v="2"/>
    <n v="30172"/>
    <n v="1825"/>
    <n v="28347"/>
    <n v="0.8"/>
    <n v="8879"/>
    <n v="101"/>
    <n v="0.57799999999999996"/>
    <n v="0.06"/>
    <n v="1.6412999999999999E-4"/>
    <n v="0.99983999999999995"/>
    <s v="49.49684454853392"/>
    <s v="105.99978899721631"/>
    <s v="48.44106068577482"/>
    <s v="0.4757244224412704"/>
    <n v="718528833"/>
    <x v="0"/>
    <n v="4.2060707000000003E-4"/>
    <x v="0"/>
  </r>
  <r>
    <n v="48"/>
    <n v="0"/>
    <n v="2"/>
    <n v="1"/>
    <n v="1"/>
    <n v="1"/>
    <n v="0"/>
    <n v="36"/>
    <n v="1"/>
    <n v="2"/>
    <n v="2"/>
    <n v="9074"/>
    <n v="1648"/>
    <n v="7426"/>
    <n v="0.72699999999999998"/>
    <n v="14084"/>
    <n v="110"/>
    <n v="0.80300000000000005"/>
    <n v="0.182"/>
    <n v="1.6470999999999999E-4"/>
    <n v="0.99983999999999995"/>
    <s v="11.013693543554934"/>
    <s v="32.98375272569725"/>
    <s v="118.7039047151044"/>
    <s v="11.96333104943118"/>
    <n v="709210833"/>
    <x v="0"/>
    <n v="3.4656386999999997E-4"/>
    <x v="0"/>
  </r>
  <r>
    <n v="40"/>
    <n v="1"/>
    <n v="3"/>
    <n v="5"/>
    <n v="1"/>
    <n v="3"/>
    <n v="0"/>
    <n v="29"/>
    <n v="3"/>
    <n v="2"/>
    <n v="3"/>
    <n v="3616"/>
    <n v="1151"/>
    <n v="2465"/>
    <n v="0.68700000000000006"/>
    <n v="820"/>
    <n v="21"/>
    <n v="0.75"/>
    <n v="0.318"/>
    <n v="0.99512999999999996"/>
    <n v="4.8712599999999997E-3"/>
    <s v="5.311644359624285"/>
    <s v="19.223275552780663"/>
    <n v="65.877282545697497"/>
    <s v="20.440454460573644"/>
    <n v="787515333"/>
    <x v="1"/>
    <n v="0.99443490000000001"/>
    <x v="1"/>
  </r>
  <r>
    <n v="52"/>
    <n v="1"/>
    <n v="3"/>
    <n v="2"/>
    <n v="2"/>
    <n v="2"/>
    <n v="0"/>
    <n v="36"/>
    <n v="4"/>
    <n v="2"/>
    <n v="2"/>
    <n v="9137"/>
    <n v="1729"/>
    <n v="7408"/>
    <n v="0.97399999999999998"/>
    <n v="4626"/>
    <n v="77"/>
    <n v="0.75"/>
    <n v="0.189"/>
    <n v="1.1811000000000001E-4"/>
    <n v="0.99987999999999999"/>
    <s v="10.092393212117605"/>
    <s v="23.064125119938183"/>
    <s v="49.06431040460985"/>
    <s v="5.541475815119766"/>
    <n v="719745558"/>
    <x v="0"/>
    <n v="3.3750932000000002E-4"/>
    <x v="0"/>
  </r>
  <r>
    <n v="45"/>
    <n v="0"/>
    <n v="1"/>
    <n v="6"/>
    <n v="1"/>
    <n v="4"/>
    <n v="0"/>
    <n v="36"/>
    <n v="1"/>
    <n v="2"/>
    <n v="1"/>
    <n v="5087"/>
    <n v="2517"/>
    <n v="2570"/>
    <n v="0.76500000000000001"/>
    <n v="4682"/>
    <n v="77"/>
    <n v="0.71099999999999997"/>
    <n v="0.495"/>
    <s v="7.0819e-05"/>
    <n v="0.99992999999999999"/>
    <s v="28.61316459473091"/>
    <s v="32.391853174707855"/>
    <s v="21.05424564219133"/>
    <s v="10.40381528028204"/>
    <n v="716116383"/>
    <x v="0"/>
    <n v="3.4692350000000002E-4"/>
    <x v="0"/>
  </r>
  <r>
    <n v="43"/>
    <n v="1"/>
    <n v="3"/>
    <n v="3"/>
    <n v="2"/>
    <n v="2"/>
    <n v="0"/>
    <n v="30"/>
    <n v="6"/>
    <n v="2"/>
    <n v="4"/>
    <n v="11550"/>
    <n v="1505"/>
    <n v="10045"/>
    <n v="1.034"/>
    <n v="3891"/>
    <n v="76"/>
    <n v="0.9"/>
    <n v="0.13"/>
    <n v="3.2941999999999997E-4"/>
    <n v="0.99966999999999995"/>
    <s v="37.82844867893535"/>
    <s v="17.496466298203536"/>
    <s v="135.2126018081377"/>
    <n v="3.6602832712395199"/>
    <n v="710986758"/>
    <x v="0"/>
    <n v="3.3750932000000002E-4"/>
    <x v="0"/>
  </r>
  <r>
    <n v="55"/>
    <n v="0"/>
    <n v="2"/>
    <n v="4"/>
    <n v="1"/>
    <n v="4"/>
    <n v="0"/>
    <n v="45"/>
    <n v="3"/>
    <n v="3"/>
    <n v="3"/>
    <n v="2163"/>
    <n v="0"/>
    <n v="2163"/>
    <n v="0.81599999999999995"/>
    <n v="1349"/>
    <n v="47"/>
    <n v="0.88"/>
    <n v="0"/>
    <n v="3.5594000000000001E-4"/>
    <n v="0.99963999999999997"/>
    <n v="35.537612403034302"/>
    <s v="54.67061475336087"/>
    <s v="29.20212405626408"/>
    <s v="6.9708505316242535"/>
    <n v="718093233"/>
    <x v="0"/>
    <n v="3.5265972999999999E-3"/>
    <x v="0"/>
  </r>
  <r>
    <n v="38"/>
    <n v="1"/>
    <n v="0"/>
    <n v="3"/>
    <n v="2"/>
    <n v="3"/>
    <n v="0"/>
    <n v="29"/>
    <n v="3"/>
    <n v="3"/>
    <n v="2"/>
    <n v="5983"/>
    <n v="1885"/>
    <n v="4098"/>
    <n v="0.60099999999999998"/>
    <n v="4141"/>
    <n v="65"/>
    <n v="0.71099999999999997"/>
    <n v="0.315"/>
    <n v="1.5004999999999999E-4"/>
    <n v="0.99985000000000002"/>
    <s v="4.246156734357111"/>
    <s v="1.5806370152975917"/>
    <s v="2.211022795719642"/>
    <s v="6.995556172393167"/>
    <n v="716671983"/>
    <x v="0"/>
    <n v="3.2890364000000001E-4"/>
    <x v="0"/>
  </r>
  <r>
    <n v="30"/>
    <n v="1"/>
    <n v="1"/>
    <n v="0"/>
    <n v="2"/>
    <n v="5"/>
    <n v="0"/>
    <n v="13"/>
    <n v="3"/>
    <n v="3"/>
    <n v="3"/>
    <n v="21590"/>
    <n v="2517"/>
    <n v="19073"/>
    <n v="0.81299999999999994"/>
    <n v="2567"/>
    <n v="70"/>
    <n v="0.79500000000000004"/>
    <n v="0.11700000000000001"/>
    <n v="2.7607E-4"/>
    <n v="0.99972000000000005"/>
    <s v="2.014777429611489"/>
    <s v="28.023485243784236"/>
    <s v="20.04200091721988"/>
    <s v="18.655702455705523"/>
    <n v="719293533"/>
    <x v="0"/>
    <n v="4.2634949999999997E-4"/>
    <x v="0"/>
  </r>
  <r>
    <n v="55"/>
    <n v="1"/>
    <n v="1"/>
    <n v="3"/>
    <n v="2"/>
    <n v="3"/>
    <n v="0"/>
    <n v="42"/>
    <n v="1"/>
    <n v="4"/>
    <n v="2"/>
    <n v="34516"/>
    <n v="1583"/>
    <n v="32933"/>
    <n v="0.82399999999999995"/>
    <n v="12192"/>
    <n v="112"/>
    <n v="0.67200000000000004"/>
    <n v="4.5999999999999999E-2"/>
    <n v="1.9835E-4"/>
    <n v="0.99980000000000002"/>
    <s v="0.4913865502036924"/>
    <n v="4.3777285645536601"/>
    <s v="74.94628539294695"/>
    <s v="2.710293025368096"/>
    <n v="788980983"/>
    <x v="0"/>
    <n v="4.1022256E-4"/>
    <x v="0"/>
  </r>
  <r>
    <n v="47"/>
    <n v="1"/>
    <n v="5"/>
    <n v="6"/>
    <n v="2"/>
    <n v="3"/>
    <n v="0"/>
    <n v="39"/>
    <n v="6"/>
    <n v="2"/>
    <n v="3"/>
    <n v="13241"/>
    <n v="0"/>
    <n v="13241"/>
    <n v="1.002"/>
    <n v="3157"/>
    <n v="76"/>
    <n v="0.55100000000000005"/>
    <n v="0"/>
    <n v="2.1724E-4"/>
    <n v="0.99978"/>
    <s v="40.16490766840046"/>
    <s v="20.71522254327451"/>
    <s v="62.38792362611567"/>
    <s v="16.080002121948773"/>
    <n v="715720083"/>
    <x v="0"/>
    <n v="7.7666439999999996E-4"/>
    <x v="0"/>
  </r>
  <r>
    <n v="43"/>
    <n v="0"/>
    <n v="2"/>
    <n v="6"/>
    <n v="1"/>
    <n v="4"/>
    <n v="0"/>
    <n v="37"/>
    <n v="5"/>
    <n v="2"/>
    <n v="3"/>
    <n v="4188"/>
    <n v="0"/>
    <n v="4188"/>
    <n v="0.56499999999999995"/>
    <n v="3492"/>
    <n v="69"/>
    <n v="0.68300000000000005"/>
    <n v="0"/>
    <n v="2.1042000000000001E-4"/>
    <n v="0.99978999999999996"/>
    <s v="20.50193864322697"/>
    <s v="43.074600744688254"/>
    <s v="39.29503904280872"/>
    <s v="15.210695247363777"/>
    <n v="769448658"/>
    <x v="0"/>
    <n v="7.4965424999999997E-4"/>
    <x v="0"/>
  </r>
  <r>
    <n v="46"/>
    <n v="0"/>
    <n v="3"/>
    <n v="6"/>
    <n v="2"/>
    <n v="1"/>
    <n v="0"/>
    <n v="39"/>
    <n v="4"/>
    <n v="3"/>
    <n v="3"/>
    <n v="9110"/>
    <n v="2517"/>
    <n v="6593"/>
    <n v="1.052"/>
    <n v="5290"/>
    <n v="69"/>
    <n v="0.81599999999999995"/>
    <n v="0.27600000000000002"/>
    <n v="0.99711000000000005"/>
    <n v="2.8889200000000001E-3"/>
    <s v="15.535064410578563"/>
    <s v="60.68812727243223"/>
    <s v="110.93373863467772"/>
    <s v="13.560863050046674"/>
    <n v="742865883"/>
    <x v="1"/>
    <n v="0.98652136000000001"/>
    <x v="1"/>
  </r>
  <r>
    <n v="40"/>
    <n v="0"/>
    <n v="3"/>
    <n v="5"/>
    <n v="1"/>
    <n v="4"/>
    <n v="0"/>
    <n v="35"/>
    <n v="5"/>
    <n v="2"/>
    <n v="4"/>
    <n v="3140"/>
    <n v="2183"/>
    <n v="957"/>
    <n v="0.57999999999999996"/>
    <n v="5109"/>
    <n v="78"/>
    <n v="0.73299999999999998"/>
    <n v="0.69499999999999995"/>
    <n v="3.4841000000000001E-4"/>
    <n v="0.99965000000000004"/>
    <s v="11.792206393480676"/>
    <n v="95.451936596815003"/>
    <n v="63.629771671583903"/>
    <s v="3.541754354541621"/>
    <n v="815860008"/>
    <x v="0"/>
    <n v="3.2101269999999999E-4"/>
    <x v="0"/>
  </r>
  <r>
    <n v="38"/>
    <n v="0"/>
    <n v="5"/>
    <n v="2"/>
    <n v="1"/>
    <n v="4"/>
    <n v="0"/>
    <n v="31"/>
    <n v="2"/>
    <n v="5"/>
    <n v="2"/>
    <n v="2153"/>
    <n v="1392"/>
    <n v="761"/>
    <n v="0.78700000000000003"/>
    <n v="4268"/>
    <n v="85"/>
    <n v="0.66700000000000004"/>
    <n v="0.64700000000000002"/>
    <n v="2.0740999999999999E-4"/>
    <n v="0.99978999999999996"/>
    <s v="3.4228424614187625"/>
    <s v="22.91080731386393"/>
    <s v="83.06735468890366"/>
    <n v="6.00683126156102"/>
    <n v="714671658"/>
    <x v="0"/>
    <n v="3.2101269999999999E-4"/>
    <x v="0"/>
  </r>
  <r>
    <n v="46"/>
    <n v="0"/>
    <n v="3"/>
    <n v="2"/>
    <n v="1"/>
    <n v="5"/>
    <n v="0"/>
    <n v="40"/>
    <n v="1"/>
    <n v="1"/>
    <n v="1"/>
    <n v="3044"/>
    <n v="1973"/>
    <n v="1071"/>
    <n v="0.94599999999999995"/>
    <n v="4747"/>
    <n v="73"/>
    <n v="1.028"/>
    <n v="0.64800000000000002"/>
    <s v="3.4465e-05"/>
    <n v="0.99997000000000003"/>
    <s v="32.08644346248759"/>
    <s v="4.312524712632646"/>
    <s v="89.25608168569299"/>
    <s v="10.085609715508122"/>
    <n v="794160408"/>
    <x v="0"/>
    <n v="3.221314E-4"/>
    <x v="0"/>
  </r>
  <r>
    <n v="50"/>
    <n v="1"/>
    <n v="2"/>
    <n v="2"/>
    <n v="1"/>
    <n v="3"/>
    <n v="0"/>
    <n v="31"/>
    <n v="3"/>
    <n v="3"/>
    <n v="3"/>
    <n v="12906"/>
    <n v="321"/>
    <n v="12585"/>
    <n v="0.76"/>
    <n v="2078"/>
    <n v="62"/>
    <n v="0.55000000000000004"/>
    <n v="2.5000000000000001E-2"/>
    <n v="0.99670999999999998"/>
    <n v="3.29379E-3"/>
    <s v="8.933912059163843"/>
    <s v="24.067082368313248"/>
    <s v="130.7729121577684"/>
    <s v="6.239218201537445"/>
    <n v="778837083"/>
    <x v="1"/>
    <n v="0.99408890000000005"/>
    <x v="1"/>
  </r>
  <r>
    <n v="54"/>
    <n v="1"/>
    <n v="2"/>
    <n v="4"/>
    <n v="1"/>
    <n v="2"/>
    <n v="2"/>
    <n v="42"/>
    <n v="1"/>
    <n v="3"/>
    <n v="1"/>
    <n v="34516"/>
    <n v="1996"/>
    <n v="32520"/>
    <n v="0.98799999999999999"/>
    <n v="15033"/>
    <n v="114"/>
    <n v="0.81"/>
    <n v="5.8000000000000003E-2"/>
    <n v="2.2173000000000001E-4"/>
    <n v="0.99978"/>
    <s v="21.03112270218719"/>
    <s v="76.62679088179662"/>
    <n v="59.731085251755403"/>
    <s v="5.557762367972476"/>
    <n v="771626283"/>
    <x v="0"/>
    <n v="4.0555582000000002E-4"/>
    <x v="0"/>
  </r>
  <r>
    <n v="43"/>
    <n v="0"/>
    <n v="4"/>
    <n v="2"/>
    <n v="0"/>
    <n v="5"/>
    <n v="0"/>
    <n v="36"/>
    <n v="5"/>
    <n v="2"/>
    <n v="2"/>
    <n v="11536"/>
    <n v="2074"/>
    <n v="9462"/>
    <n v="0.54900000000000004"/>
    <n v="4106"/>
    <n v="81"/>
    <n v="0.72299999999999998"/>
    <n v="0.18"/>
    <n v="1.1937E-4"/>
    <n v="0.99987999999999999"/>
    <s v="27.48347305177617"/>
    <s v="14.704184701934135"/>
    <s v="74.19647196963301"/>
    <s v="8.561188145376388"/>
    <n v="752766783"/>
    <x v="0"/>
    <n v="3.2101269999999999E-4"/>
    <x v="0"/>
  </r>
  <r>
    <n v="39"/>
    <n v="0"/>
    <n v="3"/>
    <n v="2"/>
    <n v="2"/>
    <n v="4"/>
    <n v="0"/>
    <n v="36"/>
    <n v="4"/>
    <n v="3"/>
    <n v="4"/>
    <n v="2650"/>
    <n v="1646"/>
    <n v="1004"/>
    <n v="0.747"/>
    <n v="4512"/>
    <n v="80"/>
    <n v="0.50900000000000001"/>
    <n v="0.621"/>
    <n v="5.3543000000000004E-4"/>
    <n v="0.99946000000000002"/>
    <s v="21.27569606880788"/>
    <s v="11.708688641453511"/>
    <s v="11.955131939118813"/>
    <s v="6.953385102665926"/>
    <n v="714621183"/>
    <x v="0"/>
    <n v="3.4439339999999999E-4"/>
    <x v="0"/>
  </r>
  <r>
    <n v="42"/>
    <n v="1"/>
    <n v="1"/>
    <n v="2"/>
    <n v="2"/>
    <n v="2"/>
    <n v="0"/>
    <n v="37"/>
    <n v="4"/>
    <n v="1"/>
    <n v="1"/>
    <n v="2596"/>
    <n v="1210"/>
    <n v="1386"/>
    <n v="0.54900000000000004"/>
    <n v="4642"/>
    <n v="78"/>
    <n v="0.69599999999999995"/>
    <n v="0.46600000000000003"/>
    <s v="3.1176e-05"/>
    <n v="0.99997000000000003"/>
    <n v="23.767463649361002"/>
    <s v="21.80788583457846"/>
    <s v="10.15998629556858"/>
    <n v="0.84402368777304604"/>
    <n v="814195758"/>
    <x v="0"/>
    <n v="3.2101269999999999E-4"/>
    <x v="0"/>
  </r>
  <r>
    <n v="40"/>
    <n v="0"/>
    <n v="3"/>
    <n v="3"/>
    <n v="0"/>
    <n v="4"/>
    <n v="0"/>
    <n v="35"/>
    <n v="3"/>
    <n v="1"/>
    <n v="3"/>
    <n v="2555"/>
    <n v="2117"/>
    <n v="438"/>
    <n v="1.0489999999999999"/>
    <n v="1334"/>
    <n v="32"/>
    <n v="0.6"/>
    <n v="0.82899999999999996"/>
    <s v="9.3448e-05"/>
    <n v="0.99990999999999997"/>
    <s v="26.70214700779564"/>
    <s v="43.84535386904069"/>
    <n v="54.572575614622103"/>
    <s v="5.697281780134705"/>
    <n v="811898133"/>
    <x v="0"/>
    <n v="1.0903810999999999E-3"/>
    <x v="0"/>
  </r>
  <r>
    <n v="52"/>
    <n v="0"/>
    <n v="3"/>
    <n v="6"/>
    <n v="2"/>
    <n v="1"/>
    <n v="0"/>
    <n v="45"/>
    <n v="5"/>
    <n v="3"/>
    <n v="1"/>
    <n v="6053"/>
    <n v="577"/>
    <n v="5476"/>
    <n v="0.85"/>
    <n v="5035"/>
    <n v="64"/>
    <n v="1.37"/>
    <n v="9.5000000000000001E-2"/>
    <n v="1.2373000000000001E-4"/>
    <n v="0.99987999999999999"/>
    <s v="35.49896852239533"/>
    <s v="24.045887982915893"/>
    <s v="35.13699594689524"/>
    <s v="3.115453757447993"/>
    <n v="721393083"/>
    <x v="0"/>
    <n v="7.1213034E-4"/>
    <x v="0"/>
  </r>
  <r>
    <n v="54"/>
    <n v="0"/>
    <n v="2"/>
    <n v="2"/>
    <n v="1"/>
    <n v="5"/>
    <n v="0"/>
    <n v="44"/>
    <n v="2"/>
    <n v="3"/>
    <n v="3"/>
    <n v="3781"/>
    <n v="1692"/>
    <n v="2089"/>
    <n v="0.79100000000000004"/>
    <n v="2310"/>
    <n v="43"/>
    <n v="0.72"/>
    <n v="0.44800000000000001"/>
    <n v="0.99670999999999998"/>
    <n v="3.29379E-3"/>
    <s v="43.14316076064499"/>
    <s v="19.796088992819943"/>
    <s v="102.66392708736706"/>
    <n v="0.30524576123097202"/>
    <n v="720810783"/>
    <x v="1"/>
    <n v="0.99575599999999997"/>
    <x v="1"/>
  </r>
  <r>
    <n v="42"/>
    <n v="0"/>
    <n v="2"/>
    <n v="6"/>
    <n v="2"/>
    <n v="4"/>
    <n v="0"/>
    <n v="36"/>
    <n v="6"/>
    <n v="1"/>
    <n v="4"/>
    <n v="2677"/>
    <n v="2517"/>
    <n v="160"/>
    <n v="0.60899999999999999"/>
    <n v="3911"/>
    <n v="76"/>
    <n v="0.81"/>
    <n v="0.94"/>
    <n v="1.7370999999999999E-4"/>
    <n v="0.99983"/>
    <s v="13.346871840810234"/>
    <s v="25.756070581054395"/>
    <s v="35.77083109264147"/>
    <s v="1.2249930989281566"/>
    <n v="712242633"/>
    <x v="0"/>
    <n v="3.4692350000000002E-4"/>
    <x v="0"/>
  </r>
  <r>
    <n v="73"/>
    <n v="1"/>
    <n v="0"/>
    <n v="3"/>
    <n v="1"/>
    <n v="1"/>
    <n v="0"/>
    <n v="36"/>
    <n v="5"/>
    <n v="3"/>
    <n v="2"/>
    <n v="4469"/>
    <n v="1125"/>
    <n v="3344"/>
    <n v="1.363"/>
    <n v="1765"/>
    <n v="34"/>
    <n v="1.615"/>
    <n v="0.252"/>
    <n v="1.5004999999999999E-4"/>
    <n v="0.99985000000000002"/>
    <s v="10.377246494787734"/>
    <s v="16.132186197345767"/>
    <n v="43.433104522351201"/>
    <s v="8.147431601688272"/>
    <n v="715952883"/>
    <x v="0"/>
    <n v="9.8706899999999992E-4"/>
    <x v="0"/>
  </r>
  <r>
    <n v="36"/>
    <n v="0"/>
    <n v="4"/>
    <n v="6"/>
    <n v="0"/>
    <n v="5"/>
    <n v="0"/>
    <n v="16"/>
    <n v="6"/>
    <n v="3"/>
    <n v="3"/>
    <n v="8513"/>
    <n v="0"/>
    <n v="8513"/>
    <n v="0.63100000000000001"/>
    <n v="4162"/>
    <n v="70"/>
    <n v="1"/>
    <n v="0"/>
    <n v="3.4872000000000001E-4"/>
    <n v="0.99965000000000004"/>
    <s v="6.624817500865448"/>
    <s v="39.41496798969119"/>
    <n v="40.094916881648103"/>
    <s v="5.994389802845839"/>
    <n v="709769283"/>
    <x v="0"/>
    <n v="7.4965424999999997E-4"/>
    <x v="0"/>
  </r>
  <r>
    <n v="52"/>
    <n v="0"/>
    <n v="4"/>
    <n v="5"/>
    <n v="2"/>
    <n v="4"/>
    <n v="0"/>
    <n v="36"/>
    <n v="5"/>
    <n v="1"/>
    <n v="4"/>
    <n v="2936"/>
    <n v="2181"/>
    <n v="755"/>
    <n v="0.47799999999999998"/>
    <n v="4650"/>
    <n v="78"/>
    <n v="0.625"/>
    <n v="0.74299999999999999"/>
    <n v="1.7042000000000001E-4"/>
    <n v="0.99983"/>
    <s v="11.446379510853912"/>
    <s v="20.59380731474979"/>
    <s v="31.245487653516125"/>
    <s v="3.104578767568553"/>
    <n v="709718058"/>
    <x v="0"/>
    <n v="3.2914013999999999E-4"/>
    <x v="0"/>
  </r>
  <r>
    <n v="50"/>
    <n v="0"/>
    <n v="2"/>
    <n v="2"/>
    <n v="2"/>
    <n v="5"/>
    <n v="0"/>
    <n v="36"/>
    <n v="6"/>
    <n v="2"/>
    <n v="4"/>
    <n v="2611"/>
    <n v="1824"/>
    <n v="787"/>
    <n v="0.71099999999999997"/>
    <n v="4232"/>
    <n v="80"/>
    <n v="0.63300000000000001"/>
    <n v="0.69899999999999995"/>
    <n v="3.2655999999999999E-4"/>
    <n v="0.99966999999999995"/>
    <s v="4.604012264426418"/>
    <s v="36.71688059803253"/>
    <s v="54.12990672355664"/>
    <s v="0.8624889234908584"/>
    <n v="716256483"/>
    <x v="0"/>
    <n v="3.2914013999999999E-4"/>
    <x v="0"/>
  </r>
  <r>
    <n v="47"/>
    <n v="0"/>
    <n v="3"/>
    <n v="6"/>
    <n v="2"/>
    <n v="4"/>
    <n v="0"/>
    <n v="34"/>
    <n v="6"/>
    <n v="3"/>
    <n v="0"/>
    <n v="4862"/>
    <n v="0"/>
    <n v="4862"/>
    <n v="0.69499999999999995"/>
    <n v="4167"/>
    <n v="86"/>
    <n v="0.59299999999999997"/>
    <n v="0"/>
    <s v="7.5683e-05"/>
    <n v="0.99992000000000003"/>
    <s v="30.64494664214758"/>
    <s v="6.153353192771763"/>
    <s v="79.24347892319022"/>
    <s v="9.933343048576468"/>
    <n v="715555833"/>
    <x v="0"/>
    <n v="7.387203E-4"/>
    <x v="0"/>
  </r>
  <r>
    <n v="47"/>
    <n v="0"/>
    <n v="4"/>
    <n v="5"/>
    <n v="2"/>
    <n v="1"/>
    <n v="0"/>
    <n v="36"/>
    <n v="1"/>
    <n v="1"/>
    <n v="0"/>
    <n v="1438.3"/>
    <n v="0"/>
    <n v="1438.3"/>
    <n v="0.61"/>
    <n v="5216"/>
    <n v="78"/>
    <n v="0.66"/>
    <n v="0"/>
    <s v="2.1907e-05"/>
    <n v="0.99997999999999998"/>
    <s v="38.79617639078589"/>
    <s v="66.68836212128681"/>
    <s v="4.6852525782791545"/>
    <s v="3.4191839122060617"/>
    <n v="779401233"/>
    <x v="0"/>
    <n v="6.9517245999999998E-4"/>
    <x v="0"/>
  </r>
  <r>
    <n v="38"/>
    <n v="0"/>
    <n v="2"/>
    <n v="2"/>
    <n v="2"/>
    <n v="5"/>
    <n v="0"/>
    <n v="27"/>
    <n v="4"/>
    <n v="2"/>
    <n v="3"/>
    <n v="13429"/>
    <n v="1246"/>
    <n v="12183"/>
    <n v="1.0549999999999999"/>
    <n v="3929"/>
    <n v="66"/>
    <n v="0.73699999999999999"/>
    <n v="9.2999999999999999E-2"/>
    <n v="1.9143E-4"/>
    <n v="0.99980999999999998"/>
    <s v="46.59419317811451"/>
    <s v="11.60342661858462"/>
    <s v="101.0749795139479"/>
    <s v="6.070500743691439"/>
    <n v="772095858"/>
    <x v="0"/>
    <n v="3.4719318999999998E-4"/>
    <x v="0"/>
  </r>
  <r>
    <n v="50"/>
    <n v="0"/>
    <n v="1"/>
    <n v="6"/>
    <n v="1"/>
    <n v="5"/>
    <n v="0"/>
    <n v="31"/>
    <n v="5"/>
    <n v="3"/>
    <n v="1"/>
    <n v="3668"/>
    <n v="0"/>
    <n v="3668"/>
    <n v="0.62"/>
    <n v="4430"/>
    <n v="76"/>
    <n v="0.61699999999999999"/>
    <n v="0"/>
    <n v="1.1192E-4"/>
    <n v="0.99988999999999995"/>
    <s v="44.96933950008137"/>
    <s v="19.430068582742365"/>
    <s v="112.03120280651412"/>
    <s v="5.233114562267862"/>
    <n v="778895883"/>
    <x v="0"/>
    <n v="7.1276520000000004E-4"/>
    <x v="0"/>
  </r>
  <r>
    <n v="51"/>
    <n v="0"/>
    <n v="4"/>
    <n v="6"/>
    <n v="1"/>
    <n v="4"/>
    <n v="0"/>
    <n v="32"/>
    <n v="2"/>
    <n v="2"/>
    <n v="3"/>
    <n v="2350"/>
    <n v="1272"/>
    <n v="1078"/>
    <n v="0.873"/>
    <n v="4647"/>
    <n v="86"/>
    <n v="0.91100000000000003"/>
    <n v="0.54100000000000004"/>
    <n v="2.2068000000000001E-4"/>
    <n v="0.99978"/>
    <s v="0.2352961969902859"/>
    <s v="23.420170023460383"/>
    <s v="30.327500325358645"/>
    <s v="15.41327889774018"/>
    <n v="713081583"/>
    <x v="0"/>
    <n v="3.2101269999999999E-4"/>
    <x v="0"/>
  </r>
  <r>
    <n v="39"/>
    <n v="0"/>
    <n v="3"/>
    <n v="5"/>
    <n v="0"/>
    <n v="5"/>
    <n v="0"/>
    <n v="29"/>
    <n v="5"/>
    <n v="1"/>
    <n v="2"/>
    <n v="26181"/>
    <n v="0"/>
    <n v="26181"/>
    <n v="0.91300000000000003"/>
    <n v="1303"/>
    <n v="35"/>
    <n v="0.75"/>
    <n v="0"/>
    <s v="5.8763e-05"/>
    <n v="0.99994000000000005"/>
    <s v="8.208369108207423"/>
    <s v="16.607462253444936"/>
    <s v="34.25869555078657"/>
    <s v="3.982094856110391"/>
    <n v="714717483"/>
    <x v="0"/>
    <n v="3.7707960999999999E-3"/>
    <x v="0"/>
  </r>
  <r>
    <n v="59"/>
    <n v="1"/>
    <n v="1"/>
    <n v="1"/>
    <n v="1"/>
    <n v="1"/>
    <n v="0"/>
    <n v="52"/>
    <n v="3"/>
    <n v="2"/>
    <n v="2"/>
    <n v="2548"/>
    <n v="2020"/>
    <n v="528"/>
    <n v="2.3570000000000002"/>
    <n v="1719"/>
    <n v="27"/>
    <n v="1.7"/>
    <n v="0.79300000000000004"/>
    <n v="1.5459999999999999E-4"/>
    <n v="0.99985000000000002"/>
    <s v="74.35144022331004"/>
    <n v="16.510788887446299"/>
    <s v="166.16061456630595"/>
    <s v="12.35485758622252"/>
    <n v="738406533"/>
    <x v="0"/>
    <n v="1.0249399E-3"/>
    <x v="0"/>
  </r>
  <r>
    <n v="51"/>
    <n v="0"/>
    <n v="1"/>
    <n v="2"/>
    <n v="2"/>
    <n v="5"/>
    <n v="0"/>
    <n v="41"/>
    <n v="3"/>
    <n v="2"/>
    <n v="2"/>
    <n v="9352"/>
    <n v="1429"/>
    <n v="7923"/>
    <n v="0.72799999999999998"/>
    <n v="3536"/>
    <n v="71"/>
    <n v="0.69"/>
    <n v="0.153"/>
    <n v="1.0684E-4"/>
    <n v="0.99988999999999995"/>
    <s v="10.74671494646832"/>
    <s v="1.6216051131045417"/>
    <s v="24.333495783284643"/>
    <n v="9.0984377412182091"/>
    <n v="719184783"/>
    <x v="0"/>
    <n v="3.2101269999999999E-4"/>
    <x v="0"/>
  </r>
  <r>
    <n v="38"/>
    <n v="1"/>
    <n v="1"/>
    <n v="2"/>
    <n v="1"/>
    <n v="2"/>
    <n v="0"/>
    <n v="31"/>
    <n v="6"/>
    <n v="3"/>
    <n v="3"/>
    <n v="2405"/>
    <n v="1553"/>
    <n v="852"/>
    <n v="1.1559999999999999"/>
    <n v="2503"/>
    <n v="40"/>
    <n v="0.66700000000000004"/>
    <n v="0.64600000000000002"/>
    <n v="2.8394999999999999E-4"/>
    <n v="0.99972000000000005"/>
    <s v="16.027698425125685"/>
    <s v="0.9181246968386896"/>
    <s v="60.65413904472211"/>
    <s v="10.750035495356718"/>
    <n v="737971833"/>
    <x v="0"/>
    <n v="1.0976592E-3"/>
    <x v="0"/>
  </r>
  <r>
    <n v="46"/>
    <n v="1"/>
    <n v="5"/>
    <n v="5"/>
    <n v="2"/>
    <n v="2"/>
    <n v="0"/>
    <n v="36"/>
    <n v="3"/>
    <n v="3"/>
    <n v="2"/>
    <n v="24512"/>
    <n v="766"/>
    <n v="23746"/>
    <n v="0.50900000000000001"/>
    <n v="4561"/>
    <n v="78"/>
    <n v="0.36799999999999999"/>
    <n v="3.1E-2"/>
    <n v="1.9094000000000001E-4"/>
    <n v="0.99980999999999998"/>
    <s v="22.703413818363146"/>
    <s v="8.804343207029195"/>
    <s v="13.168636107300646"/>
    <s v="2.2911856911590225"/>
    <n v="713944833"/>
    <x v="0"/>
    <n v="6.5150880000000003E-4"/>
    <x v="0"/>
  </r>
  <r>
    <n v="52"/>
    <n v="0"/>
    <n v="1"/>
    <n v="3"/>
    <n v="1"/>
    <n v="4"/>
    <n v="0"/>
    <n v="35"/>
    <n v="1"/>
    <n v="3"/>
    <n v="3"/>
    <n v="1959"/>
    <n v="1022"/>
    <n v="937"/>
    <n v="0.78"/>
    <n v="7847"/>
    <n v="65"/>
    <n v="0.85699999999999998"/>
    <n v="0.52200000000000002"/>
    <n v="2.7604000000000002E-4"/>
    <n v="0.99972000000000005"/>
    <s v="22.85060659850144"/>
    <s v="29.75603582445484"/>
    <s v="118.1790840892798"/>
    <s v="1.193940642500458"/>
    <n v="788811558"/>
    <x v="0"/>
    <n v="5.7218869999999997E-4"/>
    <x v="0"/>
  </r>
  <r>
    <n v="42"/>
    <n v="1"/>
    <n v="3"/>
    <n v="3"/>
    <n v="2"/>
    <n v="3"/>
    <n v="0"/>
    <n v="36"/>
    <n v="4"/>
    <n v="3"/>
    <n v="1"/>
    <n v="21134"/>
    <n v="1508"/>
    <n v="19626"/>
    <n v="0.505"/>
    <n v="1556"/>
    <n v="35"/>
    <n v="0.84199999999999997"/>
    <n v="7.0999999999999994E-2"/>
    <n v="1.0943E-4"/>
    <n v="0.99988999999999995"/>
    <s v="16.992109234180536"/>
    <s v="5.204214610276273"/>
    <n v="55.963044733166598"/>
    <s v="6.704697461224725"/>
    <n v="709117533"/>
    <x v="0"/>
    <n v="1.0985557E-3"/>
    <x v="0"/>
  </r>
  <r>
    <n v="45"/>
    <n v="1"/>
    <n v="3"/>
    <n v="4"/>
    <n v="1"/>
    <n v="3"/>
    <n v="0"/>
    <n v="35"/>
    <n v="3"/>
    <n v="3"/>
    <n v="2"/>
    <n v="20640"/>
    <n v="1603"/>
    <n v="19037"/>
    <n v="0.53200000000000003"/>
    <n v="1792"/>
    <n v="53"/>
    <n v="0.39500000000000002"/>
    <n v="7.8E-2"/>
    <n v="2.1961999999999999E-4"/>
    <n v="0.99978"/>
    <s v="24.67482420163657"/>
    <s v="11.432832371398208"/>
    <s v="48.12370731380435"/>
    <s v="18.78743100174852"/>
    <n v="714178458"/>
    <x v="0"/>
    <n v="8.6519790000000004E-4"/>
    <x v="0"/>
  </r>
  <r>
    <n v="43"/>
    <n v="1"/>
    <n v="2"/>
    <n v="0"/>
    <n v="2"/>
    <n v="0"/>
    <n v="0"/>
    <n v="37"/>
    <n v="6"/>
    <n v="3"/>
    <n v="1"/>
    <n v="14315"/>
    <n v="1348"/>
    <n v="12967"/>
    <n v="0.68100000000000005"/>
    <n v="3694"/>
    <n v="67"/>
    <n v="0.71799999999999997"/>
    <n v="9.4E-2"/>
    <n v="1.0546E-4"/>
    <n v="0.99988999999999995"/>
    <s v="24.42398515958627"/>
    <s v="19.13846050035352"/>
    <s v="54.608103410793234"/>
    <s v="7.601405375818426"/>
    <n v="794217108"/>
    <x v="0"/>
    <n v="3.3022385E-4"/>
    <x v="0"/>
  </r>
  <r>
    <n v="48"/>
    <n v="0"/>
    <n v="5"/>
    <n v="3"/>
    <n v="1"/>
    <n v="4"/>
    <n v="0"/>
    <n v="38"/>
    <n v="1"/>
    <n v="3"/>
    <n v="3"/>
    <n v="8025"/>
    <n v="0"/>
    <n v="8025"/>
    <n v="0.65400000000000003"/>
    <n v="673"/>
    <n v="18"/>
    <n v="0.8"/>
    <n v="0"/>
    <n v="0.99672000000000005"/>
    <n v="3.2818700000000001E-3"/>
    <s v="62.52146549964134"/>
    <s v="43.25000426189471"/>
    <s v="128.63199731638747"/>
    <s v="11.515968832350962"/>
    <n v="789322833"/>
    <x v="1"/>
    <n v="0.99846774000000005"/>
    <x v="1"/>
  </r>
  <r>
    <n v="41"/>
    <n v="1"/>
    <n v="3"/>
    <n v="2"/>
    <n v="1"/>
    <n v="0"/>
    <n v="0"/>
    <n v="36"/>
    <n v="2"/>
    <n v="3"/>
    <n v="2"/>
    <n v="6565"/>
    <n v="1130"/>
    <n v="5435"/>
    <n v="0.82299999999999995"/>
    <n v="7729"/>
    <n v="97"/>
    <n v="0.64400000000000002"/>
    <n v="0.17199999999999999"/>
    <n v="1.8665000000000001E-4"/>
    <n v="0.99980999999999998"/>
    <s v="100.10639640383953"/>
    <s v="47.28842647877983"/>
    <s v="30.88963751081749"/>
    <s v="11.435217483882145"/>
    <n v="818767458"/>
    <x v="0"/>
    <n v="3.7789578000000003E-4"/>
    <x v="0"/>
  </r>
  <r>
    <n v="54"/>
    <n v="0"/>
    <n v="1"/>
    <n v="3"/>
    <n v="1"/>
    <n v="4"/>
    <n v="3"/>
    <n v="44"/>
    <n v="2"/>
    <n v="2"/>
    <n v="3"/>
    <n v="11605"/>
    <n v="1470"/>
    <n v="10135"/>
    <n v="0.93"/>
    <n v="12592"/>
    <n v="117"/>
    <n v="0.8"/>
    <n v="0.127"/>
    <n v="1.5783999999999999E-4"/>
    <n v="0.99983999999999995"/>
    <s v="71.84460072089792"/>
    <s v="20.66949094454922"/>
    <s v="63.78525543095493"/>
    <s v="10.996656824088737"/>
    <n v="780551733"/>
    <x v="0"/>
    <n v="3.8750382000000001E-4"/>
    <x v="0"/>
  </r>
  <r>
    <n v="35"/>
    <n v="0"/>
    <n v="3"/>
    <n v="3"/>
    <n v="1"/>
    <n v="4"/>
    <n v="0"/>
    <n v="36"/>
    <n v="2"/>
    <n v="3"/>
    <n v="0"/>
    <n v="4790"/>
    <n v="1189"/>
    <n v="3601"/>
    <n v="0.69799999999999995"/>
    <n v="4544"/>
    <n v="81"/>
    <n v="0.92900000000000005"/>
    <n v="0.248"/>
    <s v="6.6935e-05"/>
    <n v="0.99992999999999999"/>
    <s v="28.67446820796852"/>
    <s v="55.87751333890577"/>
    <s v="35.916968176408766"/>
    <s v="1.966229250996078"/>
    <n v="717004533"/>
    <x v="0"/>
    <n v="3.2101269999999999E-4"/>
    <x v="0"/>
  </r>
  <r>
    <n v="43"/>
    <n v="1"/>
    <n v="3"/>
    <n v="3"/>
    <n v="1"/>
    <n v="3"/>
    <n v="0"/>
    <n v="23"/>
    <n v="5"/>
    <n v="6"/>
    <n v="1"/>
    <n v="12315"/>
    <n v="0"/>
    <n v="12315"/>
    <n v="0.89500000000000002"/>
    <n v="2028"/>
    <n v="51"/>
    <n v="0.54500000000000004"/>
    <n v="0"/>
    <s v="8.6381e-05"/>
    <n v="0.99990999999999997"/>
    <s v="5.251283385859229"/>
    <s v="46.62157460590584"/>
    <s v="56.07984485991366"/>
    <s v="0.6463872789903305"/>
    <n v="709918158"/>
    <x v="0"/>
    <n v="4.1681653999999999E-3"/>
    <x v="0"/>
  </r>
  <r>
    <n v="65"/>
    <n v="0"/>
    <n v="0"/>
    <n v="2"/>
    <n v="1"/>
    <n v="4"/>
    <n v="0"/>
    <n v="56"/>
    <n v="6"/>
    <n v="3"/>
    <n v="3"/>
    <n v="4460"/>
    <n v="1262"/>
    <n v="3198"/>
    <n v="0.89800000000000002"/>
    <n v="1877"/>
    <n v="41"/>
    <n v="0.78300000000000003"/>
    <n v="0.28299999999999997"/>
    <n v="2.5960000000000002E-4"/>
    <n v="0.99973999999999996"/>
    <s v="18.65503055134938"/>
    <s v="23.502757097094648"/>
    <s v="60.66478340928984"/>
    <s v="0.1100165942929241"/>
    <n v="802464033"/>
    <x v="0"/>
    <n v="1.0617396999999999E-3"/>
    <x v="0"/>
  </r>
  <r>
    <n v="41"/>
    <n v="1"/>
    <n v="4"/>
    <n v="4"/>
    <n v="1"/>
    <n v="3"/>
    <n v="0"/>
    <n v="36"/>
    <n v="1"/>
    <n v="2"/>
    <n v="2"/>
    <n v="21751"/>
    <n v="1573"/>
    <n v="20178"/>
    <n v="0.878"/>
    <n v="8332"/>
    <n v="102"/>
    <n v="0.56899999999999995"/>
    <n v="7.1999999999999995E-2"/>
    <n v="1.4045999999999999E-4"/>
    <n v="0.99985999999999997"/>
    <s v="33.60655897798215"/>
    <s v="8.191823442428706"/>
    <s v="105.3795908320793"/>
    <s v="16.00910580954247"/>
    <n v="719785683"/>
    <x v="0"/>
    <n v="4.2060707000000003E-4"/>
    <x v="0"/>
  </r>
  <r>
    <n v="43"/>
    <n v="1"/>
    <n v="3"/>
    <n v="3"/>
    <n v="1"/>
    <n v="2"/>
    <n v="0"/>
    <n v="36"/>
    <n v="3"/>
    <n v="3"/>
    <n v="1"/>
    <n v="9560"/>
    <n v="0"/>
    <n v="9560"/>
    <n v="0.80200000000000005"/>
    <n v="4601"/>
    <n v="66"/>
    <n v="0.57099999999999995"/>
    <n v="0"/>
    <n v="1.0943E-4"/>
    <n v="0.99988999999999995"/>
    <s v="5.494948503201178"/>
    <s v="19.21776495374159"/>
    <n v="67.295731878973797"/>
    <s v="17.432849772245763"/>
    <n v="767388783"/>
    <x v="0"/>
    <n v="7.9661230000000003E-4"/>
    <x v="0"/>
  </r>
  <r>
    <n v="53"/>
    <n v="0"/>
    <n v="3"/>
    <n v="5"/>
    <n v="1"/>
    <n v="4"/>
    <n v="0"/>
    <n v="42"/>
    <n v="3"/>
    <n v="2"/>
    <n v="4"/>
    <n v="2773"/>
    <n v="1507"/>
    <n v="1266"/>
    <n v="1.06"/>
    <n v="1197"/>
    <n v="25"/>
    <n v="1.083"/>
    <n v="0.54300000000000004"/>
    <n v="3.4841000000000001E-4"/>
    <n v="0.99965000000000004"/>
    <s v="24.365198956197435"/>
    <s v="23.596497391179923"/>
    <s v="12.389506921376194"/>
    <s v="4.864821267849373"/>
    <n v="720540708"/>
    <x v="0"/>
    <n v="1.0249399E-3"/>
    <x v="0"/>
  </r>
  <r>
    <n v="29"/>
    <n v="1"/>
    <n v="1"/>
    <n v="3"/>
    <n v="1"/>
    <n v="2"/>
    <n v="0"/>
    <n v="16"/>
    <n v="3"/>
    <n v="2"/>
    <n v="1"/>
    <n v="12495"/>
    <n v="2517"/>
    <n v="9978"/>
    <n v="0.82699999999999996"/>
    <n v="14524"/>
    <n v="106"/>
    <n v="0.68300000000000005"/>
    <n v="0.20100000000000001"/>
    <s v="6.2633e-05"/>
    <n v="0.99994000000000005"/>
    <s v="21.63806639195959"/>
    <s v="87.08610794862477"/>
    <s v="11.468290803478896"/>
    <n v="8.9329011497063409"/>
    <n v="720458883"/>
    <x v="0"/>
    <n v="3.7453471999999999E-4"/>
    <x v="0"/>
  </r>
  <r>
    <n v="59"/>
    <n v="0"/>
    <n v="2"/>
    <n v="5"/>
    <n v="0"/>
    <n v="4"/>
    <n v="0"/>
    <n v="36"/>
    <n v="3"/>
    <n v="3"/>
    <n v="3"/>
    <n v="1863"/>
    <n v="1853"/>
    <n v="10"/>
    <n v="0.82899999999999996"/>
    <n v="2462"/>
    <n v="40"/>
    <n v="0.28999999999999998"/>
    <n v="0.995"/>
    <n v="0.99680000000000002"/>
    <n v="3.2037400000000001E-3"/>
    <s v="17.26853947080632"/>
    <s v="31.55862920329491"/>
    <s v="126.26207225650076"/>
    <s v="11.07739924631721"/>
    <n v="715847058"/>
    <x v="1"/>
    <n v="0.99585044"/>
    <x v="1"/>
  </r>
  <r>
    <n v="41"/>
    <n v="1"/>
    <n v="2"/>
    <n v="2"/>
    <n v="2"/>
    <n v="2"/>
    <n v="0"/>
    <n v="30"/>
    <n v="3"/>
    <n v="1"/>
    <n v="2"/>
    <n v="2317"/>
    <n v="1232"/>
    <n v="1085"/>
    <n v="0.73299999999999998"/>
    <n v="3057"/>
    <n v="71"/>
    <n v="0.91900000000000004"/>
    <n v="0.53200000000000003"/>
    <s v="5.5077e-05"/>
    <n v="0.99994000000000005"/>
    <s v="15.625300058374194"/>
    <s v="30.37708024399124"/>
    <n v="51.8982646058287"/>
    <s v="1.309976039943521"/>
    <n v="711199908"/>
    <x v="0"/>
    <n v="3.4921730000000002E-4"/>
    <x v="0"/>
  </r>
  <r>
    <n v="50"/>
    <n v="0"/>
    <n v="2"/>
    <n v="3"/>
    <n v="1"/>
    <n v="5"/>
    <n v="0"/>
    <n v="41"/>
    <n v="3"/>
    <n v="1"/>
    <n v="1"/>
    <n v="8159"/>
    <n v="2277"/>
    <n v="5882"/>
    <n v="0.749"/>
    <n v="4402"/>
    <n v="64"/>
    <n v="0.68400000000000005"/>
    <n v="0.27900000000000003"/>
    <s v="3.2288e-05"/>
    <n v="0.99997000000000003"/>
    <s v="8.003222192679099"/>
    <s v="24.784206483150985"/>
    <s v="45.04127406070841"/>
    <s v="7.125311318534744"/>
    <n v="789925833"/>
    <x v="0"/>
    <n v="3.3750320000000002E-4"/>
    <x v="0"/>
  </r>
  <r>
    <n v="47"/>
    <n v="1"/>
    <n v="4"/>
    <n v="2"/>
    <n v="2"/>
    <n v="3"/>
    <n v="0"/>
    <n v="36"/>
    <n v="6"/>
    <n v="3"/>
    <n v="2"/>
    <n v="21637"/>
    <n v="2030"/>
    <n v="19607"/>
    <n v="0.77600000000000002"/>
    <n v="1222"/>
    <n v="23"/>
    <n v="0.438"/>
    <n v="9.4E-2"/>
    <n v="1.8864000000000001E-4"/>
    <n v="0.99980999999999998"/>
    <n v="9.3700663129724706"/>
    <s v="48.89395836073398"/>
    <s v="1.5182175599760253"/>
    <s v="4.137337795395383"/>
    <n v="714576183"/>
    <x v="0"/>
    <n v="1.2325711E-3"/>
    <x v="0"/>
  </r>
  <r>
    <n v="60"/>
    <n v="0"/>
    <n v="1"/>
    <n v="5"/>
    <n v="0"/>
    <n v="4"/>
    <n v="0"/>
    <n v="49"/>
    <n v="5"/>
    <n v="2"/>
    <n v="2"/>
    <n v="1443"/>
    <n v="0"/>
    <n v="1443"/>
    <n v="0.875"/>
    <n v="4673"/>
    <n v="59"/>
    <n v="0.73499999999999999"/>
    <n v="0"/>
    <n v="1.0985E-4"/>
    <n v="0.99988999999999995"/>
    <s v="18.49759651329698"/>
    <n v="66.828648444669597"/>
    <s v="112.57426849135678"/>
    <s v="16.776309340204953"/>
    <n v="717920583"/>
    <x v="0"/>
    <n v="9.7320019999999998E-4"/>
    <x v="0"/>
  </r>
  <r>
    <n v="44"/>
    <n v="0"/>
    <n v="3"/>
    <n v="5"/>
    <n v="2"/>
    <n v="4"/>
    <n v="0"/>
    <n v="35"/>
    <n v="5"/>
    <n v="2"/>
    <n v="2"/>
    <n v="1438.3"/>
    <n v="0"/>
    <n v="1438.3"/>
    <n v="0.97799999999999998"/>
    <n v="3966"/>
    <n v="57"/>
    <n v="0.78100000000000003"/>
    <n v="0"/>
    <n v="1.2144E-4"/>
    <n v="0.99987999999999999"/>
    <s v="0.8255727942653668"/>
    <s v="2.597993946777206"/>
    <s v="128.00958546519402"/>
    <s v="16.845667546298404"/>
    <n v="721498008"/>
    <x v="0"/>
    <n v="1.2497599999999999E-3"/>
    <x v="0"/>
  </r>
  <r>
    <n v="51"/>
    <n v="1"/>
    <n v="3"/>
    <n v="5"/>
    <n v="2"/>
    <n v="3"/>
    <n v="0"/>
    <n v="45"/>
    <n v="3"/>
    <n v="3"/>
    <n v="3"/>
    <n v="25670"/>
    <n v="0"/>
    <n v="25670"/>
    <n v="0.95199999999999996"/>
    <n v="2709"/>
    <n v="51"/>
    <n v="0.64500000000000002"/>
    <n v="0"/>
    <n v="0.99690999999999996"/>
    <n v="3.08778E-3"/>
    <s v="1.712649192298768"/>
    <s v="56.40050777642372"/>
    <s v="57.312249263537886"/>
    <s v="5.849908146748524"/>
    <n v="794273283"/>
    <x v="1"/>
    <n v="0.99822025999999997"/>
    <x v="1"/>
  </r>
  <r>
    <n v="57"/>
    <n v="1"/>
    <n v="3"/>
    <n v="2"/>
    <n v="2"/>
    <n v="0"/>
    <n v="0"/>
    <n v="36"/>
    <n v="2"/>
    <n v="2"/>
    <n v="1"/>
    <n v="17268"/>
    <n v="1197"/>
    <n v="16071"/>
    <n v="0.63700000000000001"/>
    <n v="4077"/>
    <n v="90"/>
    <n v="0.69799999999999995"/>
    <n v="6.9000000000000006E-2"/>
    <s v="7.1226e-05"/>
    <n v="0.99992999999999999"/>
    <s v="17.169083043328634"/>
    <n v="4.3015626971293202"/>
    <s v="37.62923319506828"/>
    <s v="7.794498478359508"/>
    <n v="719372583"/>
    <x v="0"/>
    <n v="3.5729867999999997E-4"/>
    <x v="0"/>
  </r>
  <r>
    <n v="40"/>
    <n v="0"/>
    <n v="4"/>
    <n v="2"/>
    <n v="0"/>
    <n v="4"/>
    <n v="0"/>
    <n v="36"/>
    <n v="5"/>
    <n v="3"/>
    <n v="3"/>
    <n v="1438.3"/>
    <n v="915"/>
    <n v="523.29999999999995"/>
    <n v="0.46400000000000002"/>
    <n v="3754"/>
    <n v="58"/>
    <n v="0.61099999999999999"/>
    <n v="0.63600000000000001"/>
    <n v="3.1725999999999998E-4"/>
    <n v="0.99968000000000001"/>
    <s v="13.12844388857264"/>
    <s v="80.46382090407697"/>
    <n v="40.470637357592999"/>
    <n v="8.7438350953595307"/>
    <n v="713013483"/>
    <x v="0"/>
    <n v="5.130248E-4"/>
    <x v="0"/>
  </r>
  <r>
    <n v="44"/>
    <n v="1"/>
    <n v="3"/>
    <n v="6"/>
    <n v="2"/>
    <n v="0"/>
    <n v="0"/>
    <n v="37"/>
    <n v="3"/>
    <n v="1"/>
    <n v="5"/>
    <n v="3650"/>
    <n v="2512"/>
    <n v="1138"/>
    <n v="0.73899999999999999"/>
    <n v="4599"/>
    <n v="75"/>
    <n v="0.47099999999999997"/>
    <n v="0.68799999999999994"/>
    <n v="3.1189E-4"/>
    <n v="0.99968999999999997"/>
    <s v="25.115323700406396"/>
    <s v="31.28839889744543"/>
    <n v="34.244237234253902"/>
    <s v="12.430244639964668"/>
    <n v="767587833"/>
    <x v="0"/>
    <n v="3.8219825000000002E-4"/>
    <x v="0"/>
  </r>
  <r>
    <n v="49"/>
    <n v="0"/>
    <n v="4"/>
    <n v="1"/>
    <n v="1"/>
    <n v="5"/>
    <n v="0"/>
    <n v="39"/>
    <n v="4"/>
    <n v="4"/>
    <n v="1"/>
    <n v="2333"/>
    <n v="1414"/>
    <n v="919"/>
    <n v="0.63200000000000001"/>
    <n v="5137"/>
    <n v="89"/>
    <n v="0.67900000000000005"/>
    <n v="0.60599999999999998"/>
    <n v="1.9895000000000001E-4"/>
    <n v="0.99980000000000002"/>
    <s v="16.749572837822935"/>
    <s v="10.598196313087804"/>
    <s v="55.33598450850852"/>
    <s v="5.654428340633737"/>
    <n v="719815383"/>
    <x v="0"/>
    <n v="3.2101269999999999E-4"/>
    <x v="0"/>
  </r>
  <r>
    <n v="51"/>
    <n v="1"/>
    <n v="2"/>
    <n v="1"/>
    <n v="2"/>
    <n v="0"/>
    <n v="0"/>
    <n v="36"/>
    <n v="4"/>
    <n v="2"/>
    <n v="5"/>
    <n v="25873"/>
    <n v="582"/>
    <n v="25291"/>
    <n v="0.76900000000000002"/>
    <n v="3920"/>
    <n v="84"/>
    <n v="0.64700000000000002"/>
    <n v="2.1999999999999999E-2"/>
    <n v="8.1740999999999997E-4"/>
    <n v="0.99917999999999996"/>
    <s v="18.19840629787816"/>
    <n v="11.606873073247501"/>
    <s v="20.28714197553545"/>
    <s v="7.144418481543438"/>
    <n v="716363658"/>
    <x v="0"/>
    <n v="5.1513640000000003E-3"/>
    <x v="0"/>
  </r>
  <r>
    <n v="44"/>
    <n v="0"/>
    <n v="3"/>
    <n v="3"/>
    <n v="2"/>
    <n v="5"/>
    <n v="0"/>
    <n v="31"/>
    <n v="5"/>
    <n v="6"/>
    <n v="4"/>
    <n v="10262"/>
    <n v="1888"/>
    <n v="8374"/>
    <n v="0.50800000000000001"/>
    <n v="3553"/>
    <n v="65"/>
    <n v="0.75700000000000001"/>
    <n v="0.184"/>
    <n v="4.1093E-4"/>
    <n v="0.99958999999999998"/>
    <s v="66.65974763540419"/>
    <s v="34.25494463089918"/>
    <s v="82.50313616483918"/>
    <s v="7.705077245284808"/>
    <n v="713641233"/>
    <x v="0"/>
    <n v="3.2890364000000001E-4"/>
    <x v="0"/>
  </r>
  <r>
    <n v="48"/>
    <n v="0"/>
    <n v="5"/>
    <n v="3"/>
    <n v="2"/>
    <n v="4"/>
    <n v="0"/>
    <n v="40"/>
    <n v="1"/>
    <n v="4"/>
    <n v="3"/>
    <n v="8297"/>
    <n v="2517"/>
    <n v="5780"/>
    <n v="0.89900000000000002"/>
    <n v="9819"/>
    <n v="74"/>
    <n v="0.68200000000000005"/>
    <n v="0.30299999999999999"/>
    <n v="0.99728000000000006"/>
    <n v="2.7170699999999998E-3"/>
    <s v="6.251738915712609"/>
    <s v="59.33323190671612"/>
    <s v="15.103089252706775"/>
    <s v="14.258379010880294"/>
    <n v="711156858"/>
    <x v="1"/>
    <n v="0.98995995999999997"/>
    <x v="1"/>
  </r>
  <r>
    <n v="44"/>
    <n v="1"/>
    <n v="4"/>
    <n v="1"/>
    <n v="0"/>
    <n v="3"/>
    <n v="0"/>
    <n v="34"/>
    <n v="5"/>
    <n v="1"/>
    <n v="4"/>
    <n v="7150"/>
    <n v="1887"/>
    <n v="5263"/>
    <n v="0.45500000000000002"/>
    <n v="3636"/>
    <n v="69"/>
    <n v="0.64300000000000002"/>
    <n v="0.26400000000000001"/>
    <n v="2.3984000000000001E-4"/>
    <n v="0.99975999999999998"/>
    <s v="33.73263804407807"/>
    <s v="50.90477332672883"/>
    <s v="57.11528583955946"/>
    <s v="4.294629235716619"/>
    <n v="778180158"/>
    <x v="0"/>
    <n v="3.2914013999999999E-4"/>
    <x v="0"/>
  </r>
  <r>
    <n v="61"/>
    <n v="1"/>
    <n v="1"/>
    <n v="5"/>
    <n v="2"/>
    <n v="2"/>
    <n v="0"/>
    <n v="46"/>
    <n v="5"/>
    <n v="3"/>
    <n v="2"/>
    <n v="2201"/>
    <n v="1138"/>
    <n v="1063"/>
    <n v="0.67500000000000004"/>
    <n v="1199"/>
    <n v="32"/>
    <n v="0.6"/>
    <n v="0.51700000000000002"/>
    <n v="1.7359999999999999E-4"/>
    <n v="0.99983"/>
    <s v="8.742045055930628"/>
    <s v="6.384176254563151"/>
    <s v="81.02916517882632"/>
    <s v="1.277833054932057"/>
    <n v="711864783"/>
    <x v="0"/>
    <n v="1.0598798E-3"/>
    <x v="0"/>
  </r>
  <r>
    <n v="49"/>
    <n v="0"/>
    <n v="1"/>
    <n v="6"/>
    <n v="1"/>
    <n v="4"/>
    <n v="0"/>
    <n v="39"/>
    <n v="3"/>
    <n v="4"/>
    <n v="2"/>
    <n v="2904"/>
    <n v="2203"/>
    <n v="701"/>
    <n v="0.79600000000000004"/>
    <n v="3848"/>
    <n v="66"/>
    <n v="0.69199999999999995"/>
    <n v="0.75900000000000001"/>
    <n v="2.2426999999999999E-4"/>
    <n v="0.99978"/>
    <s v="12.511931955648723"/>
    <s v="6.573959466234315"/>
    <s v="3.170091185507373"/>
    <s v="0.6673932573101927"/>
    <n v="772578858"/>
    <x v="0"/>
    <n v="3.2101269999999999E-4"/>
    <x v="0"/>
  </r>
  <r>
    <n v="52"/>
    <n v="0"/>
    <n v="3"/>
    <n v="0"/>
    <n v="1"/>
    <n v="4"/>
    <n v="0"/>
    <n v="40"/>
    <n v="3"/>
    <n v="2"/>
    <n v="3"/>
    <n v="3474"/>
    <n v="0"/>
    <n v="3474"/>
    <n v="0.73499999999999999"/>
    <n v="2675"/>
    <n v="37"/>
    <n v="0.48"/>
    <n v="0"/>
    <n v="0.99485000000000001"/>
    <n v="5.1500000000000001E-3"/>
    <s v="8.951776471204903"/>
    <s v="42.66222529419118"/>
    <n v="20.398177960175701"/>
    <n v="5.2557473814475104"/>
    <n v="720963258"/>
    <x v="1"/>
    <n v="0.99872713999999996"/>
    <x v="1"/>
  </r>
  <r>
    <n v="43"/>
    <n v="0"/>
    <n v="2"/>
    <n v="5"/>
    <n v="1"/>
    <n v="4"/>
    <n v="0"/>
    <n v="34"/>
    <n v="6"/>
    <n v="2"/>
    <n v="3"/>
    <n v="8771"/>
    <n v="1662"/>
    <n v="7109"/>
    <n v="0.55500000000000005"/>
    <n v="3779"/>
    <n v="72"/>
    <n v="0.75600000000000001"/>
    <n v="0.189"/>
    <n v="1.9683E-4"/>
    <n v="0.99980000000000002"/>
    <s v="44.07836088302158"/>
    <s v="37.035752905128525"/>
    <n v="50.904317533586202"/>
    <s v="19.81353795848701"/>
    <n v="718676283"/>
    <x v="0"/>
    <n v="3.2101269999999999E-4"/>
    <x v="0"/>
  </r>
  <r>
    <n v="65"/>
    <n v="1"/>
    <n v="0"/>
    <n v="3"/>
    <n v="1"/>
    <n v="4"/>
    <n v="0"/>
    <n v="56"/>
    <n v="3"/>
    <n v="3"/>
    <n v="5"/>
    <n v="3838"/>
    <n v="1736"/>
    <n v="2102"/>
    <n v="0.44500000000000001"/>
    <n v="1467"/>
    <n v="29"/>
    <n v="0.70599999999999996"/>
    <n v="0.45200000000000001"/>
    <n v="7.4474000000000003E-4"/>
    <n v="0.99926000000000004"/>
    <s v="60.40709689800134"/>
    <s v="25.29209550688661"/>
    <s v="3.2897334954036386"/>
    <n v="2.9445465183461401"/>
    <n v="714460683"/>
    <x v="0"/>
    <n v="1.3486081999999999E-3"/>
    <x v="0"/>
  </r>
  <r>
    <n v="43"/>
    <n v="0"/>
    <n v="2"/>
    <n v="2"/>
    <n v="2"/>
    <n v="1"/>
    <n v="3"/>
    <n v="39"/>
    <n v="3"/>
    <n v="1"/>
    <n v="2"/>
    <n v="18524"/>
    <n v="1736"/>
    <n v="16788"/>
    <n v="0.76200000000000001"/>
    <n v="4496"/>
    <n v="64"/>
    <n v="0.88200000000000001"/>
    <n v="9.4E-2"/>
    <s v="4.9765e-05"/>
    <n v="0.99995000000000001"/>
    <s v="20.029591022153618"/>
    <s v="40.03405223479325"/>
    <s v="4.243664826739128"/>
    <s v="5.342823614741688"/>
    <n v="820593033"/>
    <x v="0"/>
    <n v="3.4718690000000001E-4"/>
    <x v="0"/>
  </r>
  <r>
    <n v="49"/>
    <n v="1"/>
    <n v="2"/>
    <n v="2"/>
    <n v="1"/>
    <n v="2"/>
    <n v="0"/>
    <n v="43"/>
    <n v="4"/>
    <n v="4"/>
    <n v="4"/>
    <n v="15377"/>
    <n v="1516"/>
    <n v="13861"/>
    <n v="0.627"/>
    <n v="1848"/>
    <n v="49"/>
    <n v="1.042"/>
    <n v="9.9000000000000005E-2"/>
    <n v="6.2354999999999995E-4"/>
    <n v="0.99938000000000005"/>
    <s v="48.85304914001924"/>
    <n v="28.000191849980101"/>
    <s v="15.673882755772407"/>
    <n v="6.3426037693727997"/>
    <n v="768212583"/>
    <x v="0"/>
    <n v="8.644023E-4"/>
    <x v="0"/>
  </r>
  <r>
    <n v="35"/>
    <n v="1"/>
    <n v="2"/>
    <n v="6"/>
    <n v="1"/>
    <n v="3"/>
    <n v="0"/>
    <n v="36"/>
    <n v="6"/>
    <n v="2"/>
    <n v="2"/>
    <n v="2263"/>
    <n v="1188"/>
    <n v="1075"/>
    <n v="0.84"/>
    <n v="1927"/>
    <n v="47"/>
    <n v="0.38200000000000001"/>
    <n v="0.52500000000000002"/>
    <n v="1.2511E-4"/>
    <n v="0.99987000000000004"/>
    <n v="49.951578027780897"/>
    <s v="8.482085996284335"/>
    <n v="161.86178294069401"/>
    <s v="10.378909478830469"/>
    <n v="720440583"/>
    <x v="0"/>
    <n v="1.3273743E-3"/>
    <x v="0"/>
  </r>
  <r>
    <n v="47"/>
    <n v="1"/>
    <n v="3"/>
    <n v="2"/>
    <n v="1"/>
    <n v="2"/>
    <n v="0"/>
    <n v="37"/>
    <n v="4"/>
    <n v="4"/>
    <n v="0"/>
    <n v="8567"/>
    <n v="1695"/>
    <n v="6872"/>
    <n v="1.242"/>
    <n v="1457"/>
    <n v="41"/>
    <n v="1.4119999999999999"/>
    <n v="0.19800000000000001"/>
    <s v="8.3212e-05"/>
    <n v="0.99992000000000003"/>
    <s v="37.15961758890264"/>
    <s v="22.135873875820398"/>
    <s v="1.0089420983954391"/>
    <s v="27.38682757745704"/>
    <n v="715623483"/>
    <x v="0"/>
    <n v="9.8706899999999992E-4"/>
    <x v="0"/>
  </r>
  <r>
    <n v="40"/>
    <n v="0"/>
    <n v="1"/>
    <n v="0"/>
    <n v="1"/>
    <n v="1"/>
    <n v="0"/>
    <n v="36"/>
    <n v="4"/>
    <n v="2"/>
    <n v="4"/>
    <n v="1737"/>
    <n v="1689"/>
    <n v="48"/>
    <n v="0.64400000000000002"/>
    <n v="2459"/>
    <n v="43"/>
    <n v="0.53600000000000003"/>
    <n v="0.97199999999999998"/>
    <n v="0.99665999999999999"/>
    <n v="3.3433299999999998E-3"/>
    <s v="42.37193652343618"/>
    <s v="9.158512726582812"/>
    <s v="42.37605100436931"/>
    <s v="11.503762062708972"/>
    <n v="708660408"/>
    <x v="1"/>
    <n v="0.99432074999999998"/>
    <x v="1"/>
  </r>
  <r>
    <n v="32"/>
    <n v="1"/>
    <n v="3"/>
    <n v="2"/>
    <n v="1"/>
    <n v="2"/>
    <n v="0"/>
    <n v="36"/>
    <n v="1"/>
    <n v="1"/>
    <n v="1"/>
    <n v="3223"/>
    <n v="1413"/>
    <n v="1810"/>
    <n v="1.0089999999999999"/>
    <n v="13648"/>
    <n v="103"/>
    <n v="0.63500000000000001"/>
    <n v="0.438"/>
    <s v="3.4465e-05"/>
    <n v="0.99997000000000003"/>
    <s v="59.33477570924336"/>
    <s v="26.79898461043728"/>
    <s v="5.757636827045173"/>
    <s v="14.85356622360304"/>
    <n v="716439258"/>
    <x v="0"/>
    <n v="3.5657453999999998E-4"/>
    <x v="0"/>
  </r>
  <r>
    <n v="43"/>
    <n v="1"/>
    <n v="4"/>
    <n v="0"/>
    <n v="1"/>
    <n v="1"/>
    <n v="0"/>
    <n v="32"/>
    <n v="6"/>
    <n v="3"/>
    <n v="3"/>
    <n v="4373"/>
    <n v="0"/>
    <n v="4373"/>
    <n v="0.623"/>
    <n v="2397"/>
    <n v="46"/>
    <n v="0.48399999999999999"/>
    <n v="0"/>
    <n v="0.99677000000000004"/>
    <n v="3.2305599999999999E-3"/>
    <s v="39.13242579895005"/>
    <s v="93.94687516238572"/>
    <s v="44.35977737171491"/>
    <s v="7.293457409990025"/>
    <n v="713084208"/>
    <x v="1"/>
    <n v="0.99873226999999998"/>
    <x v="1"/>
  </r>
  <r>
    <n v="40"/>
    <n v="1"/>
    <n v="3"/>
    <n v="3"/>
    <n v="2"/>
    <n v="3"/>
    <n v="0"/>
    <n v="29"/>
    <n v="2"/>
    <n v="2"/>
    <n v="4"/>
    <n v="18563"/>
    <n v="0"/>
    <n v="18563"/>
    <n v="0.72899999999999998"/>
    <n v="2395"/>
    <n v="45"/>
    <n v="0.55200000000000005"/>
    <n v="0"/>
    <n v="0.99697000000000002"/>
    <n v="3.0254600000000002E-3"/>
    <s v="10.396506042515888"/>
    <s v="73.93936089657038"/>
    <s v="28.078503515893253"/>
    <s v="10.650583839847116"/>
    <n v="711816108"/>
    <x v="1"/>
    <n v="0.99841880000000005"/>
    <x v="1"/>
  </r>
  <r>
    <n v="43"/>
    <n v="0"/>
    <n v="3"/>
    <n v="3"/>
    <n v="1"/>
    <n v="4"/>
    <n v="0"/>
    <n v="28"/>
    <n v="3"/>
    <n v="3"/>
    <n v="2"/>
    <n v="2590"/>
    <n v="0"/>
    <n v="2590"/>
    <n v="0.63"/>
    <n v="3391"/>
    <n v="66"/>
    <n v="0.83299999999999996"/>
    <n v="0"/>
    <n v="1.8144999999999999E-4"/>
    <n v="0.99982000000000004"/>
    <s v="9.336887076479236"/>
    <s v="65.82859948034493"/>
    <s v="27.085719353368443"/>
    <s v="2.1191041539406457"/>
    <n v="713592408"/>
    <x v="0"/>
    <n v="7.4965424999999997E-4"/>
    <x v="0"/>
  </r>
  <r>
    <n v="39"/>
    <n v="0"/>
    <n v="3"/>
    <n v="1"/>
    <n v="3"/>
    <n v="1"/>
    <n v="0"/>
    <n v="28"/>
    <n v="5"/>
    <n v="3"/>
    <n v="0"/>
    <n v="7262"/>
    <n v="1466"/>
    <n v="5796"/>
    <n v="0.51200000000000001"/>
    <n v="1438"/>
    <n v="28"/>
    <n v="0.55600000000000005"/>
    <n v="0.20200000000000001"/>
    <s v="9.9638e-05"/>
    <n v="0.99990000000000001"/>
    <s v="2.777954560242978"/>
    <s v="40.91603057097655"/>
    <s v="19.897137366547664"/>
    <s v="4.805354918622989"/>
    <n v="717049533"/>
    <x v="0"/>
    <n v="1.0598798E-3"/>
    <x v="0"/>
  </r>
  <r>
    <n v="44"/>
    <n v="0"/>
    <n v="3"/>
    <n v="2"/>
    <n v="2"/>
    <n v="4"/>
    <n v="0"/>
    <n v="17"/>
    <n v="1"/>
    <n v="2"/>
    <n v="3"/>
    <n v="8861"/>
    <n v="1149"/>
    <n v="7712"/>
    <n v="0.71799999999999997"/>
    <n v="8387"/>
    <n v="102"/>
    <n v="0.75900000000000001"/>
    <n v="0.13"/>
    <n v="1.9864000000000001E-4"/>
    <n v="0.99980000000000002"/>
    <s v="6.803008030159399"/>
    <s v="11.344416558169684"/>
    <s v="109.49680054941348"/>
    <s v="26.778235850156555"/>
    <n v="788725608"/>
    <x v="0"/>
    <n v="3.6856539999999998E-4"/>
    <x v="0"/>
  </r>
  <r>
    <n v="38"/>
    <n v="0"/>
    <n v="2"/>
    <n v="1"/>
    <n v="1"/>
    <n v="4"/>
    <n v="0"/>
    <n v="28"/>
    <n v="5"/>
    <n v="2"/>
    <n v="4"/>
    <n v="1614"/>
    <n v="0"/>
    <n v="1614"/>
    <n v="0.60899999999999999"/>
    <n v="2437"/>
    <n v="46"/>
    <n v="0.438"/>
    <n v="0"/>
    <n v="0.99789000000000005"/>
    <n v="2.1108899999999998E-3"/>
    <s v="36.19717878857004"/>
    <s v="10.415105853178062"/>
    <s v="3.638986155477891"/>
    <s v="21.264779626406284"/>
    <n v="709460883"/>
    <x v="1"/>
    <n v="0.99837339999999997"/>
    <x v="1"/>
  </r>
  <r>
    <n v="44"/>
    <n v="1"/>
    <n v="3"/>
    <n v="3"/>
    <n v="2"/>
    <n v="2"/>
    <n v="0"/>
    <n v="31"/>
    <n v="4"/>
    <n v="3"/>
    <n v="1"/>
    <n v="12756"/>
    <n v="837"/>
    <n v="11919"/>
    <n v="1.9319999999999999"/>
    <n v="1413"/>
    <n v="14"/>
    <n v="1.8"/>
    <n v="6.6000000000000003E-2"/>
    <n v="1.0943E-4"/>
    <n v="0.99988999999999995"/>
    <n v="8.3922363693106892"/>
    <s v="49.37159043390744"/>
    <s v="4.567542191387092"/>
    <s v="19.13626846224849"/>
    <n v="719720058"/>
    <x v="0"/>
    <n v="1.7299717000000001E-3"/>
    <x v="0"/>
  </r>
  <r>
    <n v="54"/>
    <n v="0"/>
    <n v="0"/>
    <n v="1"/>
    <n v="2"/>
    <n v="4"/>
    <n v="0"/>
    <n v="36"/>
    <n v="4"/>
    <n v="3"/>
    <n v="2"/>
    <n v="2708"/>
    <n v="0"/>
    <n v="2708"/>
    <n v="0.67300000000000004"/>
    <n v="2321"/>
    <n v="45"/>
    <n v="0.55200000000000005"/>
    <n v="0"/>
    <n v="0.99553999999999998"/>
    <n v="4.4561599999999998E-3"/>
    <s v="19.09861731268398"/>
    <s v="33.89348895308474"/>
    <s v="150.20589954644288"/>
    <s v="5.130546678064672"/>
    <n v="712327608"/>
    <x v="1"/>
    <n v="0.99873226999999998"/>
    <x v="1"/>
  </r>
  <r>
    <n v="44"/>
    <n v="1"/>
    <n v="1"/>
    <n v="6"/>
    <n v="1"/>
    <n v="2"/>
    <n v="0"/>
    <n v="33"/>
    <n v="6"/>
    <n v="2"/>
    <n v="3"/>
    <n v="4969"/>
    <n v="1187"/>
    <n v="3782"/>
    <n v="0.71399999999999997"/>
    <n v="3878"/>
    <n v="82"/>
    <n v="0.78300000000000003"/>
    <n v="0.23899999999999999"/>
    <n v="1.9751E-4"/>
    <n v="0.99980000000000002"/>
    <s v="6.299889760471885"/>
    <s v="58.37708485799392"/>
    <s v="22.544750328433626"/>
    <s v="18.117679702513687"/>
    <n v="789226683"/>
    <x v="0"/>
    <n v="3.2101269999999999E-4"/>
    <x v="0"/>
  </r>
  <r>
    <n v="53"/>
    <n v="0"/>
    <n v="3"/>
    <n v="0"/>
    <n v="1"/>
    <n v="1"/>
    <n v="0"/>
    <n v="33"/>
    <n v="4"/>
    <n v="3"/>
    <n v="3"/>
    <n v="5146"/>
    <n v="1618"/>
    <n v="3528"/>
    <n v="1.073"/>
    <n v="1955"/>
    <n v="44"/>
    <n v="0.76"/>
    <n v="0.314"/>
    <n v="3.0519E-4"/>
    <n v="0.99968999999999997"/>
    <s v="35.551572704096486"/>
    <s v="8.699530012613733"/>
    <s v="75.01543835005458"/>
    <s v="5.436075016695239"/>
    <n v="712275108"/>
    <x v="0"/>
    <n v="1.0343705999999999E-3"/>
    <x v="0"/>
  </r>
  <r>
    <n v="38"/>
    <n v="1"/>
    <n v="1"/>
    <n v="3"/>
    <n v="1"/>
    <n v="3"/>
    <n v="0"/>
    <n v="24"/>
    <n v="4"/>
    <n v="3"/>
    <n v="2"/>
    <n v="13363"/>
    <n v="1230"/>
    <n v="12133"/>
    <n v="0.68799999999999994"/>
    <n v="1815"/>
    <n v="33"/>
    <n v="0.435"/>
    <n v="9.1999999999999998E-2"/>
    <n v="1.6412999999999999E-4"/>
    <n v="0.99983999999999995"/>
    <s v="46.23150044425278"/>
    <s v="55.48085573498506"/>
    <s v="36.37385364944038"/>
    <s v="11.042789877265363"/>
    <n v="720848733"/>
    <x v="0"/>
    <n v="1.2325711E-3"/>
    <x v="0"/>
  </r>
  <r>
    <n v="37"/>
    <n v="0"/>
    <n v="3"/>
    <n v="1"/>
    <n v="1"/>
    <n v="4"/>
    <n v="0"/>
    <n v="36"/>
    <n v="3"/>
    <n v="5"/>
    <n v="2"/>
    <n v="1438.3"/>
    <n v="0"/>
    <n v="1438.3"/>
    <n v="0.86099999999999999"/>
    <n v="4314"/>
    <n v="82"/>
    <n v="0.86399999999999999"/>
    <n v="0"/>
    <n v="3.0165999999999998E-4"/>
    <n v="0.99970000000000003"/>
    <s v="38.61773944033092"/>
    <s v="10.560115879599149"/>
    <s v="98.51351259883042"/>
    <s v="11.592773535029815"/>
    <n v="713993208"/>
    <x v="0"/>
    <n v="7.1049936000000004E-4"/>
    <x v="0"/>
  </r>
  <r>
    <n v="44"/>
    <n v="0"/>
    <n v="3"/>
    <n v="5"/>
    <n v="1"/>
    <n v="4"/>
    <n v="0"/>
    <n v="36"/>
    <n v="6"/>
    <n v="3"/>
    <n v="3"/>
    <n v="1684"/>
    <n v="0"/>
    <n v="1684"/>
    <n v="0.55700000000000005"/>
    <n v="2275"/>
    <n v="45"/>
    <n v="0.60699999999999998"/>
    <n v="0"/>
    <n v="0.99690999999999996"/>
    <n v="3.08778E-3"/>
    <s v="23.619081342233684"/>
    <s v="16.789372182441724"/>
    <s v="58.82591926175512"/>
    <s v="15.251191988696553"/>
    <n v="713115483"/>
    <x v="1"/>
    <n v="0.99850490000000003"/>
    <x v="1"/>
  </r>
  <r>
    <n v="38"/>
    <n v="0"/>
    <n v="1"/>
    <n v="2"/>
    <n v="2"/>
    <n v="4"/>
    <n v="0"/>
    <n v="22"/>
    <n v="3"/>
    <n v="3"/>
    <n v="3"/>
    <n v="2484"/>
    <n v="2149"/>
    <n v="335"/>
    <n v="0.66900000000000004"/>
    <n v="1200"/>
    <n v="28"/>
    <n v="0.64700000000000002"/>
    <n v="0.86499999999999999"/>
    <n v="2.8394999999999999E-4"/>
    <n v="0.99972000000000005"/>
    <s v="10.040770010767735"/>
    <s v="15.543197847432133"/>
    <s v="55.63334173807964"/>
    <s v="8.395566846432288"/>
    <n v="711006783"/>
    <x v="0"/>
    <n v="1.0903810999999999E-3"/>
    <x v="0"/>
  </r>
  <r>
    <n v="52"/>
    <n v="1"/>
    <n v="0"/>
    <n v="6"/>
    <n v="1"/>
    <n v="2"/>
    <n v="0"/>
    <n v="46"/>
    <n v="3"/>
    <n v="2"/>
    <n v="4"/>
    <n v="2742"/>
    <n v="2184"/>
    <n v="558"/>
    <n v="0.59199999999999997"/>
    <n v="3829"/>
    <n v="72"/>
    <n v="0.53200000000000003"/>
    <n v="0.79600000000000004"/>
    <n v="3.0802999999999999E-4"/>
    <n v="0.99968999999999997"/>
    <s v="4.941452935989002"/>
    <s v="15.684965443209093"/>
    <s v="29.31773938242561"/>
    <s v="9.882966142303296"/>
    <n v="803665983"/>
    <x v="0"/>
    <n v="3.2914013999999999E-4"/>
    <x v="0"/>
  </r>
  <r>
    <n v="35"/>
    <n v="0"/>
    <n v="2"/>
    <n v="2"/>
    <n v="1"/>
    <n v="1"/>
    <n v="0"/>
    <n v="36"/>
    <n v="4"/>
    <n v="3"/>
    <n v="4"/>
    <n v="3454"/>
    <n v="1603"/>
    <n v="1851"/>
    <n v="1.0780000000000001"/>
    <n v="1575"/>
    <n v="41"/>
    <n v="0.51900000000000002"/>
    <n v="0.46400000000000002"/>
    <n v="5.1599999999999997E-4"/>
    <n v="0.99948000000000004"/>
    <s v="25.06078686123068"/>
    <s v="12.421517521797302"/>
    <s v="83.93523463301912"/>
    <s v="14.80780973351052"/>
    <n v="715498308"/>
    <x v="0"/>
    <n v="1.1544054E-3"/>
    <x v="0"/>
  </r>
  <r>
    <n v="44"/>
    <n v="1"/>
    <n v="3"/>
    <n v="4"/>
    <n v="1"/>
    <n v="3"/>
    <n v="0"/>
    <n v="32"/>
    <n v="3"/>
    <n v="4"/>
    <n v="2"/>
    <n v="34516"/>
    <n v="1807"/>
    <n v="32709"/>
    <n v="0.66500000000000004"/>
    <n v="7663"/>
    <n v="91"/>
    <n v="0.65500000000000003"/>
    <n v="5.1999999999999998E-2"/>
    <n v="2.6540999999999999E-4"/>
    <n v="0.99973000000000001"/>
    <s v="15.73923949563705"/>
    <s v="22.456549134713093"/>
    <n v="91.378706904149595"/>
    <s v="4.802146924813605"/>
    <n v="713487633"/>
    <x v="0"/>
    <n v="4.1022256E-4"/>
    <x v="0"/>
  </r>
  <r>
    <n v="59"/>
    <n v="1"/>
    <n v="1"/>
    <n v="5"/>
    <n v="2"/>
    <n v="1"/>
    <n v="3"/>
    <n v="49"/>
    <n v="3"/>
    <n v="2"/>
    <n v="2"/>
    <n v="15809"/>
    <n v="0"/>
    <n v="15809"/>
    <n v="0.99199999999999999"/>
    <n v="3109"/>
    <n v="48"/>
    <n v="0.41199999999999998"/>
    <n v="0"/>
    <n v="0.99002999999999997"/>
    <n v="9.9699999999999997E-3"/>
    <s v="37.10168091845866"/>
    <s v="13.765159547677802"/>
    <s v="42.00579674063119"/>
    <s v="8.028756324910104"/>
    <n v="780006783"/>
    <x v="1"/>
    <n v="0.99858069999999999"/>
    <x v="1"/>
  </r>
  <r>
    <n v="38"/>
    <n v="0"/>
    <n v="3"/>
    <n v="3"/>
    <n v="3"/>
    <n v="4"/>
    <n v="0"/>
    <n v="36"/>
    <n v="5"/>
    <n v="3"/>
    <n v="3"/>
    <n v="2989"/>
    <n v="2387"/>
    <n v="602"/>
    <n v="0.437"/>
    <n v="2143"/>
    <n v="67"/>
    <n v="0.55800000000000005"/>
    <n v="0.79900000000000004"/>
    <n v="0.99673"/>
    <n v="3.2652800000000002E-3"/>
    <s v="49.75532931302188"/>
    <s v="28.36367846997994"/>
    <s v="31.71213745001533"/>
    <s v="2.280979243126513"/>
    <n v="712399308"/>
    <x v="1"/>
    <n v="0.98433614000000003"/>
    <x v="1"/>
  </r>
  <r>
    <n v="48"/>
    <n v="0"/>
    <n v="4"/>
    <n v="4"/>
    <n v="1"/>
    <n v="4"/>
    <n v="0"/>
    <n v="31"/>
    <n v="6"/>
    <n v="6"/>
    <n v="4"/>
    <n v="2646"/>
    <n v="1983"/>
    <n v="663"/>
    <n v="0.7"/>
    <n v="4727"/>
    <n v="83"/>
    <n v="0.80400000000000005"/>
    <n v="0.749"/>
    <n v="5.0266999999999998E-4"/>
    <n v="0.99950000000000006"/>
    <s v="34.23207124813021"/>
    <s v="72.28082400504735"/>
    <s v="38.36732862884352"/>
    <s v="5.927603757761047"/>
    <n v="714678408"/>
    <x v="0"/>
    <n v="3.2101269999999999E-4"/>
    <x v="0"/>
  </r>
  <r>
    <n v="41"/>
    <n v="0"/>
    <n v="3"/>
    <n v="3"/>
    <n v="1"/>
    <n v="5"/>
    <n v="0"/>
    <n v="31"/>
    <n v="4"/>
    <n v="6"/>
    <n v="3"/>
    <n v="4739"/>
    <n v="1878"/>
    <n v="2861"/>
    <n v="0.71899999999999997"/>
    <n v="5238"/>
    <n v="84"/>
    <n v="0.82599999999999996"/>
    <n v="0.39600000000000002"/>
    <n v="2.409E-4"/>
    <n v="0.99975999999999998"/>
    <s v="37.39957720297361"/>
    <s v="46.35880390441668"/>
    <s v="58.405168698500006"/>
    <s v="2.9654584034404863"/>
    <n v="713355708"/>
    <x v="0"/>
    <n v="3.2101269999999999E-4"/>
    <x v="0"/>
  </r>
  <r>
    <n v="41"/>
    <n v="1"/>
    <n v="2"/>
    <n v="2"/>
    <n v="1"/>
    <n v="4"/>
    <n v="0"/>
    <n v="29"/>
    <n v="3"/>
    <n v="2"/>
    <n v="2"/>
    <n v="2683"/>
    <n v="1738"/>
    <n v="945"/>
    <n v="0.745"/>
    <n v="2274"/>
    <n v="52"/>
    <n v="0.73299999999999998"/>
    <n v="0.64800000000000002"/>
    <n v="1.1382E-4"/>
    <n v="0.99988999999999995"/>
    <s v="3.505410694596907"/>
    <n v="41.801572739574198"/>
    <s v="36.02374732440988"/>
    <s v="26.03001993695684"/>
    <n v="717000858"/>
    <x v="0"/>
    <n v="9.6736936000000001E-4"/>
    <x v="0"/>
  </r>
  <r>
    <n v="60"/>
    <n v="1"/>
    <n v="1"/>
    <n v="3"/>
    <n v="0"/>
    <n v="1"/>
    <n v="0"/>
    <n v="53"/>
    <n v="2"/>
    <n v="3"/>
    <n v="3"/>
    <n v="9369"/>
    <n v="1813"/>
    <n v="7556"/>
    <n v="0.65800000000000003"/>
    <n v="7699"/>
    <n v="101"/>
    <n v="0.629"/>
    <n v="0.19400000000000001"/>
    <n v="2.7604000000000002E-4"/>
    <n v="0.99972000000000005"/>
    <s v="18.868230571317323"/>
    <s v="59.662648628708816"/>
    <s v="1.1189662535523983"/>
    <s v="2.069631576249831"/>
    <n v="789582483"/>
    <x v="0"/>
    <n v="3.7789578000000003E-4"/>
    <x v="0"/>
  </r>
  <r>
    <n v="48"/>
    <n v="0"/>
    <n v="3"/>
    <n v="2"/>
    <n v="1"/>
    <n v="4"/>
    <n v="0"/>
    <n v="40"/>
    <n v="2"/>
    <n v="3"/>
    <n v="1"/>
    <n v="5298"/>
    <n v="0"/>
    <n v="5298"/>
    <n v="0.68600000000000005"/>
    <n v="4834"/>
    <n v="80"/>
    <n v="0.66700000000000004"/>
    <n v="0"/>
    <n v="1.1256000000000001E-4"/>
    <n v="0.99988999999999995"/>
    <s v="36.866975310684936"/>
    <s v="34.074408430201466"/>
    <n v="131.32459890041901"/>
    <s v="3.212607132574262"/>
    <n v="721112508"/>
    <x v="0"/>
    <n v="6.9517245999999998E-4"/>
    <x v="0"/>
  </r>
  <r>
    <n v="49"/>
    <n v="1"/>
    <n v="3"/>
    <n v="5"/>
    <n v="1"/>
    <n v="3"/>
    <n v="0"/>
    <n v="40"/>
    <n v="5"/>
    <n v="4"/>
    <n v="3"/>
    <n v="2509"/>
    <n v="450"/>
    <n v="2059"/>
    <n v="0.65400000000000003"/>
    <n v="2239"/>
    <n v="47"/>
    <n v="0.621"/>
    <n v="0.17899999999999999"/>
    <n v="0.99743999999999999"/>
    <n v="2.5563000000000001E-3"/>
    <s v="21.177112951816383"/>
    <s v="43.74498594634747"/>
    <n v="63.871444283067397"/>
    <s v="24.90846000301944"/>
    <n v="720124758"/>
    <x v="1"/>
    <n v="0.99824679999999999"/>
    <x v="1"/>
  </r>
  <r>
    <n v="42"/>
    <n v="0"/>
    <n v="4"/>
    <n v="3"/>
    <n v="2"/>
    <n v="4"/>
    <n v="0"/>
    <n v="30"/>
    <n v="3"/>
    <n v="1"/>
    <n v="3"/>
    <n v="6172"/>
    <n v="1212"/>
    <n v="4960"/>
    <n v="0.72299999999999998"/>
    <n v="16622"/>
    <n v="99"/>
    <n v="0.65"/>
    <n v="0.19600000000000001"/>
    <s v="9.4447e-05"/>
    <n v="0.99990999999999997"/>
    <s v="29.53557104224604"/>
    <s v="44.52697595039806"/>
    <s v="94.49541487475098"/>
    <s v="14.565272502986558"/>
    <n v="709159308"/>
    <x v="0"/>
    <n v="3.4656386999999997E-4"/>
    <x v="0"/>
  </r>
  <r>
    <n v="59"/>
    <n v="1"/>
    <n v="0"/>
    <n v="2"/>
    <n v="2"/>
    <n v="1"/>
    <n v="0"/>
    <n v="48"/>
    <n v="4"/>
    <n v="2"/>
    <n v="2"/>
    <n v="1638"/>
    <n v="0"/>
    <n v="1638"/>
    <n v="0.53300000000000003"/>
    <n v="1536"/>
    <n v="44"/>
    <n v="0.63"/>
    <n v="0"/>
    <s v="9.7673e-05"/>
    <n v="0.99990000000000001"/>
    <s v="0.6731481468411292"/>
    <s v="17.184942871661388"/>
    <s v="25.00696217527631"/>
    <s v="2.270839615786576"/>
    <n v="713889933"/>
    <x v="0"/>
    <n v="3.7827827E-3"/>
    <x v="0"/>
  </r>
  <r>
    <n v="51"/>
    <n v="1"/>
    <n v="4"/>
    <n v="6"/>
    <n v="1"/>
    <n v="0"/>
    <n v="1"/>
    <n v="46"/>
    <n v="6"/>
    <n v="1"/>
    <n v="3"/>
    <n v="34516"/>
    <n v="2264"/>
    <n v="32252"/>
    <n v="1.9750000000000001"/>
    <n v="1330"/>
    <n v="31"/>
    <n v="0.72199999999999998"/>
    <n v="6.6000000000000003E-2"/>
    <n v="1.2302999999999999E-4"/>
    <n v="0.99987999999999999"/>
    <s v="77.72895460201522"/>
    <s v="14.76895577294306"/>
    <s v="105.43184293739763"/>
    <s v="13.110007338968124"/>
    <n v="810347208"/>
    <x v="0"/>
    <n v="1.1504791999999999E-3"/>
    <x v="0"/>
  </r>
  <r>
    <n v="39"/>
    <n v="0"/>
    <n v="2"/>
    <n v="3"/>
    <n v="1"/>
    <n v="4"/>
    <n v="0"/>
    <n v="36"/>
    <n v="6"/>
    <n v="2"/>
    <n v="3"/>
    <n v="1578"/>
    <n v="760"/>
    <n v="818"/>
    <n v="0.70899999999999996"/>
    <n v="2017"/>
    <n v="43"/>
    <n v="0.95499999999999996"/>
    <n v="0.48199999999999998"/>
    <n v="1.861E-4"/>
    <n v="0.99980999999999998"/>
    <s v="34.241740281041004"/>
    <s v="35.84366490903758"/>
    <n v="85.882147892087005"/>
    <s v="0.5725220305171104"/>
    <n v="714703158"/>
    <x v="0"/>
    <n v="2.016833E-3"/>
    <x v="0"/>
  </r>
  <r>
    <n v="36"/>
    <n v="0"/>
    <n v="2"/>
    <n v="5"/>
    <n v="0"/>
    <n v="5"/>
    <n v="0"/>
    <n v="36"/>
    <n v="3"/>
    <n v="2"/>
    <n v="1"/>
    <n v="14304"/>
    <n v="699"/>
    <n v="13605"/>
    <n v="0.54900000000000004"/>
    <n v="4746"/>
    <n v="73"/>
    <n v="0.52100000000000002"/>
    <n v="4.9000000000000002E-2"/>
    <s v="7.0576e-05"/>
    <n v="0.99992999999999999"/>
    <s v="17.64530537632137"/>
    <s v="1.113958800322231"/>
    <s v="54.44276522828512"/>
    <s v="11.933262060858205"/>
    <n v="714388158"/>
    <x v="0"/>
    <n v="6.2181555999999999E-4"/>
    <x v="0"/>
  </r>
  <r>
    <n v="47"/>
    <n v="0"/>
    <n v="2"/>
    <n v="2"/>
    <n v="1"/>
    <n v="1"/>
    <n v="0"/>
    <n v="28"/>
    <n v="5"/>
    <n v="2"/>
    <n v="2"/>
    <n v="2035"/>
    <n v="1620"/>
    <n v="415"/>
    <n v="0.83799999999999997"/>
    <n v="4130"/>
    <n v="74"/>
    <n v="0.72099999999999997"/>
    <n v="0.79600000000000004"/>
    <n v="1.1382E-4"/>
    <n v="0.99988999999999995"/>
    <s v="15.111617599792924"/>
    <s v="74.46346749734626"/>
    <s v="38.69724225299442"/>
    <s v="10.361267467355969"/>
    <n v="713310558"/>
    <x v="0"/>
    <n v="3.2101269999999999E-4"/>
    <x v="0"/>
  </r>
  <r>
    <n v="55"/>
    <n v="0"/>
    <n v="3"/>
    <n v="2"/>
    <n v="2"/>
    <n v="4"/>
    <n v="0"/>
    <n v="29"/>
    <n v="6"/>
    <n v="1"/>
    <n v="2"/>
    <n v="7361"/>
    <n v="1309"/>
    <n v="6052"/>
    <n v="0.504"/>
    <n v="1175"/>
    <n v="34"/>
    <n v="0.7"/>
    <n v="0.17799999999999999"/>
    <s v="5.7151e-05"/>
    <n v="0.99994000000000005"/>
    <s v="7.431585670169492"/>
    <n v="38.8554183787355"/>
    <s v="106.0007321117235"/>
    <s v="11.537161128632674"/>
    <n v="787599258"/>
    <x v="0"/>
    <n v="1.0337284E-3"/>
    <x v="0"/>
  </r>
  <r>
    <n v="48"/>
    <n v="0"/>
    <n v="2"/>
    <n v="3"/>
    <n v="1"/>
    <n v="5"/>
    <n v="0"/>
    <n v="37"/>
    <n v="3"/>
    <n v="2"/>
    <n v="2"/>
    <n v="8446"/>
    <n v="908"/>
    <n v="7538"/>
    <n v="0.60399999999999998"/>
    <n v="4240"/>
    <n v="67"/>
    <n v="0.76300000000000001"/>
    <n v="0.108"/>
    <n v="1.1065000000000001E-4"/>
    <n v="0.99988999999999995"/>
    <s v="5.373017853690835"/>
    <s v="20.77334230451989"/>
    <s v="170.41519720244105"/>
    <s v="0.8185036782576556"/>
    <n v="713746608"/>
    <x v="0"/>
    <n v="4.0989029999999999E-4"/>
    <x v="0"/>
  </r>
  <r>
    <n v="58"/>
    <n v="1"/>
    <n v="2"/>
    <n v="0"/>
    <n v="1"/>
    <n v="3"/>
    <n v="0"/>
    <n v="44"/>
    <n v="3"/>
    <n v="2"/>
    <n v="2"/>
    <n v="11811"/>
    <n v="2508"/>
    <n v="9303"/>
    <n v="0.47599999999999998"/>
    <n v="1469"/>
    <n v="29"/>
    <n v="0.81200000000000006"/>
    <n v="0.21199999999999999"/>
    <n v="1.1066E-4"/>
    <n v="0.99988999999999995"/>
    <s v="57.15918095247575"/>
    <s v="57.78547556333272"/>
    <s v="103.31336816538034"/>
    <s v="2.001406045068981"/>
    <n v="713625483"/>
    <x v="0"/>
    <n v="1.0648312999999999E-3"/>
    <x v="0"/>
  </r>
  <r>
    <n v="47"/>
    <n v="1"/>
    <n v="3"/>
    <n v="4"/>
    <n v="3"/>
    <n v="3"/>
    <n v="0"/>
    <n v="36"/>
    <n v="6"/>
    <n v="2"/>
    <n v="2"/>
    <n v="13399"/>
    <n v="2505"/>
    <n v="10894"/>
    <n v="0.627"/>
    <n v="1326"/>
    <n v="31"/>
    <n v="0.82399999999999995"/>
    <n v="0.187"/>
    <n v="1.3897000000000001E-4"/>
    <n v="0.99985999999999997"/>
    <s v="30.04929233898104"/>
    <s v="77.92897200523234"/>
    <s v="62.74329833294528"/>
    <s v="2.2559016235466256"/>
    <n v="708820308"/>
    <x v="0"/>
    <n v="1.0254878999999999E-3"/>
    <x v="0"/>
  </r>
  <r>
    <n v="46"/>
    <n v="1"/>
    <n v="3"/>
    <n v="6"/>
    <n v="2"/>
    <n v="3"/>
    <n v="0"/>
    <n v="34"/>
    <n v="4"/>
    <n v="3"/>
    <n v="3"/>
    <n v="9959"/>
    <n v="0"/>
    <n v="9959"/>
    <n v="1.0489999999999999"/>
    <n v="4859"/>
    <n v="64"/>
    <n v="0.52400000000000002"/>
    <n v="0"/>
    <n v="0.99711000000000005"/>
    <n v="2.8889200000000001E-3"/>
    <s v="2.1754569513996382"/>
    <s v="53.01600445685087"/>
    <s v="30.285864693972428"/>
    <s v="5.276550312056556"/>
    <n v="711325308"/>
    <x v="1"/>
    <n v="0.99256926999999995"/>
    <x v="1"/>
  </r>
  <r>
    <n v="49"/>
    <n v="1"/>
    <n v="5"/>
    <n v="0"/>
    <n v="1"/>
    <n v="2"/>
    <n v="1"/>
    <n v="35"/>
    <n v="1"/>
    <n v="2"/>
    <n v="2"/>
    <n v="34516"/>
    <n v="1064"/>
    <n v="33452"/>
    <n v="0.79600000000000004"/>
    <n v="8095"/>
    <n v="81"/>
    <n v="0.62"/>
    <n v="3.1E-2"/>
    <n v="1.3161999999999999E-4"/>
    <n v="0.99987000000000004"/>
    <s v="2.9479819386882418"/>
    <s v="35.186831815138106"/>
    <s v="11.76442826939804"/>
    <s v="1.002040630904376"/>
    <n v="788916933"/>
    <x v="0"/>
    <n v="5.7623020000000002E-4"/>
    <x v="0"/>
  </r>
  <r>
    <n v="39"/>
    <n v="0"/>
    <n v="0"/>
    <n v="2"/>
    <n v="1"/>
    <n v="4"/>
    <n v="0"/>
    <n v="36"/>
    <n v="3"/>
    <n v="3"/>
    <n v="3"/>
    <n v="2936"/>
    <n v="0"/>
    <n v="2936"/>
    <n v="0.84199999999999997"/>
    <n v="4876"/>
    <n v="74"/>
    <n v="0.54200000000000004"/>
    <n v="0"/>
    <n v="2.5960000000000002E-4"/>
    <n v="0.99973999999999996"/>
    <s v="3.541242461898709"/>
    <s v="13.409250445540398"/>
    <s v="42.73213267500649"/>
    <s v="12.640533754547258"/>
    <n v="720168558"/>
    <x v="0"/>
    <n v="7.387203E-4"/>
    <x v="0"/>
  </r>
  <r>
    <n v="63"/>
    <n v="1"/>
    <n v="0"/>
    <n v="1"/>
    <n v="2"/>
    <n v="4"/>
    <n v="0"/>
    <n v="54"/>
    <n v="5"/>
    <n v="2"/>
    <n v="0"/>
    <n v="7098"/>
    <n v="2224"/>
    <n v="4874"/>
    <n v="0.86399999999999999"/>
    <n v="3465"/>
    <n v="59"/>
    <n v="0.78800000000000003"/>
    <n v="0.313"/>
    <s v="5.2139e-05"/>
    <n v="0.99995000000000001"/>
    <s v="0.3774852018806499"/>
    <s v="7.720810884983813"/>
    <s v="71.05087382606474"/>
    <s v="6.050053939387476"/>
    <n v="719749083"/>
    <x v="0"/>
    <n v="3.8517435000000002E-4"/>
    <x v="0"/>
  </r>
  <r>
    <n v="48"/>
    <n v="1"/>
    <n v="4"/>
    <n v="6"/>
    <n v="2"/>
    <n v="3"/>
    <n v="0"/>
    <n v="36"/>
    <n v="3"/>
    <n v="3"/>
    <n v="3"/>
    <n v="32838"/>
    <n v="1717"/>
    <n v="31121"/>
    <n v="0.995"/>
    <n v="2538"/>
    <n v="42"/>
    <n v="0.4"/>
    <n v="5.1999999999999998E-2"/>
    <n v="0.99714000000000003"/>
    <n v="2.8584499999999998E-3"/>
    <s v="2.0380016523624023"/>
    <s v="16.573329500953008"/>
    <s v="78.96272802513647"/>
    <s v="1.5206398527543843"/>
    <n v="712038258"/>
    <x v="1"/>
    <n v="0.99627030000000005"/>
    <x v="1"/>
  </r>
  <r>
    <n v="30"/>
    <n v="1"/>
    <n v="0"/>
    <n v="0"/>
    <n v="2"/>
    <n v="2"/>
    <n v="0"/>
    <n v="24"/>
    <n v="6"/>
    <n v="2"/>
    <n v="2"/>
    <n v="4109"/>
    <n v="0"/>
    <n v="4109"/>
    <n v="0.94899999999999995"/>
    <n v="8642"/>
    <n v="77"/>
    <n v="0.48099999999999998"/>
    <n v="0"/>
    <n v="0.98958000000000002"/>
    <n v="1.042E-2"/>
    <s v="23.512544937657005"/>
    <s v="53.54203708738867"/>
    <s v="71.80321241755951"/>
    <s v="26.934652241646017"/>
    <n v="800758233"/>
    <x v="1"/>
    <n v="0.99526150000000002"/>
    <x v="1"/>
  </r>
  <r>
    <n v="40"/>
    <n v="1"/>
    <n v="5"/>
    <n v="3"/>
    <n v="1"/>
    <n v="2"/>
    <n v="0"/>
    <n v="33"/>
    <n v="3"/>
    <n v="1"/>
    <n v="2"/>
    <n v="4155"/>
    <n v="1315"/>
    <n v="2840"/>
    <n v="0.76700000000000002"/>
    <n v="15851"/>
    <n v="128"/>
    <n v="0.85499999999999998"/>
    <n v="0.316"/>
    <s v="5.5277e-05"/>
    <n v="0.99994000000000005"/>
    <s v="9.960901920266712"/>
    <s v="28.322078119396068"/>
    <s v="11.372971791605709"/>
    <s v="8.169799918195917"/>
    <n v="713994108"/>
    <x v="0"/>
    <n v="3.4656386999999997E-4"/>
    <x v="0"/>
  </r>
  <r>
    <n v="55"/>
    <n v="1"/>
    <n v="3"/>
    <n v="0"/>
    <n v="2"/>
    <n v="0"/>
    <n v="0"/>
    <n v="36"/>
    <n v="5"/>
    <n v="3"/>
    <n v="3"/>
    <n v="12948"/>
    <n v="1839"/>
    <n v="11109"/>
    <n v="1.113"/>
    <n v="2481"/>
    <n v="42"/>
    <n v="0.68"/>
    <n v="0.14199999999999999"/>
    <n v="3.0519E-4"/>
    <n v="0.99968999999999997"/>
    <s v="16.313665352458052"/>
    <s v="67.32201015674015"/>
    <s v="79.02741299208893"/>
    <s v="5.855361946536991"/>
    <n v="711455133"/>
    <x v="0"/>
    <n v="1.0976592E-3"/>
    <x v="0"/>
  </r>
  <r>
    <n v="35"/>
    <n v="0"/>
    <n v="1"/>
    <n v="0"/>
    <n v="2"/>
    <n v="4"/>
    <n v="0"/>
    <n v="25"/>
    <n v="2"/>
    <n v="2"/>
    <n v="4"/>
    <n v="2231"/>
    <n v="1791"/>
    <n v="440"/>
    <n v="0.82"/>
    <n v="2576"/>
    <n v="42"/>
    <n v="0.75"/>
    <n v="0.80300000000000005"/>
    <n v="0.99665999999999999"/>
    <n v="3.3433299999999998E-3"/>
    <s v="20.863293514195583"/>
    <s v="43.93196451406381"/>
    <s v="30.16210939960119"/>
    <s v="12.994411644906055"/>
    <n v="720444408"/>
    <x v="1"/>
    <n v="0.99455910000000003"/>
    <x v="1"/>
  </r>
  <r>
    <n v="49"/>
    <n v="0"/>
    <n v="4"/>
    <n v="6"/>
    <n v="1"/>
    <n v="4"/>
    <n v="0"/>
    <n v="33"/>
    <n v="3"/>
    <n v="2"/>
    <n v="1"/>
    <n v="2393"/>
    <n v="1667"/>
    <n v="726"/>
    <n v="0.97399999999999998"/>
    <n v="3768"/>
    <n v="79"/>
    <n v="0.68100000000000005"/>
    <n v="0.69699999999999995"/>
    <s v="7.9128e-05"/>
    <n v="0.99992000000000003"/>
    <s v="10.927440908920373"/>
    <s v="20.338123134079343"/>
    <s v="59.52042544738617"/>
    <s v="4.327188370548557"/>
    <n v="709455108"/>
    <x v="0"/>
    <n v="3.221314E-4"/>
    <x v="0"/>
  </r>
  <r>
    <n v="30"/>
    <n v="1"/>
    <n v="0"/>
    <n v="2"/>
    <n v="1"/>
    <n v="1"/>
    <n v="0"/>
    <n v="23"/>
    <n v="6"/>
    <n v="2"/>
    <n v="4"/>
    <n v="4063"/>
    <n v="0"/>
    <n v="4063"/>
    <n v="0.77600000000000002"/>
    <n v="7463"/>
    <n v="70"/>
    <n v="0.70699999999999996"/>
    <n v="0"/>
    <n v="0.99644999999999995"/>
    <n v="3.5547E-3"/>
    <s v="25.73404794302607"/>
    <s v="3.3604165037978637"/>
    <s v="31.025319400813384"/>
    <s v="6.894997162432239"/>
    <n v="773172483"/>
    <x v="1"/>
    <n v="0.99370840000000005"/>
    <x v="1"/>
  </r>
  <r>
    <n v="40"/>
    <n v="0"/>
    <n v="5"/>
    <n v="0"/>
    <n v="1"/>
    <n v="1"/>
    <n v="0"/>
    <n v="36"/>
    <n v="2"/>
    <n v="3"/>
    <n v="2"/>
    <n v="3144"/>
    <n v="1787"/>
    <n v="1357"/>
    <n v="0.68500000000000005"/>
    <n v="4758"/>
    <n v="67"/>
    <n v="0.55800000000000005"/>
    <n v="0.56799999999999995"/>
    <n v="1.8054E-4"/>
    <n v="0.99982000000000004"/>
    <s v="6.793875530703358"/>
    <s v="14.14891383209448"/>
    <s v="23.409859102247008"/>
    <n v="14.252191035524"/>
    <n v="714080433"/>
    <x v="0"/>
    <n v="3.2914013999999999E-4"/>
    <x v="0"/>
  </r>
  <r>
    <n v="39"/>
    <n v="1"/>
    <n v="1"/>
    <n v="2"/>
    <n v="2"/>
    <n v="0"/>
    <n v="0"/>
    <n v="24"/>
    <n v="6"/>
    <n v="2"/>
    <n v="4"/>
    <n v="10074"/>
    <n v="2517"/>
    <n v="7557"/>
    <n v="0.77"/>
    <n v="1729"/>
    <n v="52"/>
    <n v="0.92600000000000005"/>
    <n v="0.25"/>
    <n v="3.0653000000000001E-4"/>
    <n v="0.99968999999999997"/>
    <s v="28.330986749130226"/>
    <s v="5.939528285497832"/>
    <s v="60.68847120739759"/>
    <s v="6.202846190242549"/>
    <n v="714661233"/>
    <x v="0"/>
    <n v="7.451294E-4"/>
    <x v="0"/>
  </r>
  <r>
    <n v="31"/>
    <n v="0"/>
    <n v="0"/>
    <n v="5"/>
    <n v="0"/>
    <n v="4"/>
    <n v="0"/>
    <n v="22"/>
    <n v="2"/>
    <n v="1"/>
    <n v="3"/>
    <n v="3329"/>
    <n v="0"/>
    <n v="3329"/>
    <n v="0.64100000000000001"/>
    <n v="13109"/>
    <n v="114"/>
    <n v="0.72699999999999998"/>
    <n v="0"/>
    <s v="8.1736e-05"/>
    <n v="0.99992000000000003"/>
    <s v="23.95721837847459"/>
    <s v="18.258811126807185"/>
    <n v="39.5870489999756"/>
    <s v="19.880060422491667"/>
    <n v="719722308"/>
    <x v="0"/>
    <n v="7.5047980000000002E-4"/>
    <x v="0"/>
  </r>
  <r>
    <n v="42"/>
    <n v="0"/>
    <n v="2"/>
    <n v="6"/>
    <n v="3"/>
    <n v="4"/>
    <n v="0"/>
    <n v="23"/>
    <n v="6"/>
    <n v="3"/>
    <n v="1"/>
    <n v="2483"/>
    <n v="1297"/>
    <n v="1186"/>
    <n v="0.74399999999999999"/>
    <n v="3478"/>
    <n v="64"/>
    <n v="0.93899999999999995"/>
    <n v="0.52200000000000002"/>
    <n v="1.1924E-4"/>
    <n v="0.99987999999999999"/>
    <s v="6.973823806700236"/>
    <n v="81.719711608812901"/>
    <s v="55.12267523742405"/>
    <s v="0.9756719140374148"/>
    <n v="779090883"/>
    <x v="0"/>
    <n v="3.3750320000000002E-4"/>
    <x v="0"/>
  </r>
  <r>
    <n v="56"/>
    <n v="0"/>
    <n v="4"/>
    <n v="5"/>
    <n v="1"/>
    <n v="4"/>
    <n v="0"/>
    <n v="36"/>
    <n v="4"/>
    <n v="1"/>
    <n v="5"/>
    <n v="3652"/>
    <n v="1351"/>
    <n v="2301"/>
    <n v="0.83599999999999997"/>
    <n v="1561"/>
    <n v="39"/>
    <n v="0.625"/>
    <n v="0.37"/>
    <n v="2.9486999999999997E-4"/>
    <n v="0.99970999999999999"/>
    <s v="12.556700019057423"/>
    <s v="5.930313577066554"/>
    <s v="55.29716749014269"/>
    <n v="2.76319176129484"/>
    <n v="719889408"/>
    <x v="0"/>
    <n v="1.0598798E-3"/>
    <x v="0"/>
  </r>
  <r>
    <n v="43"/>
    <n v="1"/>
    <n v="3"/>
    <n v="4"/>
    <n v="2"/>
    <n v="1"/>
    <n v="0"/>
    <n v="32"/>
    <n v="3"/>
    <n v="3"/>
    <n v="2"/>
    <n v="2142"/>
    <n v="1369"/>
    <n v="773"/>
    <n v="0.66600000000000004"/>
    <n v="4424"/>
    <n v="88"/>
    <n v="0.66"/>
    <n v="0.63900000000000001"/>
    <n v="2.1961999999999999E-4"/>
    <n v="0.99978"/>
    <s v="6.232694574012511"/>
    <s v="29.645754218436803"/>
    <s v="46.32961647815365"/>
    <s v="33.773092909330046"/>
    <n v="713709258"/>
    <x v="0"/>
    <n v="3.2101269999999999E-4"/>
    <x v="0"/>
  </r>
  <r>
    <n v="51"/>
    <n v="0"/>
    <n v="1"/>
    <n v="2"/>
    <n v="2"/>
    <n v="4"/>
    <n v="0"/>
    <n v="37"/>
    <n v="1"/>
    <n v="3"/>
    <n v="4"/>
    <n v="7176"/>
    <n v="0"/>
    <n v="7176"/>
    <n v="0.45"/>
    <n v="1375"/>
    <n v="33"/>
    <n v="0.65"/>
    <n v="0"/>
    <n v="0.99794000000000005"/>
    <n v="2.05937E-3"/>
    <s v="67.44107248837805"/>
    <s v="27.840276096732715"/>
    <s v="18.28997436838094"/>
    <s v="17.185285192361476"/>
    <n v="720725058"/>
    <x v="1"/>
    <n v="0.99795246000000004"/>
    <x v="1"/>
  </r>
  <r>
    <n v="65"/>
    <n v="0"/>
    <n v="0"/>
    <n v="2"/>
    <n v="0"/>
    <n v="4"/>
    <n v="0"/>
    <n v="56"/>
    <n v="3"/>
    <n v="6"/>
    <n v="3"/>
    <n v="6184"/>
    <n v="0"/>
    <n v="6184"/>
    <n v="1.016"/>
    <n v="1712"/>
    <n v="27"/>
    <n v="0.28599999999999998"/>
    <n v="0"/>
    <n v="0.99514999999999998"/>
    <n v="4.8549300000000004E-3"/>
    <s v="5.297332445184006"/>
    <s v="5.946398682496095"/>
    <s v="53.20049399268939"/>
    <s v="4.615522107053806"/>
    <n v="816013383"/>
    <x v="1"/>
    <n v="0.99860470000000001"/>
    <x v="1"/>
  </r>
  <r>
    <n v="59"/>
    <n v="1"/>
    <n v="0"/>
    <n v="6"/>
    <n v="1"/>
    <n v="2"/>
    <n v="0"/>
    <n v="36"/>
    <n v="6"/>
    <n v="4"/>
    <n v="5"/>
    <n v="4230"/>
    <n v="1366"/>
    <n v="2864"/>
    <n v="0.63"/>
    <n v="1480"/>
    <n v="35"/>
    <n v="0.45800000000000002"/>
    <n v="0.32300000000000001"/>
    <n v="1.0173999999999999E-3"/>
    <n v="0.99897999999999998"/>
    <s v="18.56637049307865"/>
    <s v="22.976424424774898"/>
    <s v="44.99156443959817"/>
    <s v="22.28903942635728"/>
    <n v="716029158"/>
    <x v="0"/>
    <n v="8.7385820000000003E-2"/>
    <x v="0"/>
  </r>
  <r>
    <n v="52"/>
    <n v="0"/>
    <n v="0"/>
    <n v="4"/>
    <n v="2"/>
    <n v="4"/>
    <n v="0"/>
    <n v="40"/>
    <n v="4"/>
    <n v="3"/>
    <n v="2"/>
    <n v="1438.3"/>
    <n v="797"/>
    <n v="641.29999999999995"/>
    <n v="0.87"/>
    <n v="4673"/>
    <n v="69"/>
    <n v="0.56799999999999995"/>
    <n v="0.55400000000000005"/>
    <n v="1.8162000000000001E-4"/>
    <n v="0.99982000000000004"/>
    <s v="12.09231080669685"/>
    <s v="2.516917712134004"/>
    <s v="43.60503050384556"/>
    <s v="6.640483563329047"/>
    <n v="719054733"/>
    <x v="0"/>
    <n v="5.3897389999999997E-4"/>
    <x v="0"/>
  </r>
  <r>
    <n v="41"/>
    <n v="1"/>
    <n v="3"/>
    <n v="6"/>
    <n v="1"/>
    <n v="2"/>
    <n v="0"/>
    <n v="30"/>
    <n v="3"/>
    <n v="1"/>
    <n v="1"/>
    <n v="2888"/>
    <n v="1676"/>
    <n v="1212"/>
    <n v="0.53400000000000003"/>
    <n v="3798"/>
    <n v="58"/>
    <n v="0.81200000000000006"/>
    <n v="0.57999999999999996"/>
    <s v="3.7884e-05"/>
    <n v="0.99995999999999996"/>
    <s v="0.7405222758578294"/>
    <s v="54.585130557816406"/>
    <s v="59.38534526589054"/>
    <s v="4.9462470827986085"/>
    <n v="780686358"/>
    <x v="0"/>
    <n v="3.9187474999999999E-4"/>
    <x v="0"/>
  </r>
  <r>
    <n v="53"/>
    <n v="1"/>
    <n v="3"/>
    <n v="1"/>
    <n v="2"/>
    <n v="0"/>
    <n v="0"/>
    <n v="36"/>
    <n v="3"/>
    <n v="1"/>
    <n v="0"/>
    <n v="30883"/>
    <n v="1694"/>
    <n v="29189"/>
    <n v="0.86"/>
    <n v="1267"/>
    <n v="23"/>
    <n v="0.53300000000000003"/>
    <n v="5.5E-2"/>
    <s v="3.0508e-05"/>
    <n v="0.99997000000000003"/>
    <s v="18.68866591096448"/>
    <n v="7.7706498353902704"/>
    <s v="59.62874197100419"/>
    <s v="14.92252570226739"/>
    <n v="710722908"/>
    <x v="0"/>
    <n v="1.3217315E-3"/>
    <x v="0"/>
  </r>
  <r>
    <n v="56"/>
    <n v="0"/>
    <n v="2"/>
    <n v="6"/>
    <n v="1"/>
    <n v="5"/>
    <n v="0"/>
    <n v="45"/>
    <n v="4"/>
    <n v="3"/>
    <n v="0"/>
    <n v="5406"/>
    <n v="1782"/>
    <n v="3624"/>
    <n v="0.97599999999999998"/>
    <n v="1407"/>
    <n v="29"/>
    <n v="0.81200000000000006"/>
    <n v="0.33"/>
    <s v="7.2936e-05"/>
    <n v="0.99992999999999999"/>
    <n v="42.3659700854706"/>
    <s v="17.34556430444254"/>
    <s v="27.013803396823604"/>
    <s v="0.6971319967173265"/>
    <n v="711173058"/>
    <x v="0"/>
    <n v="9.8706899999999992E-4"/>
    <x v="0"/>
  </r>
  <r>
    <n v="51"/>
    <n v="1"/>
    <n v="2"/>
    <n v="3"/>
    <n v="1"/>
    <n v="2"/>
    <n v="0"/>
    <n v="46"/>
    <n v="5"/>
    <n v="3"/>
    <n v="2"/>
    <n v="4123"/>
    <n v="1760"/>
    <n v="2363"/>
    <n v="0.86899999999999999"/>
    <n v="2447"/>
    <n v="40"/>
    <n v="0.42899999999999999"/>
    <n v="0.42699999999999999"/>
    <n v="0.99431000000000003"/>
    <n v="5.6899999999999997E-3"/>
    <s v="14.17370485146549"/>
    <s v="95.08458545539172"/>
    <s v="46.89163306321109"/>
    <s v="12.332634601244516"/>
    <n v="810974958"/>
    <x v="1"/>
    <n v="0.99573140000000004"/>
    <x v="1"/>
  </r>
  <r>
    <n v="52"/>
    <n v="1"/>
    <n v="2"/>
    <n v="3"/>
    <n v="2"/>
    <n v="2"/>
    <n v="0"/>
    <n v="45"/>
    <n v="5"/>
    <n v="3"/>
    <n v="2"/>
    <n v="7567"/>
    <n v="1173"/>
    <n v="6394"/>
    <n v="0.54100000000000004"/>
    <n v="1435"/>
    <n v="32"/>
    <n v="0.6"/>
    <n v="0.155"/>
    <n v="1.7485999999999999E-4"/>
    <n v="0.99983"/>
    <s v="19.74309417074636"/>
    <s v="7.761163598039775"/>
    <s v="19.25702692550072"/>
    <s v="16.35993380343274"/>
    <n v="713773458"/>
    <x v="0"/>
    <n v="1.0598798E-3"/>
    <x v="0"/>
  </r>
  <r>
    <n v="55"/>
    <n v="0"/>
    <n v="0"/>
    <n v="5"/>
    <n v="1"/>
    <n v="4"/>
    <n v="0"/>
    <n v="51"/>
    <n v="4"/>
    <n v="3"/>
    <n v="1"/>
    <n v="2041"/>
    <n v="1885"/>
    <n v="156"/>
    <n v="0.58699999999999997"/>
    <n v="2118"/>
    <n v="48"/>
    <n v="0.77800000000000002"/>
    <n v="0.92400000000000004"/>
    <s v="9.5711e-05"/>
    <n v="0.99990000000000001"/>
    <s v="9.545900351390422"/>
    <n v="6.9307383688688704"/>
    <n v="88.808932428286596"/>
    <s v="10.539454761852165"/>
    <n v="825756333"/>
    <x v="0"/>
    <n v="1.294005E-3"/>
    <x v="0"/>
  </r>
  <r>
    <n v="45"/>
    <n v="1"/>
    <n v="1"/>
    <n v="2"/>
    <n v="2"/>
    <n v="1"/>
    <n v="0"/>
    <n v="36"/>
    <n v="4"/>
    <n v="4"/>
    <n v="3"/>
    <n v="6576"/>
    <n v="0"/>
    <n v="6576"/>
    <n v="0.57899999999999996"/>
    <n v="1465"/>
    <n v="34"/>
    <n v="0.61899999999999999"/>
    <n v="0"/>
    <n v="3.4315000000000002E-4"/>
    <n v="0.99965999999999999"/>
    <s v="9.355613604851438"/>
    <s v="12.761071627956998"/>
    <s v="88.35465274498674"/>
    <s v="26.05363886448496"/>
    <n v="714107958"/>
    <x v="0"/>
    <n v="3.7827827E-3"/>
    <x v="0"/>
  </r>
  <r>
    <n v="48"/>
    <n v="0"/>
    <n v="4"/>
    <n v="2"/>
    <n v="1"/>
    <n v="4"/>
    <n v="0"/>
    <n v="41"/>
    <n v="3"/>
    <n v="1"/>
    <n v="3"/>
    <n v="3521"/>
    <n v="672"/>
    <n v="2849"/>
    <n v="0.65500000000000003"/>
    <n v="3291"/>
    <n v="65"/>
    <n v="0.75700000000000001"/>
    <n v="0.191"/>
    <s v="9.7154e-05"/>
    <n v="0.99990000000000001"/>
    <s v="19.03836526407433"/>
    <s v="8.034447595340179"/>
    <s v="25.13356474235214"/>
    <s v="32.756374452192055"/>
    <n v="736552308"/>
    <x v="0"/>
    <n v="5.5828195999999995E-4"/>
    <x v="0"/>
  </r>
  <r>
    <n v="57"/>
    <n v="1"/>
    <n v="2"/>
    <n v="3"/>
    <n v="2"/>
    <n v="2"/>
    <n v="0"/>
    <n v="36"/>
    <n v="2"/>
    <n v="3"/>
    <n v="3"/>
    <n v="6024"/>
    <n v="1532"/>
    <n v="4492"/>
    <n v="0.86699999999999999"/>
    <n v="15763"/>
    <n v="97"/>
    <n v="0.83"/>
    <n v="0.254"/>
    <n v="2.9408E-4"/>
    <n v="0.99970999999999999"/>
    <s v="18.425466783887583"/>
    <s v="30.872383336091808"/>
    <n v="76.872262723780196"/>
    <n v="26.828244470579499"/>
    <n v="720011958"/>
    <x v="0"/>
    <n v="3.4656386999999997E-4"/>
    <x v="0"/>
  </r>
  <r>
    <n v="31"/>
    <n v="1"/>
    <n v="1"/>
    <n v="6"/>
    <n v="1"/>
    <n v="1"/>
    <n v="0"/>
    <n v="36"/>
    <n v="1"/>
    <n v="3"/>
    <n v="3"/>
    <n v="5590"/>
    <n v="875"/>
    <n v="4715"/>
    <n v="0.86"/>
    <n v="14643"/>
    <n v="127"/>
    <n v="0.76400000000000001"/>
    <n v="0.157"/>
    <n v="3.1210999999999999E-4"/>
    <n v="0.99968999999999997"/>
    <s v="36.08110366200167"/>
    <s v="14.004172284236091"/>
    <s v="23.45667196002864"/>
    <s v="20.19806660358113"/>
    <n v="718288833"/>
    <x v="0"/>
    <n v="4.5518312000000002E-4"/>
    <x v="0"/>
  </r>
  <r>
    <n v="44"/>
    <n v="0"/>
    <n v="3"/>
    <n v="2"/>
    <n v="0"/>
    <n v="1"/>
    <n v="0"/>
    <n v="38"/>
    <n v="3"/>
    <n v="2"/>
    <n v="2"/>
    <n v="4269"/>
    <n v="1852"/>
    <n v="2417"/>
    <n v="0.68200000000000005"/>
    <n v="4178"/>
    <n v="75"/>
    <n v="0.63"/>
    <n v="0.434"/>
    <n v="1.1811000000000001E-4"/>
    <n v="0.99987999999999999"/>
    <n v="8.1609836713044395"/>
    <s v="1.1782716630595682"/>
    <s v="28.521889365383853"/>
    <s v="15.426011370024291"/>
    <n v="792300858"/>
    <x v="0"/>
    <n v="3.2914013999999999E-4"/>
    <x v="0"/>
  </r>
  <r>
    <n v="51"/>
    <n v="0"/>
    <n v="3"/>
    <n v="5"/>
    <n v="1"/>
    <n v="5"/>
    <n v="0"/>
    <n v="36"/>
    <n v="3"/>
    <n v="3"/>
    <n v="2"/>
    <n v="3664"/>
    <n v="0"/>
    <n v="3664"/>
    <n v="0.83899999999999997"/>
    <n v="1168"/>
    <n v="31"/>
    <n v="0.40899999999999997"/>
    <n v="0"/>
    <n v="0.99482000000000004"/>
    <n v="5.1799999999999997E-3"/>
    <n v="36.161695903367203"/>
    <s v="46.513582689354216"/>
    <s v="9.369582094668871"/>
    <s v="3.2867044572088253"/>
    <n v="710406633"/>
    <x v="1"/>
    <n v="0.99860470000000001"/>
    <x v="1"/>
  </r>
  <r>
    <n v="51"/>
    <n v="1"/>
    <n v="4"/>
    <n v="3"/>
    <n v="1"/>
    <n v="3"/>
    <n v="0"/>
    <n v="42"/>
    <n v="6"/>
    <n v="1"/>
    <n v="2"/>
    <n v="14438"/>
    <n v="2517"/>
    <n v="11921"/>
    <n v="0.85299999999999998"/>
    <n v="2090"/>
    <n v="47"/>
    <n v="0.88"/>
    <n v="0.17399999999999999"/>
    <s v="5.6153e-05"/>
    <n v="0.99994000000000005"/>
    <s v="16.27850836442021"/>
    <s v="19.000009471967715"/>
    <s v="45.13019442171549"/>
    <s v="18.68709899034044"/>
    <n v="716584158"/>
    <x v="0"/>
    <n v="1.2836923E-3"/>
    <x v="0"/>
  </r>
  <r>
    <n v="46"/>
    <n v="1"/>
    <n v="2"/>
    <n v="3"/>
    <n v="1"/>
    <n v="3"/>
    <n v="0"/>
    <n v="30"/>
    <n v="6"/>
    <n v="3"/>
    <n v="1"/>
    <n v="11670"/>
    <n v="915"/>
    <n v="10755"/>
    <n v="0.89200000000000002"/>
    <n v="4277"/>
    <n v="89"/>
    <n v="0.85399999999999998"/>
    <n v="7.8E-2"/>
    <n v="1.0545E-4"/>
    <n v="0.99988999999999995"/>
    <s v="12.877869778509083"/>
    <s v="27.05038953072972"/>
    <s v="62.693176200771376"/>
    <s v="8.796958214745597"/>
    <n v="771338658"/>
    <x v="0"/>
    <n v="4.5490721999999999E-4"/>
    <x v="0"/>
  </r>
  <r>
    <n v="39"/>
    <n v="1"/>
    <n v="1"/>
    <n v="6"/>
    <n v="2"/>
    <n v="3"/>
    <n v="0"/>
    <n v="36"/>
    <n v="5"/>
    <n v="3"/>
    <n v="3"/>
    <n v="25008"/>
    <n v="876"/>
    <n v="24132"/>
    <n v="0.85899999999999999"/>
    <n v="1753"/>
    <n v="43"/>
    <n v="1.048"/>
    <n v="3.5000000000000003E-2"/>
    <n v="3.1210999999999999E-4"/>
    <n v="0.99968999999999997"/>
    <s v="6.320028875441038"/>
    <s v="10.688964521908808"/>
    <s v="17.80029748675081"/>
    <s v="17.02078281234244"/>
    <n v="712887633"/>
    <x v="0"/>
    <n v="1.4898337000000001E-3"/>
    <x v="0"/>
  </r>
  <r>
    <n v="43"/>
    <n v="0"/>
    <n v="2"/>
    <n v="0"/>
    <n v="1"/>
    <n v="5"/>
    <n v="0"/>
    <n v="36"/>
    <n v="1"/>
    <n v="2"/>
    <n v="6"/>
    <n v="3793"/>
    <n v="2517"/>
    <n v="1276"/>
    <n v="0.51200000000000001"/>
    <n v="2577"/>
    <n v="57"/>
    <n v="0.629"/>
    <n v="0.66400000000000003"/>
    <n v="0.99895999999999996"/>
    <n v="1.0355099999999999E-3"/>
    <s v="0.6170042573232759"/>
    <s v="16.40047564719929"/>
    <s v="29.72096782647452"/>
    <s v="16.963254676646457"/>
    <n v="712662783"/>
    <x v="1"/>
    <n v="0.98581759999999996"/>
    <x v="1"/>
  </r>
  <r>
    <n v="53"/>
    <n v="0"/>
    <n v="2"/>
    <n v="5"/>
    <n v="2"/>
    <n v="5"/>
    <n v="0"/>
    <n v="36"/>
    <n v="5"/>
    <n v="2"/>
    <n v="3"/>
    <n v="9314"/>
    <n v="1761"/>
    <n v="7553"/>
    <n v="0.56200000000000006"/>
    <n v="3696"/>
    <n v="80"/>
    <n v="0.77800000000000002"/>
    <n v="0.189"/>
    <n v="1.9683E-4"/>
    <n v="0.99980000000000002"/>
    <n v="8.3495564321542703E-2"/>
    <s v="63.60740953421741"/>
    <s v="28.48079614894113"/>
    <s v="18.22355325322247"/>
    <n v="713647083"/>
    <x v="0"/>
    <n v="3.2101269999999999E-4"/>
    <x v="0"/>
  </r>
  <r>
    <n v="29"/>
    <n v="0"/>
    <n v="1"/>
    <n v="2"/>
    <n v="2"/>
    <n v="5"/>
    <n v="0"/>
    <n v="36"/>
    <n v="5"/>
    <n v="2"/>
    <n v="3"/>
    <n v="13613"/>
    <n v="1172"/>
    <n v="12441"/>
    <n v="0.65700000000000003"/>
    <n v="4253"/>
    <n v="84"/>
    <n v="0.75"/>
    <n v="8.5999999999999993E-2"/>
    <n v="1.7969000000000001E-4"/>
    <n v="0.99982000000000004"/>
    <s v="20.12499225667972"/>
    <s v="17.939836179442995"/>
    <s v="17.67219255478998"/>
    <n v="15.5160333184719"/>
    <n v="717091533"/>
    <x v="0"/>
    <n v="3.3022385E-4"/>
    <x v="0"/>
  </r>
  <r>
    <n v="58"/>
    <n v="1"/>
    <n v="0"/>
    <n v="6"/>
    <n v="2"/>
    <n v="1"/>
    <n v="0"/>
    <n v="45"/>
    <n v="3"/>
    <n v="1"/>
    <n v="3"/>
    <n v="3421"/>
    <n v="2517"/>
    <n v="904"/>
    <n v="0.99199999999999999"/>
    <n v="992"/>
    <n v="21"/>
    <n v="0.4"/>
    <n v="0.73599999999999999"/>
    <n v="0.98868999999999996"/>
    <n v="1.1310000000000001E-2"/>
    <s v="13.29594103133376"/>
    <s v="12.73356702886487"/>
    <s v="73.11199988754065"/>
    <s v="13.51518328917954"/>
    <n v="708083283"/>
    <x v="1"/>
    <n v="0.99532556999999999"/>
    <x v="1"/>
  </r>
  <r>
    <n v="39"/>
    <n v="0"/>
    <n v="2"/>
    <n v="2"/>
    <n v="1"/>
    <n v="1"/>
    <n v="0"/>
    <n v="36"/>
    <n v="4"/>
    <n v="2"/>
    <n v="4"/>
    <n v="1947"/>
    <n v="1160"/>
    <n v="787"/>
    <n v="1.2270000000000001"/>
    <n v="4496"/>
    <n v="71"/>
    <n v="1.29"/>
    <n v="0.59599999999999997"/>
    <n v="3.2655999999999999E-4"/>
    <n v="0.99966999999999995"/>
    <s v="80.45848328851187"/>
    <s v="40.26932541510785"/>
    <s v="120.16059269956948"/>
    <s v="2.7481108595204025"/>
    <n v="712294983"/>
    <x v="0"/>
    <n v="3.221314E-4"/>
    <x v="0"/>
  </r>
  <r>
    <n v="47"/>
    <n v="1"/>
    <n v="3"/>
    <n v="3"/>
    <n v="2"/>
    <n v="3"/>
    <n v="0"/>
    <n v="42"/>
    <n v="4"/>
    <n v="1"/>
    <n v="0"/>
    <n v="24480"/>
    <n v="1923"/>
    <n v="22557"/>
    <n v="0.505"/>
    <n v="1416"/>
    <n v="32"/>
    <n v="0.77800000000000002"/>
    <n v="7.9000000000000001E-2"/>
    <s v="2.0494e-05"/>
    <n v="0.99997999999999998"/>
    <s v="47.73849343405057"/>
    <s v="30.99693575741325"/>
    <s v="23.96956253472008"/>
    <s v="12.868463662912498"/>
    <n v="711374283"/>
    <x v="0"/>
    <n v="1.0911548000000001E-3"/>
    <x v="0"/>
  </r>
  <r>
    <n v="35"/>
    <n v="0"/>
    <n v="3"/>
    <n v="1"/>
    <n v="2"/>
    <n v="5"/>
    <n v="0"/>
    <n v="24"/>
    <n v="1"/>
    <n v="1"/>
    <n v="3"/>
    <n v="12287"/>
    <n v="770"/>
    <n v="11517"/>
    <n v="0.61199999999999999"/>
    <n v="4601"/>
    <n v="65"/>
    <n v="0.75700000000000001"/>
    <n v="6.3E-2"/>
    <n v="1.3909999999999999E-4"/>
    <n v="0.99985999999999997"/>
    <s v="68.85426240464653"/>
    <s v="5.575481861759738"/>
    <s v="39.69374708120609"/>
    <n v="0.43312066566678298"/>
    <n v="789296133"/>
    <x v="0"/>
    <n v="5.9944874000000001E-4"/>
    <x v="0"/>
  </r>
  <r>
    <n v="63"/>
    <n v="1"/>
    <n v="1"/>
    <n v="6"/>
    <n v="2"/>
    <n v="2"/>
    <n v="3"/>
    <n v="53"/>
    <n v="5"/>
    <n v="4"/>
    <n v="4"/>
    <n v="25502"/>
    <n v="1450"/>
    <n v="24052"/>
    <n v="0.79700000000000004"/>
    <n v="4323"/>
    <n v="81"/>
    <n v="0.68799999999999994"/>
    <n v="5.7000000000000002E-2"/>
    <n v="5.8131999999999997E-4"/>
    <n v="0.99941999999999998"/>
    <s v="24.46987446011122"/>
    <s v="61.69855712883672"/>
    <s v="51.255778433839616"/>
    <s v="14.940534206653048"/>
    <n v="778242708"/>
    <x v="0"/>
    <n v="3.5729867999999997E-4"/>
    <x v="0"/>
  </r>
  <r>
    <n v="48"/>
    <n v="0"/>
    <n v="3"/>
    <n v="2"/>
    <n v="2"/>
    <n v="5"/>
    <n v="0"/>
    <n v="36"/>
    <n v="3"/>
    <n v="3"/>
    <n v="1"/>
    <n v="1630"/>
    <n v="1243"/>
    <n v="387"/>
    <n v="0.4"/>
    <n v="1884"/>
    <n v="43"/>
    <n v="0.30299999999999999"/>
    <n v="0.76300000000000001"/>
    <n v="0.99119999999999997"/>
    <n v="8.8000000000000005E-3"/>
    <s v="21.94590507868706"/>
    <s v="31.95678920043256"/>
    <s v="36.84608535226287"/>
    <s v="6.7561742764923824"/>
    <n v="720784833"/>
    <x v="1"/>
    <n v="0.99517330000000004"/>
    <x v="1"/>
  </r>
  <r>
    <n v="58"/>
    <n v="0"/>
    <n v="2"/>
    <n v="5"/>
    <n v="2"/>
    <n v="5"/>
    <n v="0"/>
    <n v="44"/>
    <n v="1"/>
    <n v="2"/>
    <n v="2"/>
    <n v="2599"/>
    <n v="1407"/>
    <n v="1192"/>
    <n v="0.72699999999999998"/>
    <n v="8061"/>
    <n v="98"/>
    <n v="0.53100000000000003"/>
    <n v="0.54100000000000004"/>
    <n v="1.1703E-4"/>
    <n v="0.99987999999999999"/>
    <s v="14.559897817127602"/>
    <s v="89.65767150390903"/>
    <s v="24.887023598464975"/>
    <s v="7.792066768617217"/>
    <n v="713090658"/>
    <x v="0"/>
    <n v="3.7789578000000003E-4"/>
    <x v="0"/>
  </r>
  <r>
    <n v="47"/>
    <n v="1"/>
    <n v="5"/>
    <n v="3"/>
    <n v="2"/>
    <n v="3"/>
    <n v="0"/>
    <n v="37"/>
    <n v="3"/>
    <n v="4"/>
    <n v="4"/>
    <n v="18800"/>
    <n v="2517"/>
    <n v="16283"/>
    <n v="0.48199999999999998"/>
    <n v="1575"/>
    <n v="23"/>
    <n v="0.21099999999999999"/>
    <n v="0.13400000000000001"/>
    <n v="0.99841000000000002"/>
    <n v="1.59436E-3"/>
    <s v="3.437224822911488"/>
    <s v="34.51983374739269"/>
    <s v="6.742277804236521"/>
    <n v="8.0611700996298392"/>
    <n v="772695033"/>
    <x v="1"/>
    <n v="0.99352680000000004"/>
    <x v="1"/>
  </r>
  <r>
    <n v="54"/>
    <n v="1"/>
    <n v="4"/>
    <n v="2"/>
    <n v="1"/>
    <n v="0"/>
    <n v="0"/>
    <n v="50"/>
    <n v="4"/>
    <n v="2"/>
    <n v="0"/>
    <n v="2872"/>
    <n v="2035"/>
    <n v="837"/>
    <n v="0.61299999999999999"/>
    <n v="1770"/>
    <n v="47"/>
    <n v="0.74099999999999999"/>
    <n v="0.70899999999999996"/>
    <s v="4.4033e-05"/>
    <n v="0.99995999999999996"/>
    <s v="0.8457207054333482"/>
    <s v="10.92041018785597"/>
    <s v="128.8900751334463"/>
    <s v="11.88982886635004"/>
    <n v="828298908"/>
    <x v="0"/>
    <n v="1.0337284E-3"/>
    <x v="0"/>
  </r>
  <r>
    <n v="46"/>
    <n v="1"/>
    <n v="4"/>
    <n v="2"/>
    <n v="2"/>
    <n v="3"/>
    <n v="0"/>
    <n v="36"/>
    <n v="3"/>
    <n v="1"/>
    <n v="4"/>
    <n v="1818"/>
    <n v="0"/>
    <n v="1818"/>
    <n v="0.67200000000000004"/>
    <n v="2308"/>
    <n v="44"/>
    <n v="0.46700000000000003"/>
    <n v="0"/>
    <n v="0.99399999999999999"/>
    <n v="6.0000000000000001E-3"/>
    <s v="3.162972807523356"/>
    <s v="10.814637422741203"/>
    <s v="45.512981443496194"/>
    <s v="15.882245813743213"/>
    <n v="710654808"/>
    <x v="1"/>
    <n v="0.99841880000000005"/>
    <x v="1"/>
  </r>
  <r>
    <n v="51"/>
    <n v="1"/>
    <n v="3"/>
    <n v="6"/>
    <n v="2"/>
    <n v="3"/>
    <n v="0"/>
    <n v="36"/>
    <n v="4"/>
    <n v="1"/>
    <n v="2"/>
    <n v="5611"/>
    <n v="0"/>
    <n v="5611"/>
    <n v="0.69699999999999995"/>
    <n v="16557"/>
    <n v="120"/>
    <n v="0.622"/>
    <n v="0"/>
    <s v="6.282e-05"/>
    <n v="0.99994000000000005"/>
    <s v="11.24208336730085"/>
    <s v="29.67175131979559"/>
    <s v="83.40950069247536"/>
    <s v="0.3368821503254077"/>
    <n v="714710733"/>
    <x v="0"/>
    <n v="7.6947116999999995E-4"/>
    <x v="0"/>
  </r>
  <r>
    <n v="48"/>
    <n v="1"/>
    <n v="4"/>
    <n v="0"/>
    <n v="1"/>
    <n v="2"/>
    <n v="1"/>
    <n v="33"/>
    <n v="2"/>
    <n v="2"/>
    <n v="3"/>
    <n v="34516"/>
    <n v="2061"/>
    <n v="32455"/>
    <n v="0.72199999999999998"/>
    <n v="1350"/>
    <n v="32"/>
    <n v="0.45500000000000002"/>
    <n v="0.06"/>
    <n v="2.2488E-4"/>
    <n v="0.99978"/>
    <s v="73.27624908444007"/>
    <s v="14.060737182847769"/>
    <s v="158.50105260258917"/>
    <s v="5.8579243087443285"/>
    <n v="779749908"/>
    <x v="0"/>
    <n v="1.6436559E-3"/>
    <x v="0"/>
  </r>
  <r>
    <n v="43"/>
    <n v="0"/>
    <n v="4"/>
    <n v="2"/>
    <n v="2"/>
    <n v="1"/>
    <n v="0"/>
    <n v="23"/>
    <n v="2"/>
    <n v="1"/>
    <n v="1"/>
    <n v="1438.3"/>
    <n v="0"/>
    <n v="1438.3"/>
    <n v="0.72799999999999998"/>
    <n v="4494"/>
    <n v="82"/>
    <n v="0.70799999999999996"/>
    <n v="0"/>
    <s v="3.4833e-05"/>
    <n v="0.99997000000000003"/>
    <s v="13.564647799280657"/>
    <s v="112.79963602256969"/>
    <s v="117.34923017706532"/>
    <s v="9.017855906257626"/>
    <n v="717011958"/>
    <x v="0"/>
    <n v="6.9517245999999998E-4"/>
    <x v="0"/>
  </r>
  <r>
    <n v="40"/>
    <n v="0"/>
    <n v="4"/>
    <n v="3"/>
    <n v="2"/>
    <n v="4"/>
    <n v="0"/>
    <n v="36"/>
    <n v="5"/>
    <n v="5"/>
    <n v="3"/>
    <n v="2932"/>
    <n v="1664"/>
    <n v="1268"/>
    <n v="0.61199999999999999"/>
    <n v="4795"/>
    <n v="82"/>
    <n v="0.70799999999999996"/>
    <n v="0.56799999999999995"/>
    <n v="3.4446999999999999E-4"/>
    <n v="0.99965999999999999"/>
    <s v="15.865067727175774"/>
    <s v="18.292718519404488"/>
    <s v="96.47684511442432"/>
    <s v="12.54051256848767"/>
    <n v="825368658"/>
    <x v="0"/>
    <n v="3.2101269999999999E-4"/>
    <x v="0"/>
  </r>
  <r>
    <n v="50"/>
    <n v="1"/>
    <n v="2"/>
    <n v="3"/>
    <n v="2"/>
    <n v="2"/>
    <n v="0"/>
    <n v="40"/>
    <n v="4"/>
    <n v="3"/>
    <n v="3"/>
    <n v="17655"/>
    <n v="1720"/>
    <n v="15935"/>
    <n v="0.70599999999999996"/>
    <n v="16293"/>
    <n v="120"/>
    <n v="0.73899999999999999"/>
    <n v="9.7000000000000003E-2"/>
    <n v="2.9408E-4"/>
    <n v="0.99970999999999999"/>
    <s v="40.956475995926446"/>
    <s v="95.40395836055998"/>
    <s v="1.8008873430549177"/>
    <s v="9.872371090100472"/>
    <n v="772721208"/>
    <x v="0"/>
    <n v="3.4656386999999997E-4"/>
    <x v="0"/>
  </r>
  <r>
    <n v="55"/>
    <n v="1"/>
    <n v="2"/>
    <n v="0"/>
    <n v="1"/>
    <n v="3"/>
    <n v="0"/>
    <n v="45"/>
    <n v="5"/>
    <n v="1"/>
    <n v="2"/>
    <n v="2929"/>
    <n v="2431"/>
    <n v="498"/>
    <n v="1.6319999999999999"/>
    <n v="1903"/>
    <n v="39"/>
    <n v="0.625"/>
    <n v="0.83"/>
    <s v="5.3547e-05"/>
    <n v="0.99995000000000001"/>
    <s v="20.75983375075159"/>
    <s v="51.739399086770185"/>
    <s v="19.942864482888247"/>
    <s v="12.363511215425463"/>
    <n v="787800108"/>
    <x v="0"/>
    <n v="1.0297488999999999E-3"/>
    <x v="0"/>
  </r>
  <r>
    <n v="27"/>
    <n v="1"/>
    <n v="0"/>
    <n v="2"/>
    <n v="1"/>
    <n v="1"/>
    <n v="0"/>
    <n v="36"/>
    <n v="3"/>
    <n v="2"/>
    <n v="4"/>
    <n v="11473"/>
    <n v="829"/>
    <n v="10644"/>
    <n v="0.70699999999999996"/>
    <n v="2147"/>
    <n v="41"/>
    <n v="0.51900000000000002"/>
    <n v="7.1999999999999995E-2"/>
    <n v="2.8024000000000001E-4"/>
    <n v="0.99972000000000005"/>
    <s v="3.9617220008265455"/>
    <s v="6.485525663515759"/>
    <s v="28.78171992380105"/>
    <n v="6.8725765617661603"/>
    <n v="710391258"/>
    <x v="0"/>
    <n v="2.6044694E-3"/>
    <x v="0"/>
  </r>
  <r>
    <n v="55"/>
    <n v="0"/>
    <n v="3"/>
    <n v="2"/>
    <n v="2"/>
    <n v="4"/>
    <n v="0"/>
    <n v="36"/>
    <n v="3"/>
    <n v="3"/>
    <n v="5"/>
    <n v="2060"/>
    <n v="0"/>
    <n v="2060"/>
    <n v="0.251"/>
    <n v="1976"/>
    <n v="44"/>
    <n v="0.25700000000000001"/>
    <n v="0"/>
    <n v="0.99892000000000003"/>
    <n v="1.0774999999999999E-3"/>
    <s v="59.259832000578754"/>
    <s v="16.523762916667366"/>
    <s v="39.54409116137333"/>
    <s v="6.529856298792773"/>
    <n v="714192933"/>
    <x v="1"/>
    <n v="0.99794369999999999"/>
    <x v="1"/>
  </r>
  <r>
    <n v="37"/>
    <n v="1"/>
    <n v="2"/>
    <n v="3"/>
    <n v="2"/>
    <n v="2"/>
    <n v="0"/>
    <n v="21"/>
    <n v="5"/>
    <n v="2"/>
    <n v="2"/>
    <n v="3433"/>
    <n v="964"/>
    <n v="2469"/>
    <n v="0.52600000000000002"/>
    <n v="4444"/>
    <n v="87"/>
    <n v="0.64200000000000002"/>
    <n v="0.28100000000000003"/>
    <n v="1.1065000000000001E-4"/>
    <n v="0.99988999999999995"/>
    <s v="32.69754520094457"/>
    <s v="12.111277085659236"/>
    <s v="41.47925742033016"/>
    <s v="5.559671762613876"/>
    <n v="717531483"/>
    <x v="0"/>
    <n v="4.052347E-4"/>
    <x v="0"/>
  </r>
  <r>
    <n v="48"/>
    <n v="1"/>
    <n v="3"/>
    <n v="2"/>
    <n v="3"/>
    <n v="2"/>
    <n v="0"/>
    <n v="36"/>
    <n v="3"/>
    <n v="3"/>
    <n v="2"/>
    <n v="6703"/>
    <n v="1252"/>
    <n v="5451"/>
    <n v="0.625"/>
    <n v="1843"/>
    <n v="44"/>
    <n v="0.63"/>
    <n v="0.187"/>
    <n v="1.8665000000000001E-4"/>
    <n v="0.99980999999999998"/>
    <s v="8.799693930033031"/>
    <n v="36.065312138895798"/>
    <s v="115.92844384363455"/>
    <s v="20.872962084555382"/>
    <n v="716998608"/>
    <x v="0"/>
    <n v="1.0903810999999999E-3"/>
    <x v="0"/>
  </r>
  <r>
    <n v="55"/>
    <n v="0"/>
    <n v="0"/>
    <n v="2"/>
    <n v="1"/>
    <n v="4"/>
    <n v="0"/>
    <n v="40"/>
    <n v="4"/>
    <n v="3"/>
    <n v="4"/>
    <n v="1513"/>
    <n v="725"/>
    <n v="788"/>
    <n v="0.79100000000000004"/>
    <n v="4042"/>
    <n v="72"/>
    <n v="0.71399999999999997"/>
    <n v="0.47899999999999998"/>
    <n v="4.4282000000000002E-4"/>
    <n v="0.99956"/>
    <s v="8.447648043635834"/>
    <s v="33.52132290024187"/>
    <s v="16.686232576198158"/>
    <s v="3.473965084936552"/>
    <n v="817038333"/>
    <x v="0"/>
    <n v="5.4489190000000002E-4"/>
    <x v="0"/>
  </r>
  <r>
    <n v="46"/>
    <n v="1"/>
    <n v="3"/>
    <n v="0"/>
    <n v="1"/>
    <n v="1"/>
    <n v="0"/>
    <n v="34"/>
    <n v="5"/>
    <n v="1"/>
    <n v="2"/>
    <n v="1611"/>
    <n v="0"/>
    <n v="1611"/>
    <n v="0.73099999999999998"/>
    <n v="4444"/>
    <n v="78"/>
    <n v="0.85699999999999998"/>
    <n v="0"/>
    <s v="5.5564e-05"/>
    <n v="0.99994000000000005"/>
    <s v="7.587913727102816"/>
    <s v="10.108619791349678"/>
    <s v="110.4418319111348"/>
    <s v="31.51322515211535"/>
    <n v="709596783"/>
    <x v="0"/>
    <n v="6.9517245999999998E-4"/>
    <x v="0"/>
  </r>
  <r>
    <n v="51"/>
    <n v="1"/>
    <n v="2"/>
    <n v="1"/>
    <n v="2"/>
    <n v="3"/>
    <n v="0"/>
    <n v="41"/>
    <n v="3"/>
    <n v="3"/>
    <n v="2"/>
    <n v="34516"/>
    <n v="1046"/>
    <n v="33470"/>
    <n v="1.0009999999999999"/>
    <n v="3435"/>
    <n v="76"/>
    <n v="0.72699999999999998"/>
    <n v="0.03"/>
    <n v="2.6027999999999999E-4"/>
    <n v="0.99973999999999996"/>
    <s v="27.927474963374188"/>
    <s v="54.36804335935614"/>
    <s v="74.06388756644664"/>
    <s v="8.582876372625872"/>
    <n v="787669233"/>
    <x v="0"/>
    <n v="3.756586E-4"/>
    <x v="0"/>
  </r>
  <r>
    <n v="54"/>
    <n v="0"/>
    <n v="2"/>
    <n v="6"/>
    <n v="1"/>
    <n v="4"/>
    <n v="0"/>
    <n v="43"/>
    <n v="4"/>
    <n v="3"/>
    <n v="3"/>
    <n v="6266"/>
    <n v="1819"/>
    <n v="4447"/>
    <n v="0.74399999999999999"/>
    <n v="1456"/>
    <n v="27"/>
    <n v="1.077"/>
    <n v="0.28999999999999998"/>
    <n v="3.3251E-4"/>
    <n v="0.99966999999999995"/>
    <s v="3.579761117420478"/>
    <s v="0.3227798264985757"/>
    <s v="66.40789490818705"/>
    <s v="3.2361364061768567"/>
    <n v="710312658"/>
    <x v="0"/>
    <n v="9.8706899999999992E-4"/>
    <x v="0"/>
  </r>
  <r>
    <n v="34"/>
    <n v="0"/>
    <n v="2"/>
    <n v="5"/>
    <n v="2"/>
    <n v="4"/>
    <n v="0"/>
    <n v="24"/>
    <n v="6"/>
    <n v="2"/>
    <n v="2"/>
    <n v="1438.3"/>
    <n v="0"/>
    <n v="1438.3"/>
    <n v="0.82699999999999996"/>
    <n v="3940"/>
    <n v="82"/>
    <n v="0.95199999999999996"/>
    <n v="0"/>
    <n v="1.1703E-4"/>
    <n v="0.99987999999999999"/>
    <s v="32.743751669804695"/>
    <s v="1.7331133420585183"/>
    <n v="114.084515863834"/>
    <s v="9.577639601611525"/>
    <n v="708085458"/>
    <x v="0"/>
    <n v="6.9517245999999998E-4"/>
    <x v="0"/>
  </r>
  <r>
    <n v="52"/>
    <n v="0"/>
    <n v="1"/>
    <n v="6"/>
    <n v="1"/>
    <n v="1"/>
    <n v="0"/>
    <n v="39"/>
    <n v="3"/>
    <n v="2"/>
    <n v="1"/>
    <n v="1438.3"/>
    <n v="635"/>
    <n v="803.3"/>
    <n v="0.74399999999999999"/>
    <n v="4617"/>
    <n v="79"/>
    <n v="0.92700000000000005"/>
    <n v="0.441"/>
    <s v="7.0819e-05"/>
    <n v="0.99992999999999999"/>
    <s v="33.666302274691645"/>
    <s v="40.266916341172426"/>
    <s v="50.17606685808258"/>
    <s v="11.992782094658269"/>
    <n v="771163533"/>
    <x v="0"/>
    <n v="5.4489190000000002E-4"/>
    <x v="0"/>
  </r>
  <r>
    <n v="44"/>
    <n v="0"/>
    <n v="4"/>
    <n v="6"/>
    <n v="1"/>
    <n v="5"/>
    <n v="0"/>
    <n v="37"/>
    <n v="4"/>
    <n v="3"/>
    <n v="3"/>
    <n v="5826"/>
    <n v="0"/>
    <n v="5826"/>
    <n v="0.68899999999999995"/>
    <n v="3756"/>
    <n v="73"/>
    <n v="0.92100000000000004"/>
    <n v="0"/>
    <n v="3.4872000000000001E-4"/>
    <n v="0.99965000000000004"/>
    <s v="42.353399251599456"/>
    <s v="52.023447517490666"/>
    <s v="100.69279304788104"/>
    <s v="5.613707431434353"/>
    <n v="751076058"/>
    <x v="0"/>
    <n v="6.9517245999999998E-4"/>
    <x v="0"/>
  </r>
  <r>
    <n v="46"/>
    <n v="1"/>
    <n v="2"/>
    <n v="6"/>
    <n v="1"/>
    <n v="3"/>
    <n v="0"/>
    <n v="30"/>
    <n v="6"/>
    <n v="3"/>
    <n v="0"/>
    <n v="18578"/>
    <n v="1385"/>
    <n v="17193"/>
    <n v="0.56499999999999995"/>
    <n v="1606"/>
    <n v="54"/>
    <n v="0.42099999999999999"/>
    <n v="7.4999999999999997E-2"/>
    <s v="7.2936e-05"/>
    <n v="0.99992999999999999"/>
    <s v="31.552805097079904"/>
    <s v="80.68929113700449"/>
    <s v="39.85437473891976"/>
    <n v="22.683786324719101"/>
    <n v="717469158"/>
    <x v="0"/>
    <n v="6.5746315999999996E-4"/>
    <x v="0"/>
  </r>
  <r>
    <n v="46"/>
    <n v="1"/>
    <n v="4"/>
    <n v="3"/>
    <n v="2"/>
    <n v="2"/>
    <n v="0"/>
    <n v="36"/>
    <n v="4"/>
    <n v="5"/>
    <n v="0"/>
    <n v="13407"/>
    <n v="1341"/>
    <n v="12066"/>
    <n v="0.92800000000000005"/>
    <n v="4869"/>
    <n v="84"/>
    <n v="0.61499999999999999"/>
    <n v="0.1"/>
    <s v="7.5561e-05"/>
    <n v="0.99992000000000003"/>
    <s v="40.76303035473519"/>
    <s v="8.383876177126966"/>
    <s v="131.64209846050355"/>
    <s v="13.630354592790544"/>
    <n v="716838633"/>
    <x v="0"/>
    <n v="3.4605444000000002E-4"/>
    <x v="0"/>
  </r>
  <r>
    <n v="53"/>
    <n v="1"/>
    <n v="1"/>
    <n v="5"/>
    <n v="3"/>
    <n v="0"/>
    <n v="0"/>
    <n v="47"/>
    <n v="4"/>
    <n v="2"/>
    <n v="2"/>
    <n v="20783"/>
    <n v="1257"/>
    <n v="19526"/>
    <n v="0.72399999999999998"/>
    <n v="3819"/>
    <n v="76"/>
    <n v="0.61699999999999999"/>
    <n v="0.06"/>
    <n v="1.0985E-4"/>
    <n v="0.99988999999999995"/>
    <s v="38.19961598538293"/>
    <s v="20.12571444190925"/>
    <s v="66.53834979548068"/>
    <n v="7.7842148320326903"/>
    <n v="800164083"/>
    <x v="0"/>
    <n v="3.6634394000000002E-4"/>
    <x v="0"/>
  </r>
  <r>
    <n v="56"/>
    <n v="0"/>
    <n v="1"/>
    <n v="6"/>
    <n v="2"/>
    <n v="4"/>
    <n v="0"/>
    <n v="50"/>
    <n v="4"/>
    <n v="4"/>
    <n v="1"/>
    <n v="1698"/>
    <n v="0"/>
    <n v="1698"/>
    <n v="0.84699999999999998"/>
    <n v="4371"/>
    <n v="74"/>
    <n v="0.89700000000000002"/>
    <n v="0"/>
    <n v="1.3526E-4"/>
    <n v="0.99985999999999997"/>
    <n v="2.30059194847985"/>
    <s v="3.419908520184432"/>
    <s v="44.41339993901149"/>
    <s v="20.626953025978302"/>
    <n v="802455633"/>
    <x v="0"/>
    <n v="7.1049936000000004E-4"/>
    <x v="0"/>
  </r>
  <r>
    <n v="46"/>
    <n v="0"/>
    <n v="3"/>
    <n v="6"/>
    <n v="1"/>
    <n v="1"/>
    <n v="0"/>
    <n v="37"/>
    <n v="2"/>
    <n v="3"/>
    <n v="4"/>
    <n v="5542"/>
    <n v="0"/>
    <n v="5542"/>
    <n v="0.80800000000000005"/>
    <n v="8246"/>
    <n v="59"/>
    <n v="0.63900000000000001"/>
    <n v="0"/>
    <n v="0.99829999999999997"/>
    <n v="1.6953199999999999E-3"/>
    <s v="5.290915288752933"/>
    <s v="19.694143595440053"/>
    <s v="53.00978024303597"/>
    <s v="6.951374572418194"/>
    <n v="710721858"/>
    <x v="1"/>
    <n v="0.99420136000000003"/>
    <x v="1"/>
  </r>
  <r>
    <n v="36"/>
    <n v="0"/>
    <n v="2"/>
    <n v="2"/>
    <n v="1"/>
    <n v="4"/>
    <n v="0"/>
    <n v="26"/>
    <n v="3"/>
    <n v="3"/>
    <n v="2"/>
    <n v="1438.3"/>
    <n v="0"/>
    <n v="1438.3"/>
    <n v="0.61"/>
    <n v="4957"/>
    <n v="88"/>
    <n v="0.872"/>
    <n v="0"/>
    <n v="1.7987E-4"/>
    <n v="0.99982000000000004"/>
    <s v="39.33846681430658"/>
    <s v="54.54747204870118"/>
    <s v="55.79946239723484"/>
    <s v="1.803457359647134"/>
    <n v="715617333"/>
    <x v="0"/>
    <n v="6.9517245999999998E-4"/>
    <x v="0"/>
  </r>
  <r>
    <n v="55"/>
    <n v="1"/>
    <n v="2"/>
    <n v="2"/>
    <n v="2"/>
    <n v="3"/>
    <n v="0"/>
    <n v="36"/>
    <n v="3"/>
    <n v="2"/>
    <n v="1"/>
    <n v="15026"/>
    <n v="916"/>
    <n v="14110"/>
    <n v="0.72099999999999997"/>
    <n v="3281"/>
    <n v="63"/>
    <n v="0.8"/>
    <n v="6.0999999999999999E-2"/>
    <s v="6.864e-05"/>
    <n v="0.99992999999999999"/>
    <n v="27.467752675850299"/>
    <s v="25.822526044231395"/>
    <s v="74.37102608934686"/>
    <s v="15.066861424855746"/>
    <n v="720807183"/>
    <x v="0"/>
    <n v="4.9444910000000003E-4"/>
    <x v="0"/>
  </r>
  <r>
    <n v="42"/>
    <n v="0"/>
    <n v="3"/>
    <n v="0"/>
    <n v="2"/>
    <n v="1"/>
    <n v="0"/>
    <n v="30"/>
    <n v="6"/>
    <n v="3"/>
    <n v="2"/>
    <n v="5424"/>
    <n v="1812"/>
    <n v="3612"/>
    <n v="0.51300000000000001"/>
    <n v="1634"/>
    <n v="44"/>
    <n v="0.76"/>
    <n v="0.33400000000000002"/>
    <n v="1.8145999999999999E-4"/>
    <n v="0.99982000000000004"/>
    <s v="14.766370419844268"/>
    <s v="2.329642634881459"/>
    <s v="6.116347326624881"/>
    <s v="1.3204590380484784"/>
    <n v="778511733"/>
    <x v="0"/>
    <n v="1.0337284E-3"/>
    <x v="0"/>
  </r>
  <r>
    <n v="38"/>
    <n v="0"/>
    <n v="3"/>
    <n v="5"/>
    <n v="2"/>
    <n v="5"/>
    <n v="0"/>
    <n v="36"/>
    <n v="5"/>
    <n v="3"/>
    <n v="3"/>
    <n v="13220"/>
    <n v="848"/>
    <n v="12372"/>
    <n v="0.82499999999999996"/>
    <n v="3789"/>
    <n v="72"/>
    <n v="0.56499999999999995"/>
    <n v="6.4000000000000001E-2"/>
    <n v="3.2275000000000001E-4"/>
    <n v="0.99968000000000001"/>
    <s v="22.41732018151785"/>
    <s v="11.952200435876971"/>
    <s v="21.18818900719912"/>
    <s v="1.8735273330524145"/>
    <n v="719543208"/>
    <x v="0"/>
    <n v="5.5880579999999995E-4"/>
    <x v="0"/>
  </r>
  <r>
    <n v="61"/>
    <n v="0"/>
    <n v="1"/>
    <n v="2"/>
    <n v="3"/>
    <n v="1"/>
    <n v="0"/>
    <n v="55"/>
    <n v="4"/>
    <n v="3"/>
    <n v="3"/>
    <n v="1438.3"/>
    <n v="0"/>
    <n v="1438.3"/>
    <n v="0.57299999999999995"/>
    <n v="4518"/>
    <n v="81"/>
    <n v="0.72299999999999998"/>
    <n v="0"/>
    <n v="2.8394999999999999E-4"/>
    <n v="0.99972000000000005"/>
    <n v="34.0775779646426"/>
    <s v="12.28765380808994"/>
    <s v="5.128229724194492"/>
    <s v="13.169019649695084"/>
    <n v="785351133"/>
    <x v="0"/>
    <n v="6.9517245999999998E-4"/>
    <x v="0"/>
  </r>
  <r>
    <n v="47"/>
    <n v="1"/>
    <n v="2"/>
    <n v="2"/>
    <n v="0"/>
    <n v="3"/>
    <n v="0"/>
    <n v="41"/>
    <n v="3"/>
    <n v="2"/>
    <n v="3"/>
    <n v="4586"/>
    <n v="0"/>
    <n v="4586"/>
    <n v="0.81200000000000006"/>
    <n v="2529"/>
    <n v="43"/>
    <n v="0.433"/>
    <n v="0"/>
    <n v="0.99480000000000002"/>
    <n v="5.1999999999999998E-3"/>
    <s v="36.24939335801095"/>
    <s v="4.207171840046297"/>
    <s v="13.187060243325618"/>
    <s v="13.342728845274872"/>
    <n v="781320783"/>
    <x v="1"/>
    <n v="0.99876772999999996"/>
    <x v="1"/>
  </r>
  <r>
    <n v="60"/>
    <n v="0"/>
    <n v="0"/>
    <n v="5"/>
    <n v="2"/>
    <n v="4"/>
    <n v="0"/>
    <n v="47"/>
    <n v="1"/>
    <n v="2"/>
    <n v="2"/>
    <n v="9634"/>
    <n v="2076"/>
    <n v="7558"/>
    <n v="0.876"/>
    <n v="14218"/>
    <n v="102"/>
    <n v="0.75900000000000001"/>
    <n v="0.215"/>
    <n v="1.0043E-4"/>
    <n v="0.99990000000000001"/>
    <s v="17.49551763026308"/>
    <s v="48.79387117218321"/>
    <s v="40.111248854681655"/>
    <s v="11.76128141584597"/>
    <n v="717403158"/>
    <x v="0"/>
    <n v="3.4656386999999997E-4"/>
    <x v="0"/>
  </r>
  <r>
    <n v="48"/>
    <n v="0"/>
    <n v="1"/>
    <n v="0"/>
    <n v="0"/>
    <n v="4"/>
    <n v="0"/>
    <n v="36"/>
    <n v="6"/>
    <n v="3"/>
    <n v="0"/>
    <n v="4006"/>
    <n v="1646"/>
    <n v="2360"/>
    <n v="0.746"/>
    <n v="5006"/>
    <n v="89"/>
    <n v="0.53400000000000003"/>
    <n v="0.41099999999999998"/>
    <s v="6.0552e-05"/>
    <n v="0.99994000000000005"/>
    <s v="18.61684095318943"/>
    <s v="38.10837001293804"/>
    <n v="14.207678224521599"/>
    <s v="10.534338626093197"/>
    <n v="708879483"/>
    <x v="0"/>
    <n v="3.2914013999999999E-4"/>
    <x v="0"/>
  </r>
  <r>
    <n v="43"/>
    <n v="0"/>
    <n v="3"/>
    <n v="2"/>
    <n v="1"/>
    <n v="4"/>
    <n v="0"/>
    <n v="36"/>
    <n v="4"/>
    <n v="2"/>
    <n v="4"/>
    <n v="3523"/>
    <n v="0"/>
    <n v="3523"/>
    <n v="0.97299999999999998"/>
    <n v="3174"/>
    <n v="44"/>
    <n v="0.222"/>
    <n v="0"/>
    <n v="0.99705999999999995"/>
    <n v="2.9414100000000002E-3"/>
    <s v="46.25605049627004"/>
    <s v="10.580941950790866"/>
    <s v="1.5269157516348546"/>
    <s v="4.950384809903442"/>
    <n v="716421633"/>
    <x v="1"/>
    <n v="0.99805235999999997"/>
    <x v="1"/>
  </r>
  <r>
    <n v="49"/>
    <n v="1"/>
    <n v="0"/>
    <n v="5"/>
    <n v="2"/>
    <n v="3"/>
    <n v="0"/>
    <n v="36"/>
    <n v="5"/>
    <n v="3"/>
    <n v="4"/>
    <n v="16156"/>
    <n v="2517"/>
    <n v="13639"/>
    <n v="0.80400000000000005"/>
    <n v="4160"/>
    <n v="81"/>
    <n v="0.65300000000000002"/>
    <n v="0.156"/>
    <n v="4.5531E-4"/>
    <n v="0.99953999999999998"/>
    <s v="5.201291379066947"/>
    <s v="22.477963752557347"/>
    <s v="2.7303146053274494"/>
    <s v="1.940136785639944"/>
    <n v="713766183"/>
    <x v="0"/>
    <n v="3.4692350000000002E-4"/>
    <x v="0"/>
  </r>
  <r>
    <n v="38"/>
    <n v="1"/>
    <n v="1"/>
    <n v="2"/>
    <n v="1"/>
    <n v="2"/>
    <n v="0"/>
    <n v="36"/>
    <n v="6"/>
    <n v="3"/>
    <n v="4"/>
    <n v="2507"/>
    <n v="1544"/>
    <n v="963"/>
    <n v="0.90600000000000003"/>
    <n v="1999"/>
    <n v="34"/>
    <n v="0.78900000000000003"/>
    <n v="0.61599999999999999"/>
    <n v="4.8434999999999998E-4"/>
    <n v="0.99951999999999996"/>
    <s v="84.54776695698494"/>
    <n v="35.7018583140486"/>
    <s v="89.27766494826011"/>
    <s v="36.78975259557071"/>
    <n v="712064358"/>
    <x v="0"/>
    <n v="1.0934846E-3"/>
    <x v="0"/>
  </r>
  <r>
    <n v="36"/>
    <n v="0"/>
    <n v="2"/>
    <n v="6"/>
    <n v="1"/>
    <n v="1"/>
    <n v="0"/>
    <n v="25"/>
    <n v="3"/>
    <n v="1"/>
    <n v="2"/>
    <n v="4789"/>
    <n v="1257"/>
    <n v="3532"/>
    <n v="1.1339999999999999"/>
    <n v="1534"/>
    <n v="29"/>
    <n v="0.93300000000000005"/>
    <n v="0.26200000000000001"/>
    <s v="6.054e-05"/>
    <n v="0.99994000000000005"/>
    <s v="34.979209850946866"/>
    <s v="45.76624001646756"/>
    <s v="78.74569181094904"/>
    <n v="1.77735757622395"/>
    <n v="718281408"/>
    <x v="0"/>
    <n v="1.0249399E-3"/>
    <x v="0"/>
  </r>
  <r>
    <n v="48"/>
    <n v="0"/>
    <n v="5"/>
    <n v="2"/>
    <n v="1"/>
    <n v="4"/>
    <n v="0"/>
    <n v="36"/>
    <n v="5"/>
    <n v="3"/>
    <n v="0"/>
    <n v="6921"/>
    <n v="1023"/>
    <n v="5898"/>
    <n v="0.81599999999999995"/>
    <n v="4608"/>
    <n v="79"/>
    <n v="0.92700000000000005"/>
    <n v="0.14799999999999999"/>
    <s v="6.8504e-05"/>
    <n v="0.99992999999999999"/>
    <s v="16.623681235545945"/>
    <n v="33.7600163592708"/>
    <s v="18.190374498479265"/>
    <s v="20.182937235331583"/>
    <n v="712943508"/>
    <x v="0"/>
    <n v="3.2101269999999999E-4"/>
    <x v="0"/>
  </r>
  <r>
    <n v="65"/>
    <n v="0"/>
    <n v="0"/>
    <n v="2"/>
    <n v="1"/>
    <n v="4"/>
    <n v="0"/>
    <n v="53"/>
    <n v="5"/>
    <n v="3"/>
    <n v="5"/>
    <n v="4161"/>
    <n v="2491"/>
    <n v="1670"/>
    <n v="0.41"/>
    <n v="1203"/>
    <n v="30"/>
    <n v="0.57899999999999996"/>
    <n v="0.59899999999999998"/>
    <n v="7.6606999999999999E-4"/>
    <n v="0.99922999999999995"/>
    <s v="19.33958049438753"/>
    <s v="27.20520213487603"/>
    <s v="60.63163949920899"/>
    <s v="11.134466216034635"/>
    <n v="710458758"/>
    <x v="0"/>
    <n v="1.3963404E-3"/>
    <x v="0"/>
  </r>
  <r>
    <n v="43"/>
    <n v="1"/>
    <n v="4"/>
    <n v="3"/>
    <n v="2"/>
    <n v="3"/>
    <n v="0"/>
    <n v="37"/>
    <n v="6"/>
    <n v="1"/>
    <n v="2"/>
    <n v="30503"/>
    <n v="2517"/>
    <n v="27986"/>
    <n v="0.46200000000000002"/>
    <n v="1860"/>
    <n v="47"/>
    <n v="0.30599999999999999"/>
    <n v="8.3000000000000004E-2"/>
    <s v="5.6153e-05"/>
    <n v="0.99994000000000005"/>
    <s v="36.46705171365333"/>
    <s v="27.040764920784927"/>
    <s v="2.0316297438056976"/>
    <s v="12.526188189985408"/>
    <n v="778137108"/>
    <x v="0"/>
    <n v="1.2999559999999999E-3"/>
    <x v="0"/>
  </r>
  <r>
    <n v="37"/>
    <n v="0"/>
    <n v="4"/>
    <n v="2"/>
    <n v="1"/>
    <n v="4"/>
    <n v="0"/>
    <n v="28"/>
    <n v="4"/>
    <n v="3"/>
    <n v="1"/>
    <n v="1825"/>
    <n v="1389"/>
    <n v="436"/>
    <n v="1.595"/>
    <n v="2878"/>
    <n v="54"/>
    <n v="0.63600000000000001"/>
    <n v="0.76100000000000001"/>
    <n v="1.1377E-4"/>
    <n v="0.99988999999999995"/>
    <s v="10.54933613954078"/>
    <s v="3.2310639806374954"/>
    <s v="57.76714531344695"/>
    <s v="2.680644901790091"/>
    <n v="714327183"/>
    <x v="0"/>
    <n v="5.3046783000000001E-4"/>
    <x v="0"/>
  </r>
  <r>
    <n v="44"/>
    <n v="1"/>
    <n v="2"/>
    <n v="0"/>
    <n v="1"/>
    <n v="3"/>
    <n v="0"/>
    <n v="37"/>
    <n v="5"/>
    <n v="3"/>
    <n v="1"/>
    <n v="8241"/>
    <n v="0"/>
    <n v="8241"/>
    <n v="0.72299999999999998"/>
    <n v="4436"/>
    <n v="79"/>
    <n v="0.75600000000000001"/>
    <n v="0"/>
    <n v="1.0546E-4"/>
    <n v="0.99988999999999995"/>
    <s v="15.788111782709205"/>
    <s v="48.28032784733297"/>
    <s v="75.89144813763018"/>
    <s v="11.247013285045147"/>
    <n v="790141308"/>
    <x v="0"/>
    <n v="6.9517245999999998E-4"/>
    <x v="0"/>
  </r>
  <r>
    <n v="46"/>
    <n v="1"/>
    <n v="4"/>
    <n v="5"/>
    <n v="2"/>
    <n v="3"/>
    <n v="1"/>
    <n v="41"/>
    <n v="6"/>
    <n v="3"/>
    <n v="2"/>
    <n v="34516"/>
    <n v="1104"/>
    <n v="33412"/>
    <n v="0.59099999999999997"/>
    <n v="1989"/>
    <n v="47"/>
    <n v="0.74099999999999999"/>
    <n v="3.2000000000000001E-2"/>
    <n v="0.99555000000000005"/>
    <n v="4.4541700000000004E-3"/>
    <s v="0.2739998073106975"/>
    <s v="11.331464153980098"/>
    <s v="0.9119416347245244"/>
    <s v="6.402759376277718"/>
    <n v="816378033"/>
    <x v="1"/>
    <n v="0.99497919999999995"/>
    <x v="1"/>
  </r>
  <r>
    <n v="46"/>
    <n v="1"/>
    <n v="2"/>
    <n v="0"/>
    <n v="2"/>
    <n v="2"/>
    <n v="0"/>
    <n v="36"/>
    <n v="3"/>
    <n v="3"/>
    <n v="2"/>
    <n v="4939"/>
    <n v="1296"/>
    <n v="3643"/>
    <n v="0.91100000000000003"/>
    <n v="2150"/>
    <n v="43"/>
    <n v="0.87"/>
    <n v="0.26200000000000001"/>
    <n v="1.7488000000000001E-4"/>
    <n v="0.99983"/>
    <s v="0.6426452805564222"/>
    <s v="54.520906409002414"/>
    <s v="62.86658083819169"/>
    <s v="19.81002704455519"/>
    <n v="715857183"/>
    <x v="0"/>
    <n v="1.2830065999999999E-3"/>
    <x v="0"/>
  </r>
  <r>
    <n v="48"/>
    <n v="0"/>
    <n v="4"/>
    <n v="2"/>
    <n v="2"/>
    <n v="4"/>
    <n v="0"/>
    <n v="41"/>
    <n v="3"/>
    <n v="3"/>
    <n v="2"/>
    <n v="1522"/>
    <n v="1273"/>
    <n v="249"/>
    <n v="0.73499999999999999"/>
    <n v="5005"/>
    <n v="77"/>
    <n v="0.67400000000000004"/>
    <n v="0.83599999999999997"/>
    <n v="1.8864000000000001E-4"/>
    <n v="0.99980999999999998"/>
    <s v="25.43266320266289"/>
    <s v="50.32768064626688"/>
    <s v="13.58603586889116"/>
    <s v="22.530994840024302"/>
    <n v="755437533"/>
    <x v="0"/>
    <n v="3.2101269999999999E-4"/>
    <x v="0"/>
  </r>
  <r>
    <n v="40"/>
    <n v="0"/>
    <n v="4"/>
    <n v="6"/>
    <n v="2"/>
    <n v="4"/>
    <n v="0"/>
    <n v="33"/>
    <n v="4"/>
    <n v="4"/>
    <n v="3"/>
    <n v="1964"/>
    <n v="1811"/>
    <n v="153"/>
    <n v="0.69"/>
    <n v="4699"/>
    <n v="81"/>
    <n v="0.84099999999999997"/>
    <n v="0.92200000000000004"/>
    <n v="4.2140999999999999E-4"/>
    <n v="0.99958000000000002"/>
    <n v="35.970248603663102"/>
    <s v="21.08120132622944"/>
    <s v="102.24810387776895"/>
    <s v="10.061382858389592"/>
    <n v="758875908"/>
    <x v="0"/>
    <n v="3.2101269999999999E-4"/>
    <x v="0"/>
  </r>
  <r>
    <n v="39"/>
    <n v="1"/>
    <n v="3"/>
    <n v="3"/>
    <n v="2"/>
    <n v="2"/>
    <n v="0"/>
    <n v="26"/>
    <n v="6"/>
    <n v="1"/>
    <n v="4"/>
    <n v="24534"/>
    <n v="1475"/>
    <n v="23059"/>
    <n v="0.52800000000000002"/>
    <n v="3505"/>
    <n v="60"/>
    <n v="0.93500000000000005"/>
    <n v="0.06"/>
    <n v="1.5941999999999999E-4"/>
    <n v="0.99983999999999995"/>
    <s v="3.9135942913851873"/>
    <s v="105.78746956568652"/>
    <s v="64.31412452000453"/>
    <s v="10.32204374361726"/>
    <n v="771215583"/>
    <x v="0"/>
    <n v="4.034504E-4"/>
    <x v="0"/>
  </r>
  <r>
    <n v="45"/>
    <n v="1"/>
    <n v="5"/>
    <n v="2"/>
    <n v="1"/>
    <n v="0"/>
    <n v="0"/>
    <n v="26"/>
    <n v="6"/>
    <n v="3"/>
    <n v="2"/>
    <n v="34516"/>
    <n v="797"/>
    <n v="33719"/>
    <n v="1.133"/>
    <n v="3643"/>
    <n v="59"/>
    <n v="1.034"/>
    <n v="2.3E-2"/>
    <n v="1.8569999999999999E-4"/>
    <n v="0.99980999999999998"/>
    <s v="6.964746698591823"/>
    <s v="26.222970883518755"/>
    <s v="51.67364445158901"/>
    <s v="15.678002182141714"/>
    <n v="715778358"/>
    <x v="0"/>
    <n v="7.4435484999999999E-4"/>
    <x v="0"/>
  </r>
  <r>
    <n v="35"/>
    <n v="1"/>
    <n v="2"/>
    <n v="5"/>
    <n v="1"/>
    <n v="0"/>
    <n v="0"/>
    <n v="26"/>
    <n v="3"/>
    <n v="3"/>
    <n v="4"/>
    <n v="2944"/>
    <n v="1596"/>
    <n v="1348"/>
    <n v="0.73699999999999999"/>
    <n v="2070"/>
    <n v="44"/>
    <n v="0.46700000000000003"/>
    <n v="0.54200000000000004"/>
    <n v="5.3054999999999997E-4"/>
    <n v="0.99946999999999997"/>
    <s v="64.91789898710532"/>
    <s v="7.932484513548183"/>
    <s v="29.61734701287726"/>
    <s v="12.083706516697756"/>
    <n v="787570758"/>
    <x v="0"/>
    <n v="1.5429998E-3"/>
    <x v="0"/>
  </r>
  <r>
    <n v="49"/>
    <n v="0"/>
    <n v="4"/>
    <n v="3"/>
    <n v="1"/>
    <n v="4"/>
    <n v="0"/>
    <n v="43"/>
    <n v="4"/>
    <n v="2"/>
    <n v="0"/>
    <n v="2826"/>
    <n v="2070"/>
    <n v="756"/>
    <n v="0.54100000000000004"/>
    <n v="1025"/>
    <n v="28"/>
    <n v="0.64700000000000002"/>
    <n v="0.73199999999999998"/>
    <s v="4.2806e-05"/>
    <n v="0.99995999999999996"/>
    <s v="8.690475369440595"/>
    <s v="110.01321646117565"/>
    <s v="32.38619931902883"/>
    <s v="0.8461234457687918"/>
    <n v="773373108"/>
    <x v="0"/>
    <n v="1.1454669E-3"/>
    <x v="0"/>
  </r>
  <r>
    <n v="34"/>
    <n v="0"/>
    <n v="1"/>
    <n v="0"/>
    <n v="1"/>
    <n v="4"/>
    <n v="0"/>
    <n v="30"/>
    <n v="3"/>
    <n v="3"/>
    <n v="3"/>
    <n v="2617"/>
    <n v="1010"/>
    <n v="1607"/>
    <n v="0.65900000000000003"/>
    <n v="2003"/>
    <n v="47"/>
    <n v="0.67900000000000005"/>
    <n v="0.38600000000000001"/>
    <n v="2.7607E-4"/>
    <n v="0.99972000000000005"/>
    <s v="11.71876158783478"/>
    <s v="12.586412924255756"/>
    <s v="52.05089877682264"/>
    <n v="4.7440119367926998"/>
    <n v="821296083"/>
    <x v="0"/>
    <n v="1.1781214E-3"/>
    <x v="0"/>
  </r>
  <r>
    <n v="48"/>
    <n v="1"/>
    <n v="3"/>
    <n v="3"/>
    <n v="1"/>
    <n v="3"/>
    <n v="0"/>
    <n v="36"/>
    <n v="5"/>
    <n v="1"/>
    <n v="3"/>
    <n v="30579"/>
    <n v="1351"/>
    <n v="29228"/>
    <n v="0.75900000000000001"/>
    <n v="1289"/>
    <n v="19"/>
    <n v="0.72699999999999998"/>
    <n v="4.3999999999999997E-2"/>
    <s v="9.3448e-05"/>
    <n v="0.99990999999999997"/>
    <s v="19.565211347122045"/>
    <s v="0.1567384170561928"/>
    <s v="108.76624968021432"/>
    <s v="5.193696867207015"/>
    <n v="721375308"/>
    <x v="0"/>
    <n v="1.1504791999999999E-3"/>
    <x v="0"/>
  </r>
  <r>
    <n v="56"/>
    <n v="1"/>
    <n v="2"/>
    <n v="3"/>
    <n v="1"/>
    <n v="1"/>
    <n v="0"/>
    <n v="36"/>
    <n v="5"/>
    <n v="2"/>
    <n v="3"/>
    <n v="3295"/>
    <n v="2002"/>
    <n v="1293"/>
    <n v="0.59899999999999998"/>
    <n v="1191"/>
    <n v="34"/>
    <n v="0.54500000000000004"/>
    <n v="0.60799999999999998"/>
    <n v="1.861E-4"/>
    <n v="0.99980999999999998"/>
    <s v="46.47077647117838"/>
    <s v="24.87695727082363"/>
    <s v="37.63614540503915"/>
    <s v="17.034836900889726"/>
    <n v="716128083"/>
    <x v="0"/>
    <n v="1.0598798E-3"/>
    <x v="0"/>
  </r>
  <r>
    <n v="44"/>
    <n v="1"/>
    <n v="3"/>
    <n v="6"/>
    <n v="1"/>
    <n v="1"/>
    <n v="0"/>
    <n v="36"/>
    <n v="1"/>
    <n v="1"/>
    <n v="1"/>
    <n v="12967"/>
    <n v="2517"/>
    <n v="10450"/>
    <n v="0.78700000000000003"/>
    <n v="4520"/>
    <n v="74"/>
    <n v="0.76200000000000001"/>
    <n v="0.19400000000000001"/>
    <s v="3.7884e-05"/>
    <n v="0.99995999999999996"/>
    <s v="18.27971443544581"/>
    <s v="15.84740321776514"/>
    <s v="13.963285900355505"/>
    <s v="15.528137159233353"/>
    <n v="717742908"/>
    <x v="0"/>
    <n v="3.4692350000000002E-4"/>
    <x v="0"/>
  </r>
  <r>
    <n v="45"/>
    <n v="0"/>
    <n v="4"/>
    <n v="5"/>
    <n v="0"/>
    <n v="1"/>
    <n v="0"/>
    <n v="27"/>
    <n v="2"/>
    <n v="2"/>
    <n v="1"/>
    <n v="3670"/>
    <n v="1684"/>
    <n v="1986"/>
    <n v="0.67500000000000004"/>
    <n v="8608"/>
    <n v="100"/>
    <n v="0.51500000000000001"/>
    <n v="0.45900000000000002"/>
    <s v="7.4017e-05"/>
    <n v="0.99992999999999999"/>
    <s v="16.094518480952498"/>
    <n v="94.769291397593605"/>
    <s v="94.55742870390068"/>
    <s v="13.714298197288487"/>
    <n v="708826158"/>
    <x v="0"/>
    <n v="3.7789578000000003E-4"/>
    <x v="0"/>
  </r>
  <r>
    <n v="49"/>
    <n v="0"/>
    <n v="4"/>
    <n v="3"/>
    <n v="2"/>
    <n v="5"/>
    <n v="0"/>
    <n v="36"/>
    <n v="3"/>
    <n v="3"/>
    <n v="4"/>
    <n v="13039"/>
    <n v="1840"/>
    <n v="11199"/>
    <n v="0.79300000000000004"/>
    <n v="4010"/>
    <n v="69"/>
    <n v="0.5"/>
    <n v="0.14099999999999999"/>
    <n v="5.2607999999999995E-4"/>
    <n v="0.99946999999999997"/>
    <s v="31.182815210067133"/>
    <s v="62.23711165580794"/>
    <s v="49.19572069252393"/>
    <s v="12.598162171679624"/>
    <n v="718855983"/>
    <x v="0"/>
    <n v="3.5747702000000001E-4"/>
    <x v="0"/>
  </r>
  <r>
    <n v="52"/>
    <n v="0"/>
    <n v="3"/>
    <n v="5"/>
    <n v="1"/>
    <n v="4"/>
    <n v="0"/>
    <n v="43"/>
    <n v="4"/>
    <n v="3"/>
    <n v="3"/>
    <n v="2147"/>
    <n v="1173"/>
    <n v="974"/>
    <n v="0.65300000000000002"/>
    <n v="1352"/>
    <n v="37"/>
    <n v="0.37"/>
    <n v="0.54600000000000004"/>
    <n v="3.2275000000000001E-4"/>
    <n v="0.99968000000000001"/>
    <s v="46.38788318212195"/>
    <s v="32.32176015547972"/>
    <s v="82.40407097092718"/>
    <n v="3.6681468756518197E-2"/>
    <n v="715543908"/>
    <x v="0"/>
    <n v="1.1982243E-3"/>
    <x v="0"/>
  </r>
  <r>
    <n v="34"/>
    <n v="1"/>
    <n v="3"/>
    <n v="5"/>
    <n v="1"/>
    <n v="2"/>
    <n v="0"/>
    <n v="24"/>
    <n v="3"/>
    <n v="1"/>
    <n v="4"/>
    <n v="8167"/>
    <n v="1740"/>
    <n v="6427"/>
    <n v="1.4550000000000001"/>
    <n v="2141"/>
    <n v="51"/>
    <n v="0.7"/>
    <n v="0.21299999999999999"/>
    <n v="1.6861E-4"/>
    <n v="0.99983"/>
    <s v="21.29731583722408"/>
    <s v="10.089415301276787"/>
    <s v="61.20852584781738"/>
    <s v="1.022288785874938"/>
    <n v="772637058"/>
    <x v="0"/>
    <n v="9.3188544E-4"/>
    <x v="0"/>
  </r>
  <r>
    <n v="48"/>
    <n v="1"/>
    <n v="2"/>
    <n v="2"/>
    <n v="1"/>
    <n v="3"/>
    <n v="0"/>
    <n v="28"/>
    <n v="1"/>
    <n v="3"/>
    <n v="3"/>
    <n v="14774"/>
    <n v="2517"/>
    <n v="12257"/>
    <n v="0.97899999999999998"/>
    <n v="8293"/>
    <n v="63"/>
    <n v="0.70299999999999996"/>
    <n v="0.17"/>
    <n v="0.99670999999999998"/>
    <n v="3.29379E-3"/>
    <s v="16.77711615025707"/>
    <s v="9.825241152135074"/>
    <s v="30.084954713372078"/>
    <s v="0.7922102487426023"/>
    <n v="717439983"/>
    <x v="1"/>
    <n v="0.98995995999999997"/>
    <x v="1"/>
  </r>
  <r>
    <n v="42"/>
    <n v="0"/>
    <n v="3"/>
    <n v="4"/>
    <n v="1"/>
    <n v="4"/>
    <n v="0"/>
    <n v="36"/>
    <n v="6"/>
    <n v="3"/>
    <n v="1"/>
    <n v="4959"/>
    <n v="1483"/>
    <n v="3476"/>
    <n v="0.90200000000000002"/>
    <n v="4286"/>
    <n v="71"/>
    <n v="0.61399999999999999"/>
    <n v="0.29899999999999999"/>
    <n v="1.3244999999999999E-4"/>
    <n v="0.99987000000000004"/>
    <s v="8.811277493641436"/>
    <s v="46.94075115375229"/>
    <s v="100.24200357772922"/>
    <s v="15.627606600700672"/>
    <n v="719334408"/>
    <x v="0"/>
    <n v="3.4605444000000002E-4"/>
    <x v="0"/>
  </r>
  <r>
    <n v="44"/>
    <n v="1"/>
    <n v="2"/>
    <n v="2"/>
    <n v="1"/>
    <n v="3"/>
    <n v="0"/>
    <n v="35"/>
    <n v="3"/>
    <n v="2"/>
    <n v="2"/>
    <n v="11910"/>
    <n v="2098"/>
    <n v="9812"/>
    <n v="1.1599999999999999"/>
    <n v="1646"/>
    <n v="39"/>
    <n v="1.294"/>
    <n v="0.17599999999999999"/>
    <n v="1.1382E-4"/>
    <n v="0.99988999999999995"/>
    <s v="20.15636403368803"/>
    <s v="12.891797593912262"/>
    <s v="46.824872400536655"/>
    <s v="34.739966301317594"/>
    <n v="717701733"/>
    <x v="0"/>
    <n v="1.0249399E-3"/>
    <x v="0"/>
  </r>
  <r>
    <n v="40"/>
    <n v="1"/>
    <n v="3"/>
    <n v="5"/>
    <n v="2"/>
    <n v="0"/>
    <n v="0"/>
    <n v="36"/>
    <n v="4"/>
    <n v="2"/>
    <n v="5"/>
    <n v="34516"/>
    <n v="1329"/>
    <n v="33187"/>
    <n v="0.57399999999999995"/>
    <n v="3906"/>
    <n v="77"/>
    <n v="0.51"/>
    <n v="3.9E-2"/>
    <n v="6.0278000000000003E-4"/>
    <n v="0.99939999999999996"/>
    <n v="8.7227721791259096"/>
    <n v="46.250657655415097"/>
    <n v="80.3409748342943"/>
    <s v="18.16941407863957"/>
    <n v="827695683"/>
    <x v="0"/>
    <n v="4.0679700999999999E-4"/>
    <x v="0"/>
  </r>
  <r>
    <n v="53"/>
    <n v="0"/>
    <n v="2"/>
    <n v="0"/>
    <n v="1"/>
    <n v="4"/>
    <n v="0"/>
    <n v="44"/>
    <n v="3"/>
    <n v="3"/>
    <n v="3"/>
    <n v="1473"/>
    <n v="0"/>
    <n v="1473"/>
    <n v="0.92"/>
    <n v="2836"/>
    <n v="48"/>
    <n v="0.6"/>
    <n v="0"/>
    <n v="0.99661"/>
    <n v="3.3875699999999999E-3"/>
    <s v="20.293876786823244"/>
    <n v="6.1859192278256003"/>
    <s v="26.00269881558045"/>
    <s v="7.538516484143233"/>
    <n v="717042333"/>
    <x v="1"/>
    <n v="0.9985311"/>
    <x v="1"/>
  </r>
  <r>
    <n v="50"/>
    <n v="1"/>
    <n v="3"/>
    <n v="4"/>
    <n v="1"/>
    <n v="2"/>
    <n v="0"/>
    <n v="45"/>
    <n v="6"/>
    <n v="4"/>
    <n v="3"/>
    <n v="2049"/>
    <n v="0"/>
    <n v="2049"/>
    <n v="0.97399999999999998"/>
    <n v="2703"/>
    <n v="54"/>
    <n v="1"/>
    <n v="0"/>
    <n v="0.99777000000000005"/>
    <n v="2.2344399999999999E-3"/>
    <n v="41.466266546138797"/>
    <s v="55.647711609184064"/>
    <s v="48.23434526565328"/>
    <s v="3.2965915185293224"/>
    <n v="813810333"/>
    <x v="1"/>
    <n v="0.99622345000000001"/>
    <x v="1"/>
  </r>
  <r>
    <n v="38"/>
    <n v="1"/>
    <n v="3"/>
    <n v="5"/>
    <n v="1"/>
    <n v="2"/>
    <n v="0"/>
    <n v="18"/>
    <n v="6"/>
    <n v="3"/>
    <n v="4"/>
    <n v="3417"/>
    <n v="1749"/>
    <n v="1668"/>
    <n v="0.56999999999999995"/>
    <n v="2068"/>
    <n v="34"/>
    <n v="0.61899999999999999"/>
    <n v="0.51200000000000001"/>
    <n v="5.5051999999999998E-4"/>
    <n v="0.99944999999999995"/>
    <s v="29.063339275212183"/>
    <s v="3.2568237640064384"/>
    <s v="2.285933111420856"/>
    <s v="14.40838981002641"/>
    <n v="778386033"/>
    <x v="0"/>
    <n v="1.3267322E-3"/>
    <x v="0"/>
  </r>
  <r>
    <n v="55"/>
    <n v="0"/>
    <n v="2"/>
    <n v="2"/>
    <n v="1"/>
    <n v="5"/>
    <n v="0"/>
    <n v="36"/>
    <n v="5"/>
    <n v="3"/>
    <n v="2"/>
    <n v="12494"/>
    <n v="0"/>
    <n v="12494"/>
    <n v="0.57599999999999996"/>
    <n v="7026"/>
    <n v="69"/>
    <n v="0.91700000000000004"/>
    <n v="0"/>
    <n v="0.99446999999999997"/>
    <n v="5.5300000000000002E-3"/>
    <s v="10.075152916181535"/>
    <s v="16.315813949791178"/>
    <s v="54.682631003832896"/>
    <s v="13.42770014860482"/>
    <n v="712916958"/>
    <x v="1"/>
    <n v="0.99509144000000005"/>
    <x v="1"/>
  </r>
  <r>
    <n v="41"/>
    <n v="0"/>
    <n v="3"/>
    <n v="4"/>
    <n v="3"/>
    <n v="1"/>
    <n v="0"/>
    <n v="29"/>
    <n v="6"/>
    <n v="1"/>
    <n v="3"/>
    <n v="14345"/>
    <n v="960"/>
    <n v="13385"/>
    <n v="0.81699999999999995"/>
    <n v="4045"/>
    <n v="72"/>
    <n v="0.94599999999999995"/>
    <n v="6.7000000000000004E-2"/>
    <n v="1.1311000000000001E-4"/>
    <n v="0.99988999999999995"/>
    <s v="46.01493151202739"/>
    <s v="45.74354039400751"/>
    <s v="53.59094170574821"/>
    <s v="3.036886463137056"/>
    <n v="718522308"/>
    <x v="0"/>
    <n v="4.3989909999999998E-4"/>
    <x v="0"/>
  </r>
  <r>
    <n v="46"/>
    <n v="1"/>
    <n v="3"/>
    <n v="2"/>
    <n v="0"/>
    <n v="3"/>
    <n v="0"/>
    <n v="38"/>
    <n v="3"/>
    <n v="2"/>
    <n v="1"/>
    <n v="8475"/>
    <n v="1385"/>
    <n v="7090"/>
    <n v="0.61099999999999999"/>
    <n v="1381"/>
    <n v="40"/>
    <n v="0.48099999999999998"/>
    <n v="0.16300000000000001"/>
    <s v="7.1226e-05"/>
    <n v="0.99992999999999999"/>
    <s v="28.039893117597813"/>
    <s v="46.79750254941682"/>
    <s v="40.86116596010535"/>
    <n v="9.4556896129547106"/>
    <n v="716343408"/>
    <x v="0"/>
    <n v="1.232702E-3"/>
    <x v="0"/>
  </r>
  <r>
    <n v="56"/>
    <n v="0"/>
    <n v="0"/>
    <n v="6"/>
    <n v="2"/>
    <n v="4"/>
    <n v="0"/>
    <n v="36"/>
    <n v="5"/>
    <n v="4"/>
    <n v="2"/>
    <n v="3033"/>
    <n v="0"/>
    <n v="3033"/>
    <n v="0.89"/>
    <n v="4921"/>
    <n v="90"/>
    <n v="0.69799999999999995"/>
    <n v="0"/>
    <n v="2.0504E-4"/>
    <n v="0.99978999999999996"/>
    <s v="51.95151100425068"/>
    <s v="49.69982513954724"/>
    <n v="78.457201028589395"/>
    <n v="3.6622011109705199"/>
    <n v="714343608"/>
    <x v="0"/>
    <n v="7.4699510000000001E-4"/>
    <x v="0"/>
  </r>
  <r>
    <n v="36"/>
    <n v="0"/>
    <n v="4"/>
    <n v="5"/>
    <n v="1"/>
    <n v="4"/>
    <n v="0"/>
    <n v="36"/>
    <n v="5"/>
    <n v="3"/>
    <n v="0"/>
    <n v="4228"/>
    <n v="1886"/>
    <n v="2342"/>
    <n v="1.0760000000000001"/>
    <n v="4356"/>
    <n v="74"/>
    <n v="0.68200000000000005"/>
    <n v="0.44600000000000001"/>
    <s v="7.1552e-05"/>
    <n v="0.99992999999999999"/>
    <s v="14.75064892848368"/>
    <s v="12.011761618299367"/>
    <s v="48.13568562299354"/>
    <n v="2.6004002685817902"/>
    <n v="714313608"/>
    <x v="0"/>
    <n v="3.221314E-4"/>
    <x v="0"/>
  </r>
  <r>
    <n v="44"/>
    <n v="0"/>
    <n v="4"/>
    <n v="3"/>
    <n v="2"/>
    <n v="1"/>
    <n v="0"/>
    <n v="38"/>
    <n v="6"/>
    <n v="3"/>
    <n v="3"/>
    <n v="7881"/>
    <n v="2517"/>
    <n v="5364"/>
    <n v="0.73799999999999999"/>
    <n v="3068"/>
    <n v="77"/>
    <n v="0.71099999999999997"/>
    <n v="0.31900000000000001"/>
    <n v="3.0842E-4"/>
    <n v="0.99968999999999997"/>
    <s v="11.828447467353715"/>
    <s v="0.9138970648195714"/>
    <s v="71.20992727589349"/>
    <s v="6.912680093436372"/>
    <n v="715161633"/>
    <x v="0"/>
    <n v="3.774022E-4"/>
    <x v="0"/>
  </r>
  <r>
    <n v="54"/>
    <n v="0"/>
    <n v="3"/>
    <n v="0"/>
    <n v="2"/>
    <n v="4"/>
    <n v="0"/>
    <n v="45"/>
    <n v="5"/>
    <n v="1"/>
    <n v="4"/>
    <n v="3062"/>
    <n v="2039"/>
    <n v="1023"/>
    <n v="1.0569999999999999"/>
    <n v="4037"/>
    <n v="71"/>
    <n v="0.82099999999999995"/>
    <n v="0.66600000000000004"/>
    <n v="1.5944E-4"/>
    <n v="0.99983999999999995"/>
    <s v="18.415633858579763"/>
    <s v="29.392809865939302"/>
    <s v="87.33652786657603"/>
    <s v="0.4446645197846754"/>
    <n v="709869708"/>
    <x v="0"/>
    <n v="3.221314E-4"/>
    <x v="0"/>
  </r>
  <r>
    <n v="41"/>
    <n v="0"/>
    <n v="4"/>
    <n v="2"/>
    <n v="1"/>
    <n v="1"/>
    <n v="0"/>
    <n v="33"/>
    <n v="6"/>
    <n v="3"/>
    <n v="2"/>
    <n v="6230"/>
    <n v="1173"/>
    <n v="5057"/>
    <n v="0.60699999999999998"/>
    <n v="3769"/>
    <n v="77"/>
    <n v="0.54"/>
    <n v="0.188"/>
    <n v="1.8864000000000001E-4"/>
    <n v="0.99980999999999998"/>
    <s v="34.93534119221606"/>
    <s v="13.356534835865114"/>
    <s v="146.6860908630963"/>
    <s v="0.6036989914963075"/>
    <n v="715287708"/>
    <x v="0"/>
    <n v="3.2914013999999999E-4"/>
    <x v="0"/>
  </r>
  <r>
    <n v="40"/>
    <n v="1"/>
    <n v="4"/>
    <n v="2"/>
    <n v="0"/>
    <n v="1"/>
    <n v="0"/>
    <n v="28"/>
    <n v="1"/>
    <n v="2"/>
    <n v="3"/>
    <n v="5821"/>
    <n v="894"/>
    <n v="4927"/>
    <n v="0.46100000000000002"/>
    <n v="2011"/>
    <n v="42"/>
    <n v="0.27300000000000002"/>
    <n v="0.154"/>
    <n v="0.99504000000000004"/>
    <n v="4.9552399999999996E-3"/>
    <s v="7.618533368342527"/>
    <s v="37.31309722589175"/>
    <s v="63.51639696731869"/>
    <s v="15.011533946122045"/>
    <n v="721137558"/>
    <x v="1"/>
    <n v="0.99711203999999998"/>
    <x v="1"/>
  </r>
  <r>
    <n v="59"/>
    <n v="0"/>
    <n v="1"/>
    <n v="5"/>
    <n v="1"/>
    <n v="4"/>
    <n v="0"/>
    <n v="54"/>
    <n v="5"/>
    <n v="3"/>
    <n v="0"/>
    <n v="2890"/>
    <n v="2001"/>
    <n v="889"/>
    <n v="1.3340000000000001"/>
    <n v="1860"/>
    <n v="36"/>
    <n v="1"/>
    <n v="0.69199999999999995"/>
    <s v="6.4038e-05"/>
    <n v="0.99994000000000005"/>
    <s v="1.7374332427272534"/>
    <s v="29.458324400437764"/>
    <s v="1.4703860797476178"/>
    <s v="2.167613853296732"/>
    <n v="815500983"/>
    <x v="0"/>
    <n v="9.8706899999999992E-4"/>
    <x v="0"/>
  </r>
  <r>
    <n v="36"/>
    <n v="1"/>
    <n v="3"/>
    <n v="3"/>
    <n v="1"/>
    <n v="2"/>
    <n v="0"/>
    <n v="36"/>
    <n v="6"/>
    <n v="3"/>
    <n v="3"/>
    <n v="4108"/>
    <n v="1659"/>
    <n v="2449"/>
    <n v="1.202"/>
    <n v="2275"/>
    <n v="58"/>
    <n v="0.871"/>
    <n v="0.40400000000000003"/>
    <n v="3.0516000000000001E-4"/>
    <n v="0.99968999999999997"/>
    <s v="20.39844728313802"/>
    <s v="2.545606915011614"/>
    <s v="29.696470787562195"/>
    <s v="18.708496417377507"/>
    <n v="717999183"/>
    <x v="0"/>
    <n v="4.4293503999999999E-4"/>
    <x v="0"/>
  </r>
  <r>
    <n v="47"/>
    <n v="1"/>
    <n v="4"/>
    <n v="3"/>
    <n v="1"/>
    <n v="1"/>
    <n v="0"/>
    <n v="42"/>
    <n v="6"/>
    <n v="0"/>
    <n v="0"/>
    <n v="4785"/>
    <n v="1362"/>
    <n v="3423"/>
    <n v="0.73899999999999999"/>
    <n v="1045"/>
    <n v="38"/>
    <n v="0.9"/>
    <n v="0.28499999999999998"/>
    <s v="7.6642e-06"/>
    <n v="0.99999000000000005"/>
    <s v="73.74798665248895"/>
    <s v="16.417054813320117"/>
    <s v="61.80531936596862"/>
    <s v="12.151617019410926"/>
    <n v="806624208"/>
    <x v="0"/>
    <n v="1.0667827000000001E-3"/>
    <x v="0"/>
  </r>
  <r>
    <n v="45"/>
    <n v="0"/>
    <n v="4"/>
    <n v="3"/>
    <n v="1"/>
    <n v="5"/>
    <n v="0"/>
    <n v="39"/>
    <n v="4"/>
    <n v="3"/>
    <n v="2"/>
    <n v="24880"/>
    <n v="836"/>
    <n v="24044"/>
    <n v="0.70099999999999996"/>
    <n v="1208"/>
    <n v="25"/>
    <n v="1.083"/>
    <n v="3.4000000000000002E-2"/>
    <n v="1.8338999999999999E-4"/>
    <n v="0.99982000000000004"/>
    <s v="54.59670225278126"/>
    <s v="22.077989517464136"/>
    <s v="0.4290332338932063"/>
    <s v="6.878831698248571"/>
    <n v="813240408"/>
    <x v="0"/>
    <n v="1.7299717000000001E-3"/>
    <x v="0"/>
  </r>
  <r>
    <n v="49"/>
    <n v="0"/>
    <n v="1"/>
    <n v="6"/>
    <n v="1"/>
    <n v="1"/>
    <n v="0"/>
    <n v="37"/>
    <n v="5"/>
    <n v="2"/>
    <n v="4"/>
    <n v="3943"/>
    <n v="1135"/>
    <n v="2808"/>
    <n v="0.67200000000000004"/>
    <n v="4180"/>
    <n v="82"/>
    <n v="0.78300000000000003"/>
    <n v="0.28799999999999998"/>
    <n v="3.3691999999999999E-4"/>
    <n v="0.99965999999999999"/>
    <s v="25.761169761328517"/>
    <s v="55.54664500656048"/>
    <s v="19.60588427726843"/>
    <n v="2.8183438485589201"/>
    <n v="789717708"/>
    <x v="0"/>
    <n v="3.2101269999999999E-4"/>
    <x v="0"/>
  </r>
  <r>
    <n v="60"/>
    <n v="1"/>
    <n v="0"/>
    <n v="3"/>
    <n v="1"/>
    <n v="2"/>
    <n v="0"/>
    <n v="54"/>
    <n v="6"/>
    <n v="1"/>
    <n v="2"/>
    <n v="9592"/>
    <n v="1968"/>
    <n v="7624"/>
    <n v="0.61"/>
    <n v="1821"/>
    <n v="55"/>
    <n v="0.44700000000000001"/>
    <n v="0.20499999999999999"/>
    <s v="4.5946e-05"/>
    <n v="0.99995000000000001"/>
    <s v="37.42513722921648"/>
    <s v="48.669538151495885"/>
    <s v="18.369578752111444"/>
    <s v="4.057681200956028"/>
    <n v="794113758"/>
    <x v="0"/>
    <n v="5.0520605999999999E-4"/>
    <x v="0"/>
  </r>
  <r>
    <n v="45"/>
    <n v="0"/>
    <n v="3"/>
    <n v="6"/>
    <n v="2"/>
    <n v="5"/>
    <n v="0"/>
    <n v="27"/>
    <n v="4"/>
    <n v="1"/>
    <n v="2"/>
    <n v="1877"/>
    <n v="0"/>
    <n v="1877"/>
    <n v="0.752"/>
    <n v="4854"/>
    <n v="80"/>
    <n v="0.81799999999999995"/>
    <n v="0"/>
    <s v="6.282e-05"/>
    <n v="0.99994000000000005"/>
    <s v="8.918176381533007"/>
    <s v="14.798182059605455"/>
    <n v="59.850867000253203"/>
    <s v="8.949726975139146"/>
    <n v="720418383"/>
    <x v="0"/>
    <n v="6.9517245999999998E-4"/>
    <x v="0"/>
  </r>
  <r>
    <n v="50"/>
    <n v="1"/>
    <n v="2"/>
    <n v="6"/>
    <n v="2"/>
    <n v="0"/>
    <n v="0"/>
    <n v="45"/>
    <n v="6"/>
    <n v="2"/>
    <n v="4"/>
    <n v="32719"/>
    <n v="1650"/>
    <n v="31069"/>
    <n v="0.71699999999999997"/>
    <n v="4037"/>
    <n v="60"/>
    <n v="0.71399999999999997"/>
    <n v="0.05"/>
    <n v="3.5893999999999998E-4"/>
    <n v="0.99963999999999997"/>
    <s v="23.03686374045846"/>
    <s v="11.86803070608002"/>
    <s v="61.15552673396649"/>
    <s v="13.17604436176316"/>
    <n v="818336508"/>
    <x v="0"/>
    <n v="4.034504E-4"/>
    <x v="0"/>
  </r>
  <r>
    <n v="44"/>
    <n v="0"/>
    <n v="2"/>
    <n v="3"/>
    <n v="1"/>
    <n v="4"/>
    <n v="0"/>
    <n v="36"/>
    <n v="2"/>
    <n v="1"/>
    <n v="0"/>
    <n v="6633"/>
    <n v="1322"/>
    <n v="5311"/>
    <n v="0.69799999999999995"/>
    <n v="8396"/>
    <n v="106"/>
    <n v="0.73799999999999999"/>
    <n v="0.19900000000000001"/>
    <s v="1.975e-05"/>
    <n v="0.99997999999999998"/>
    <s v="6.992438603514221"/>
    <s v="4.868176007202262"/>
    <s v="25.53208404540318"/>
    <s v="6.353023282055635"/>
    <n v="709497108"/>
    <x v="0"/>
    <n v="3.6856539999999998E-4"/>
    <x v="0"/>
  </r>
  <r>
    <n v="51"/>
    <n v="1"/>
    <n v="3"/>
    <n v="5"/>
    <n v="1"/>
    <n v="3"/>
    <n v="0"/>
    <n v="42"/>
    <n v="5"/>
    <n v="1"/>
    <n v="3"/>
    <n v="1507"/>
    <n v="961"/>
    <n v="546"/>
    <n v="0.67800000000000005"/>
    <n v="4126"/>
    <n v="90"/>
    <n v="0.66700000000000004"/>
    <n v="0.63800000000000001"/>
    <s v="9.8837e-05"/>
    <n v="0.99990000000000001"/>
    <s v="0.8530851305925904"/>
    <s v="3.2625213131630657"/>
    <s v="49.24845030627132"/>
    <s v="2.708418773984944"/>
    <n v="711549408"/>
    <x v="0"/>
    <n v="3.9522952000000002E-4"/>
    <x v="0"/>
  </r>
  <r>
    <n v="43"/>
    <n v="0"/>
    <n v="4"/>
    <n v="2"/>
    <n v="2"/>
    <n v="4"/>
    <n v="0"/>
    <n v="32"/>
    <n v="4"/>
    <n v="3"/>
    <n v="1"/>
    <n v="3015"/>
    <n v="0"/>
    <n v="3015"/>
    <n v="1.0580000000000001"/>
    <n v="5372"/>
    <n v="75"/>
    <n v="0.59599999999999997"/>
    <n v="0"/>
    <n v="0.99129"/>
    <n v="8.7100000000000007E-3"/>
    <s v="34.151447417405855"/>
    <s v="59.37783932191751"/>
    <s v="131.85645810082752"/>
    <s v="17.751105041527946"/>
    <n v="716858433"/>
    <x v="1"/>
    <n v="0.99451493999999996"/>
    <x v="1"/>
  </r>
  <r>
    <n v="35"/>
    <n v="0"/>
    <n v="1"/>
    <n v="2"/>
    <n v="2"/>
    <n v="4"/>
    <n v="0"/>
    <n v="23"/>
    <n v="4"/>
    <n v="3"/>
    <n v="3"/>
    <n v="2640"/>
    <n v="1051"/>
    <n v="1589"/>
    <n v="0.83299999999999996"/>
    <n v="3116"/>
    <n v="80"/>
    <n v="0.6"/>
    <n v="0.39800000000000002"/>
    <n v="2.8394999999999999E-4"/>
    <n v="0.99972000000000005"/>
    <s v="36.73122686468526"/>
    <s v="34.684623641454145"/>
    <s v="82.39546900216206"/>
    <s v="10.981430097398697"/>
    <n v="709974108"/>
    <x v="0"/>
    <n v="3.5805804999999998E-4"/>
    <x v="0"/>
  </r>
  <r>
    <n v="32"/>
    <n v="1"/>
    <n v="2"/>
    <n v="2"/>
    <n v="2"/>
    <n v="0"/>
    <n v="1"/>
    <n v="22"/>
    <n v="2"/>
    <n v="2"/>
    <n v="3"/>
    <n v="34516"/>
    <n v="1692"/>
    <n v="32824"/>
    <n v="0.98299999999999998"/>
    <n v="7486"/>
    <n v="64"/>
    <n v="0.73"/>
    <n v="4.9000000000000002E-2"/>
    <n v="0.99548999999999999"/>
    <n v="4.5127099999999996E-3"/>
    <s v="19.788457827189973"/>
    <s v="7.346877094470376"/>
    <s v="113.53575529312025"/>
    <s v="7.716594729279251"/>
    <n v="716124408"/>
    <x v="1"/>
    <n v="0.99024873999999996"/>
    <x v="1"/>
  </r>
  <r>
    <n v="38"/>
    <n v="0"/>
    <n v="3"/>
    <n v="2"/>
    <n v="0"/>
    <n v="5"/>
    <n v="0"/>
    <n v="33"/>
    <n v="6"/>
    <n v="2"/>
    <n v="3"/>
    <n v="29638"/>
    <n v="857"/>
    <n v="28781"/>
    <n v="0.48099999999999998"/>
    <n v="3429"/>
    <n v="78"/>
    <n v="0.69599999999999995"/>
    <n v="2.9000000000000001E-2"/>
    <n v="1.9864000000000001E-4"/>
    <n v="0.99980000000000002"/>
    <s v="8.220788772404394"/>
    <s v="34.741915491581466"/>
    <s v="65.49033127308135"/>
    <s v="7.155697860255703"/>
    <n v="810586833"/>
    <x v="0"/>
    <n v="5.4501113E-4"/>
    <x v="0"/>
  </r>
  <r>
    <n v="58"/>
    <n v="0"/>
    <n v="4"/>
    <n v="3"/>
    <n v="1"/>
    <n v="5"/>
    <n v="0"/>
    <n v="48"/>
    <n v="1"/>
    <n v="4"/>
    <n v="3"/>
    <n v="5396"/>
    <n v="1803"/>
    <n v="3593"/>
    <n v="0.49299999999999999"/>
    <n v="2107"/>
    <n v="39"/>
    <n v="0.39300000000000002"/>
    <n v="0.33400000000000002"/>
    <n v="0.99733000000000005"/>
    <n v="2.6748100000000001E-3"/>
    <s v="6.183458070316578"/>
    <s v="55.072997471867566"/>
    <s v="61.616109990693744"/>
    <s v="21.593555996704985"/>
    <n v="714246333"/>
    <x v="1"/>
    <n v="0.99633706"/>
    <x v="1"/>
  </r>
  <r>
    <n v="44"/>
    <n v="1"/>
    <n v="2"/>
    <n v="3"/>
    <n v="2"/>
    <n v="1"/>
    <n v="0"/>
    <n v="31"/>
    <n v="5"/>
    <n v="1"/>
    <n v="1"/>
    <n v="2197"/>
    <n v="0"/>
    <n v="2197"/>
    <n v="0.92100000000000004"/>
    <n v="4548"/>
    <n v="64"/>
    <n v="0.64100000000000001"/>
    <n v="0"/>
    <s v="3.2288e-05"/>
    <n v="0.99997000000000003"/>
    <s v="12.73142345310729"/>
    <s v="34.289607549397154"/>
    <s v="44.38643894769877"/>
    <s v="2.5024185117213045"/>
    <n v="721093608"/>
    <x v="0"/>
    <n v="8.0890452999999999E-4"/>
    <x v="0"/>
  </r>
  <r>
    <n v="45"/>
    <n v="0"/>
    <n v="3"/>
    <n v="2"/>
    <n v="1"/>
    <n v="4"/>
    <n v="0"/>
    <n v="38"/>
    <n v="3"/>
    <n v="3"/>
    <n v="2"/>
    <n v="2400"/>
    <n v="1613"/>
    <n v="787"/>
    <n v="0.629"/>
    <n v="1311"/>
    <n v="34"/>
    <n v="0.41699999999999998"/>
    <n v="0.67200000000000004"/>
    <n v="1.8665000000000001E-4"/>
    <n v="0.99980999999999998"/>
    <s v="29.58840294691468"/>
    <s v="26.91259055203515"/>
    <n v="7.0782253535137896E-2"/>
    <n v="9.6147663356888007"/>
    <n v="719392833"/>
    <x v="0"/>
    <n v="1.232702E-3"/>
    <x v="0"/>
  </r>
  <r>
    <n v="44"/>
    <n v="0"/>
    <n v="3"/>
    <n v="0"/>
    <n v="1"/>
    <n v="5"/>
    <n v="0"/>
    <n v="36"/>
    <n v="3"/>
    <n v="1"/>
    <n v="4"/>
    <n v="8729"/>
    <n v="1427"/>
    <n v="7302"/>
    <n v="0.82899999999999996"/>
    <n v="5347"/>
    <n v="96"/>
    <n v="0.52400000000000002"/>
    <n v="0.16300000000000001"/>
    <n v="1.5944E-4"/>
    <n v="0.99983999999999995"/>
    <s v="21.494681360462224"/>
    <s v="3.823719665250936"/>
    <s v="7.099872819913954"/>
    <s v="3.613231116954659"/>
    <n v="715109508"/>
    <x v="0"/>
    <n v="3.7515239999999999E-4"/>
    <x v="0"/>
  </r>
  <r>
    <n v="42"/>
    <n v="0"/>
    <n v="4"/>
    <n v="2"/>
    <n v="2"/>
    <n v="4"/>
    <n v="0"/>
    <n v="32"/>
    <n v="3"/>
    <n v="1"/>
    <n v="2"/>
    <n v="2996"/>
    <n v="1992"/>
    <n v="1004"/>
    <n v="0.94799999999999995"/>
    <n v="4463"/>
    <n v="87"/>
    <n v="0.74"/>
    <n v="0.66500000000000004"/>
    <s v="5.7762e-05"/>
    <n v="0.99994000000000005"/>
    <s v="48.63588633832285"/>
    <s v="48.37699028613686"/>
    <s v="11.861468629982308"/>
    <s v="5.1158136365054885"/>
    <n v="787587033"/>
    <x v="0"/>
    <n v="3.221314E-4"/>
    <x v="0"/>
  </r>
  <r>
    <n v="43"/>
    <n v="0"/>
    <n v="3"/>
    <n v="2"/>
    <n v="3"/>
    <n v="4"/>
    <n v="0"/>
    <n v="37"/>
    <n v="2"/>
    <n v="3"/>
    <n v="3"/>
    <n v="3461"/>
    <n v="1767"/>
    <n v="1694"/>
    <n v="0.82899999999999996"/>
    <n v="13179"/>
    <n v="122"/>
    <n v="0.69399999999999995"/>
    <n v="0.51100000000000001"/>
    <n v="3.1389999999999999E-4"/>
    <n v="0.99968999999999997"/>
    <s v="66.04418679788407"/>
    <s v="15.44326257770043"/>
    <n v="86.340282519731801"/>
    <s v="8.379135736025031"/>
    <n v="768181608"/>
    <x v="0"/>
    <n v="3.4656386999999997E-4"/>
    <x v="0"/>
  </r>
  <r>
    <n v="57"/>
    <n v="1"/>
    <n v="2"/>
    <n v="5"/>
    <n v="1"/>
    <n v="3"/>
    <n v="0"/>
    <n v="52"/>
    <n v="6"/>
    <n v="2"/>
    <n v="4"/>
    <n v="10974"/>
    <n v="0"/>
    <n v="10974"/>
    <n v="0.59099999999999997"/>
    <n v="1327"/>
    <n v="26"/>
    <n v="1"/>
    <n v="0"/>
    <n v="3.3576999999999999E-4"/>
    <n v="0.99965999999999999"/>
    <s v="15.20739965385104"/>
    <s v="34.93117977193555"/>
    <s v="20.19293605913028"/>
    <s v="12.232195134318124"/>
    <n v="720076458"/>
    <x v="0"/>
    <n v="3.081084E-3"/>
    <x v="0"/>
  </r>
  <r>
    <n v="56"/>
    <n v="0"/>
    <n v="2"/>
    <n v="6"/>
    <n v="2"/>
    <n v="1"/>
    <n v="0"/>
    <n v="37"/>
    <n v="2"/>
    <n v="2"/>
    <n v="3"/>
    <n v="2963"/>
    <n v="0"/>
    <n v="2963"/>
    <n v="0.90200000000000002"/>
    <n v="2919"/>
    <n v="47"/>
    <n v="0.38200000000000001"/>
    <n v="0"/>
    <n v="0.99526999999999999"/>
    <n v="4.7289599999999999E-3"/>
    <s v="22.989783517798983"/>
    <s v="65.75805659506013"/>
    <s v="61.94461137543359"/>
    <n v="3.4359182718616399"/>
    <n v="778899708"/>
    <x v="1"/>
    <n v="0.99867486999999999"/>
    <x v="1"/>
  </r>
  <r>
    <n v="36"/>
    <n v="0"/>
    <n v="4"/>
    <n v="6"/>
    <n v="2"/>
    <n v="4"/>
    <n v="0"/>
    <n v="26"/>
    <n v="3"/>
    <n v="2"/>
    <n v="3"/>
    <n v="1438.3"/>
    <n v="0"/>
    <n v="1438.3"/>
    <n v="0.82699999999999996"/>
    <n v="4886"/>
    <n v="85"/>
    <n v="0.77100000000000002"/>
    <n v="0"/>
    <n v="2.2068000000000001E-4"/>
    <n v="0.99978"/>
    <s v="22.82421668371131"/>
    <s v="27.301894211305456"/>
    <s v="116.88196946195669"/>
    <s v="4.511646831062697"/>
    <n v="712673283"/>
    <x v="0"/>
    <n v="6.9517245999999998E-4"/>
    <x v="0"/>
  </r>
  <r>
    <n v="48"/>
    <n v="0"/>
    <n v="2"/>
    <n v="2"/>
    <n v="0"/>
    <n v="5"/>
    <n v="0"/>
    <n v="43"/>
    <n v="2"/>
    <n v="3"/>
    <n v="3"/>
    <n v="7791"/>
    <n v="1472"/>
    <n v="6319"/>
    <n v="0.97899999999999998"/>
    <n v="13945"/>
    <n v="107"/>
    <n v="0.754"/>
    <n v="0.189"/>
    <n v="3.0250999999999998E-4"/>
    <n v="0.99970000000000003"/>
    <s v="39.48339210101851"/>
    <s v="30.028673168470974"/>
    <s v="44.49437929218419"/>
    <s v="9.460930582506302"/>
    <n v="803335008"/>
    <x v="0"/>
    <n v="3.6437239999999999E-4"/>
    <x v="0"/>
  </r>
  <r>
    <n v="40"/>
    <n v="1"/>
    <n v="3"/>
    <n v="3"/>
    <n v="1"/>
    <n v="2"/>
    <n v="0"/>
    <n v="28"/>
    <n v="2"/>
    <n v="2"/>
    <n v="3"/>
    <n v="13452"/>
    <n v="2517"/>
    <n v="10935"/>
    <n v="0.78100000000000003"/>
    <n v="7582"/>
    <n v="69"/>
    <n v="0.91700000000000004"/>
    <n v="0.187"/>
    <n v="1.9311E-4"/>
    <n v="0.99980999999999998"/>
    <s v="8.909995339316932"/>
    <s v="54.86602602234488"/>
    <s v="5.003902981117771"/>
    <s v="13.184768181714569"/>
    <n v="711410958"/>
    <x v="0"/>
    <n v="6.0352789999999995E-4"/>
    <x v="0"/>
  </r>
  <r>
    <n v="37"/>
    <n v="0"/>
    <n v="0"/>
    <n v="2"/>
    <n v="0"/>
    <n v="1"/>
    <n v="0"/>
    <n v="28"/>
    <n v="4"/>
    <n v="3"/>
    <n v="1"/>
    <n v="1920"/>
    <n v="0"/>
    <n v="1920"/>
    <n v="0.68799999999999994"/>
    <n v="4715"/>
    <n v="81"/>
    <n v="0.84099999999999997"/>
    <n v="0"/>
    <s v="9.3087e-05"/>
    <n v="0.99990999999999997"/>
    <s v="10.548884081351964"/>
    <s v="35.014389682202754"/>
    <s v="13.203892776749262"/>
    <s v="1.5485009897685924"/>
    <n v="717443658"/>
    <x v="0"/>
    <n v="6.9517245999999998E-4"/>
    <x v="0"/>
  </r>
  <r>
    <n v="46"/>
    <n v="0"/>
    <n v="3"/>
    <n v="2"/>
    <n v="3"/>
    <n v="4"/>
    <n v="0"/>
    <n v="36"/>
    <n v="5"/>
    <n v="3"/>
    <n v="4"/>
    <n v="5090"/>
    <n v="1650"/>
    <n v="3440"/>
    <n v="0.57999999999999996"/>
    <n v="3707"/>
    <n v="72"/>
    <n v="0.44"/>
    <n v="0.32400000000000001"/>
    <n v="5.3543000000000004E-4"/>
    <n v="0.99946000000000002"/>
    <s v="2.068492465661693"/>
    <s v="7.724564849877391"/>
    <s v="135.4342628133863"/>
    <n v="8.8372907005672996"/>
    <n v="708451233"/>
    <x v="0"/>
    <n v="3.5747702000000001E-4"/>
    <x v="0"/>
  </r>
  <r>
    <n v="48"/>
    <n v="1"/>
    <n v="4"/>
    <n v="4"/>
    <n v="3"/>
    <n v="1"/>
    <n v="0"/>
    <n v="44"/>
    <n v="6"/>
    <n v="2"/>
    <n v="4"/>
    <n v="6710"/>
    <n v="1942"/>
    <n v="4768"/>
    <n v="0.77700000000000002"/>
    <n v="1727"/>
    <n v="37"/>
    <n v="0.85"/>
    <n v="0.28899999999999998"/>
    <n v="4.0297E-4"/>
    <n v="0.99960000000000004"/>
    <s v="25.638371978063088"/>
    <s v="70.55949988040787"/>
    <s v="16.508487499655814"/>
    <s v="1.883246502598152"/>
    <n v="823948308"/>
    <x v="0"/>
    <n v="9.8706899999999992E-4"/>
    <x v="0"/>
  </r>
  <r>
    <n v="35"/>
    <n v="1"/>
    <n v="0"/>
    <n v="3"/>
    <n v="2"/>
    <n v="3"/>
    <n v="1"/>
    <n v="29"/>
    <n v="6"/>
    <n v="2"/>
    <n v="3"/>
    <n v="34516"/>
    <n v="1965"/>
    <n v="32551"/>
    <n v="1.044"/>
    <n v="2949"/>
    <n v="70"/>
    <n v="1"/>
    <n v="5.7000000000000002E-2"/>
    <n v="1.8399000000000001E-4"/>
    <n v="0.99982000000000004"/>
    <s v="64.57695391689248"/>
    <s v="2.3521341517897034"/>
    <s v="21.642663701391697"/>
    <s v="18.18096624500077"/>
    <n v="714832383"/>
    <x v="0"/>
    <n v="4.0313767000000001E-4"/>
    <x v="0"/>
  </r>
  <r>
    <n v="45"/>
    <n v="0"/>
    <n v="3"/>
    <n v="2"/>
    <n v="3"/>
    <n v="1"/>
    <n v="0"/>
    <n v="35"/>
    <n v="2"/>
    <n v="3"/>
    <n v="2"/>
    <n v="4318"/>
    <n v="2359"/>
    <n v="1959"/>
    <n v="0.99299999999999999"/>
    <n v="12867"/>
    <n v="118"/>
    <n v="0.57299999999999995"/>
    <n v="0.54600000000000004"/>
    <n v="1.8665000000000001E-4"/>
    <n v="0.99980999999999998"/>
    <s v="11.161271299561651"/>
    <s v="41.26504143666976"/>
    <s v="6.505340192979052"/>
    <s v="23.306138698200694"/>
    <n v="789866133"/>
    <x v="0"/>
    <n v="3.5657453999999998E-4"/>
    <x v="0"/>
  </r>
  <r>
    <n v="59"/>
    <n v="0"/>
    <n v="1"/>
    <n v="2"/>
    <n v="2"/>
    <n v="5"/>
    <n v="0"/>
    <n v="49"/>
    <n v="3"/>
    <n v="4"/>
    <n v="6"/>
    <n v="8708"/>
    <n v="1091"/>
    <n v="7617"/>
    <n v="0.90400000000000003"/>
    <n v="2508"/>
    <n v="49"/>
    <n v="0.88500000000000001"/>
    <n v="0.125"/>
    <n v="0.99944"/>
    <n v="5.6181000000000004E-4"/>
    <s v="3.095796761210275"/>
    <s v="53.06247402863893"/>
    <s v="20.736068429612384"/>
    <s v="14.178440152468252"/>
    <n v="768632958"/>
    <x v="1"/>
    <n v="0.99045426000000003"/>
    <x v="1"/>
  </r>
  <r>
    <n v="31"/>
    <n v="0"/>
    <n v="1"/>
    <n v="4"/>
    <n v="1"/>
    <n v="4"/>
    <n v="0"/>
    <n v="21"/>
    <n v="2"/>
    <n v="1"/>
    <n v="2"/>
    <n v="5342"/>
    <n v="2005"/>
    <n v="3337"/>
    <n v="0.68200000000000005"/>
    <n v="14738"/>
    <n v="94"/>
    <n v="0.70899999999999996"/>
    <n v="0.375"/>
    <s v="6.083e-05"/>
    <n v="0.99994000000000005"/>
    <s v="1.801930820328353"/>
    <s v="28.128172287244755"/>
    <s v="107.44538202450067"/>
    <s v="13.950034913653347"/>
    <n v="772491333"/>
    <x v="0"/>
    <n v="3.4656386999999997E-4"/>
    <x v="0"/>
  </r>
  <r>
    <n v="50"/>
    <n v="0"/>
    <n v="2"/>
    <n v="3"/>
    <n v="1"/>
    <n v="4"/>
    <n v="0"/>
    <n v="36"/>
    <n v="3"/>
    <n v="1"/>
    <n v="3"/>
    <n v="3397"/>
    <n v="1658"/>
    <n v="1739"/>
    <n v="0.72399999999999998"/>
    <n v="4208"/>
    <n v="75"/>
    <n v="0.78600000000000003"/>
    <n v="0.48799999999999999"/>
    <s v="9.0056e-05"/>
    <n v="0.99990999999999997"/>
    <s v="44.29206548736099"/>
    <s v="75.66247585380634"/>
    <s v="5.386027638774857"/>
    <s v="2.892699974007219"/>
    <n v="718420308"/>
    <x v="0"/>
    <n v="3.2101269999999999E-4"/>
    <x v="0"/>
  </r>
  <r>
    <n v="65"/>
    <n v="1"/>
    <n v="0"/>
    <n v="0"/>
    <n v="0"/>
    <n v="4"/>
    <n v="0"/>
    <n v="42"/>
    <n v="5"/>
    <n v="3"/>
    <n v="2"/>
    <n v="9706"/>
    <n v="1968"/>
    <n v="7738"/>
    <n v="1.022"/>
    <n v="3435"/>
    <n v="58"/>
    <n v="0.70599999999999996"/>
    <n v="0.20300000000000001"/>
    <n v="1.5007E-4"/>
    <n v="0.99985000000000002"/>
    <s v="21.13225784508357"/>
    <s v="15.03534846617328"/>
    <s v="98.43413645139609"/>
    <s v="2.948083093150711"/>
    <n v="711076533"/>
    <x v="0"/>
    <n v="4.0212742000000001E-4"/>
    <x v="0"/>
  </r>
  <r>
    <n v="54"/>
    <n v="0"/>
    <n v="3"/>
    <n v="3"/>
    <n v="1"/>
    <n v="4"/>
    <n v="0"/>
    <n v="41"/>
    <n v="5"/>
    <n v="4"/>
    <n v="4"/>
    <n v="3161"/>
    <n v="1220"/>
    <n v="1941"/>
    <n v="0.82"/>
    <n v="2412"/>
    <n v="62"/>
    <n v="0.82399999999999995"/>
    <n v="0.38600000000000001"/>
    <n v="6.2901000000000005E-4"/>
    <n v="0.99936999999999998"/>
    <s v="28.17044526386209"/>
    <s v="11.493293067274369"/>
    <s v="21.614753545445925"/>
    <s v="0.2829510441230949"/>
    <n v="713287608"/>
    <x v="0"/>
    <n v="4.5376150000000002E-4"/>
    <x v="0"/>
  </r>
  <r>
    <n v="36"/>
    <n v="0"/>
    <n v="2"/>
    <n v="6"/>
    <n v="3"/>
    <n v="4"/>
    <n v="0"/>
    <n v="28"/>
    <n v="6"/>
    <n v="1"/>
    <n v="2"/>
    <n v="2169"/>
    <n v="1602"/>
    <n v="567"/>
    <n v="0.66800000000000004"/>
    <n v="5182"/>
    <n v="78"/>
    <n v="0.81399999999999995"/>
    <n v="0.73899999999999999"/>
    <s v="6.054e-05"/>
    <n v="0.99994000000000005"/>
    <s v="39.02182526761624"/>
    <s v="36.95267787395301"/>
    <s v="65.45082879222504"/>
    <s v="5.414838773804339"/>
    <n v="712637283"/>
    <x v="0"/>
    <n v="3.2101269999999999E-4"/>
    <x v="0"/>
  </r>
  <r>
    <n v="57"/>
    <n v="1"/>
    <n v="0"/>
    <n v="5"/>
    <n v="2"/>
    <n v="2"/>
    <n v="0"/>
    <n v="42"/>
    <n v="6"/>
    <n v="4"/>
    <n v="3"/>
    <n v="8377"/>
    <n v="1211"/>
    <n v="7166"/>
    <n v="0.81299999999999994"/>
    <n v="1797"/>
    <n v="44"/>
    <n v="1.2"/>
    <n v="0.14499999999999999"/>
    <n v="3.2257E-4"/>
    <n v="0.99968000000000001"/>
    <n v="34.412497473319803"/>
    <s v="10.383977138340622"/>
    <s v="14.722644466023374"/>
    <s v="24.54319573217753"/>
    <n v="815484783"/>
    <x v="0"/>
    <n v="9.8706899999999992E-4"/>
    <x v="0"/>
  </r>
  <r>
    <n v="39"/>
    <n v="1"/>
    <n v="2"/>
    <n v="6"/>
    <n v="1"/>
    <n v="3"/>
    <n v="0"/>
    <n v="27"/>
    <n v="3"/>
    <n v="3"/>
    <n v="2"/>
    <n v="34516"/>
    <n v="1629"/>
    <n v="32887"/>
    <n v="1.0780000000000001"/>
    <n v="3448"/>
    <n v="53"/>
    <n v="1.038"/>
    <n v="4.7E-2"/>
    <n v="1.9771E-4"/>
    <n v="0.99980000000000002"/>
    <s v="6.158930659547142"/>
    <s v="37.66358139471327"/>
    <s v="74.25258036854811"/>
    <s v="5.911546502705211"/>
    <n v="711368283"/>
    <x v="0"/>
    <n v="6.9789639999999996E-4"/>
    <x v="0"/>
  </r>
  <r>
    <n v="63"/>
    <n v="0"/>
    <n v="1"/>
    <n v="3"/>
    <n v="1"/>
    <n v="5"/>
    <n v="0"/>
    <n v="50"/>
    <n v="6"/>
    <n v="1"/>
    <n v="3"/>
    <n v="12766"/>
    <n v="0"/>
    <n v="12766"/>
    <n v="0.66800000000000004"/>
    <n v="1191"/>
    <n v="28"/>
    <n v="0.64700000000000002"/>
    <n v="0"/>
    <s v="8.453e-05"/>
    <n v="0.99992000000000003"/>
    <s v="2.969066294635408"/>
    <s v="58.60966027665949"/>
    <s v="130.4004038342848"/>
    <s v="3.7848880951662975"/>
    <n v="709451508"/>
    <x v="0"/>
    <n v="3.7827827E-3"/>
    <x v="0"/>
  </r>
  <r>
    <n v="44"/>
    <n v="1"/>
    <n v="2"/>
    <n v="2"/>
    <n v="1"/>
    <n v="2"/>
    <n v="0"/>
    <n v="37"/>
    <n v="1"/>
    <n v="1"/>
    <n v="1"/>
    <n v="1787"/>
    <n v="0"/>
    <n v="1787"/>
    <n v="0.60899999999999999"/>
    <n v="3912"/>
    <n v="79"/>
    <n v="0.97499999999999998"/>
    <n v="0"/>
    <s v="3.3214e-05"/>
    <n v="0.99997000000000003"/>
    <s v="27.924659626309023"/>
    <s v="26.089236564217856"/>
    <s v="5.0718214206570895"/>
    <s v="10.397015120968312"/>
    <n v="789588933"/>
    <x v="0"/>
    <n v="6.9517245999999998E-4"/>
    <x v="0"/>
  </r>
  <r>
    <n v="44"/>
    <n v="1"/>
    <n v="4"/>
    <n v="2"/>
    <n v="2"/>
    <n v="2"/>
    <n v="0"/>
    <n v="25"/>
    <n v="3"/>
    <n v="3"/>
    <n v="2"/>
    <n v="10534"/>
    <n v="0"/>
    <n v="10534"/>
    <n v="0.98499999999999999"/>
    <n v="3456"/>
    <n v="72"/>
    <n v="0.63600000000000001"/>
    <n v="0"/>
    <n v="1.8864000000000001E-4"/>
    <n v="0.99980999999999998"/>
    <s v="77.12451852272204"/>
    <s v="76.06490887815039"/>
    <s v="96.28887555116084"/>
    <n v="21.855334621660599"/>
    <n v="720795858"/>
    <x v="0"/>
    <n v="7.6589819999999995E-4"/>
    <x v="0"/>
  </r>
  <r>
    <n v="43"/>
    <n v="1"/>
    <n v="4"/>
    <n v="2"/>
    <n v="0"/>
    <n v="3"/>
    <n v="0"/>
    <n v="32"/>
    <n v="2"/>
    <n v="1"/>
    <n v="2"/>
    <n v="24244"/>
    <n v="1649"/>
    <n v="22595"/>
    <n v="0.77600000000000002"/>
    <n v="8074"/>
    <n v="84"/>
    <n v="0.64700000000000002"/>
    <n v="6.8000000000000005E-2"/>
    <s v="5.7762e-05"/>
    <n v="0.99994000000000005"/>
    <s v="10.294688455519251"/>
    <s v="30.355366662940824"/>
    <s v="48.94949059526301"/>
    <s v="2.4969277130039544"/>
    <n v="710295858"/>
    <x v="0"/>
    <n v="4.2060707000000003E-4"/>
    <x v="0"/>
  </r>
  <r>
    <n v="54"/>
    <n v="1"/>
    <n v="2"/>
    <n v="3"/>
    <n v="1"/>
    <n v="0"/>
    <n v="0"/>
    <n v="42"/>
    <n v="3"/>
    <n v="2"/>
    <n v="3"/>
    <n v="5256"/>
    <n v="889"/>
    <n v="4367"/>
    <n v="0.55900000000000005"/>
    <n v="5078"/>
    <n v="91"/>
    <n v="0.68500000000000005"/>
    <n v="0.16900000000000001"/>
    <n v="1.861E-4"/>
    <n v="0.99980999999999998"/>
    <s v="83.62092456680821"/>
    <s v="18.87568048684222"/>
    <s v="113.87071045816336"/>
    <s v="13.613154455264231"/>
    <n v="709408983"/>
    <x v="0"/>
    <n v="4.2162873000000002E-4"/>
    <x v="0"/>
  </r>
  <r>
    <n v="45"/>
    <n v="1"/>
    <n v="2"/>
    <n v="5"/>
    <n v="1"/>
    <n v="2"/>
    <n v="0"/>
    <n v="36"/>
    <n v="5"/>
    <n v="3"/>
    <n v="2"/>
    <n v="2221"/>
    <n v="1343"/>
    <n v="878"/>
    <n v="0.86899999999999999"/>
    <n v="1338"/>
    <n v="30"/>
    <n v="1.3080000000000001"/>
    <n v="0.60499999999999998"/>
    <n v="1.8494E-4"/>
    <n v="0.99982000000000004"/>
    <s v="33.87587839473788"/>
    <s v="40.392569455301285"/>
    <s v="52.93558704489248"/>
    <s v="21.673990199232897"/>
    <n v="712890408"/>
    <x v="0"/>
    <n v="9.8706899999999992E-4"/>
    <x v="0"/>
  </r>
  <r>
    <n v="48"/>
    <n v="1"/>
    <n v="5"/>
    <n v="2"/>
    <n v="1"/>
    <n v="3"/>
    <n v="0"/>
    <n v="38"/>
    <n v="6"/>
    <n v="2"/>
    <n v="2"/>
    <n v="34516"/>
    <n v="657"/>
    <n v="33859"/>
    <n v="0.72299999999999998"/>
    <n v="3661"/>
    <n v="71"/>
    <n v="0.86799999999999999"/>
    <n v="1.9E-2"/>
    <n v="1.1751E-4"/>
    <n v="0.99987999999999999"/>
    <n v="42.077678831857902"/>
    <s v="28.739413011358224"/>
    <s v="1.7345885515299486"/>
    <s v="25.732915132136885"/>
    <n v="778170633"/>
    <x v="0"/>
    <n v="6.0646630000000005E-4"/>
    <x v="0"/>
  </r>
  <r>
    <n v="46"/>
    <n v="0"/>
    <n v="2"/>
    <n v="2"/>
    <n v="1"/>
    <n v="4"/>
    <n v="0"/>
    <n v="33"/>
    <n v="3"/>
    <n v="3"/>
    <n v="3"/>
    <n v="2267"/>
    <n v="1283"/>
    <n v="984"/>
    <n v="0.76100000000000001"/>
    <n v="4249"/>
    <n v="81"/>
    <n v="0.8"/>
    <n v="0.56599999999999995"/>
    <n v="3.0250999999999998E-4"/>
    <n v="0.99970000000000003"/>
    <s v="12.130124044389502"/>
    <s v="56.65769213233134"/>
    <s v="17.001017385486843"/>
    <s v="14.482013998083902"/>
    <n v="771232533"/>
    <x v="0"/>
    <n v="3.2101269999999999E-4"/>
    <x v="0"/>
  </r>
  <r>
    <n v="50"/>
    <n v="1"/>
    <n v="3"/>
    <n v="5"/>
    <n v="2"/>
    <n v="0"/>
    <n v="0"/>
    <n v="38"/>
    <n v="6"/>
    <n v="3"/>
    <n v="3"/>
    <n v="22304"/>
    <n v="1333"/>
    <n v="20971"/>
    <n v="0.46300000000000002"/>
    <n v="5002"/>
    <n v="60"/>
    <n v="0.5"/>
    <n v="0.06"/>
    <n v="3.2275000000000001E-4"/>
    <n v="0.99968000000000001"/>
    <s v="8.384929067860948"/>
    <s v="9.489293093836196"/>
    <s v="112.12668721089864"/>
    <s v="5.176274790200624"/>
    <n v="717684858"/>
    <x v="0"/>
    <n v="4.4927280000000002E-4"/>
    <x v="0"/>
  </r>
  <r>
    <n v="35"/>
    <n v="0"/>
    <n v="4"/>
    <n v="3"/>
    <n v="2"/>
    <n v="4"/>
    <n v="0"/>
    <n v="25"/>
    <n v="5"/>
    <n v="2"/>
    <n v="3"/>
    <n v="2684"/>
    <n v="1658"/>
    <n v="1026"/>
    <n v="0.66900000000000004"/>
    <n v="4657"/>
    <n v="76"/>
    <n v="1"/>
    <n v="0.61799999999999999"/>
    <n v="1.9516999999999999E-4"/>
    <n v="0.99980000000000002"/>
    <s v="4.111671787574547"/>
    <n v="44.4115682741662"/>
    <s v="102.5240715608593"/>
    <n v="0.35457894121702399"/>
    <n v="711099408"/>
    <x v="0"/>
    <n v="3.2101269999999999E-4"/>
    <x v="0"/>
  </r>
  <r>
    <n v="60"/>
    <n v="1"/>
    <n v="1"/>
    <n v="3"/>
    <n v="1"/>
    <n v="1"/>
    <n v="0"/>
    <n v="47"/>
    <n v="3"/>
    <n v="1"/>
    <n v="3"/>
    <n v="9805"/>
    <n v="1007"/>
    <n v="8798"/>
    <n v="0.8"/>
    <n v="14641"/>
    <n v="95"/>
    <n v="0.9"/>
    <n v="0.10299999999999999"/>
    <s v="8.453e-05"/>
    <n v="0.99992000000000003"/>
    <s v="20.474546792739293"/>
    <s v="58.54743775264873"/>
    <n v="97.255082818954804"/>
    <s v="7.127948128852065"/>
    <n v="719900733"/>
    <x v="0"/>
    <n v="3.4656386999999997E-4"/>
    <x v="0"/>
  </r>
  <r>
    <n v="41"/>
    <n v="0"/>
    <n v="3"/>
    <n v="2"/>
    <n v="3"/>
    <n v="4"/>
    <n v="0"/>
    <n v="36"/>
    <n v="1"/>
    <n v="1"/>
    <n v="1"/>
    <n v="4941"/>
    <n v="1040"/>
    <n v="3901"/>
    <n v="0.76500000000000001"/>
    <n v="7631"/>
    <n v="91"/>
    <n v="0.59599999999999997"/>
    <n v="0.21"/>
    <s v="3.4465e-05"/>
    <n v="0.99997000000000003"/>
    <s v="24.68872713498916"/>
    <s v="7.226797865303762"/>
    <s v="34.268351283757035"/>
    <s v="12.116612641138856"/>
    <n v="710489583"/>
    <x v="0"/>
    <n v="3.7789578000000003E-4"/>
    <x v="0"/>
  </r>
  <r>
    <n v="26"/>
    <n v="0"/>
    <n v="0"/>
    <n v="4"/>
    <n v="2"/>
    <n v="4"/>
    <n v="0"/>
    <n v="13"/>
    <n v="5"/>
    <n v="3"/>
    <n v="2"/>
    <n v="2902"/>
    <n v="1668"/>
    <n v="1234"/>
    <n v="0.621"/>
    <n v="2088"/>
    <n v="34"/>
    <n v="0.47799999999999998"/>
    <n v="0.57499999999999996"/>
    <n v="1.8162000000000001E-4"/>
    <n v="0.99982000000000004"/>
    <s v="26.605875281921087"/>
    <s v="3.763165889581238"/>
    <s v="65.68439646628956"/>
    <n v="7.3112786238335401"/>
    <n v="779686683"/>
    <x v="0"/>
    <n v="1.4998564000000001E-3"/>
    <x v="0"/>
  </r>
  <r>
    <n v="45"/>
    <n v="0"/>
    <n v="3"/>
    <n v="3"/>
    <n v="2"/>
    <n v="5"/>
    <n v="0"/>
    <n v="35"/>
    <n v="3"/>
    <n v="2"/>
    <n v="6"/>
    <n v="3512"/>
    <n v="2517"/>
    <n v="995"/>
    <n v="0.59699999999999998"/>
    <n v="1801"/>
    <n v="48"/>
    <n v="0.54800000000000004"/>
    <n v="0.71699999999999997"/>
    <n v="0.999"/>
    <n v="9.9803999999999995E-4"/>
    <s v="26.15050770975998"/>
    <s v="33.70756616042416"/>
    <s v="101.03308236434484"/>
    <s v="3.4205886706872435"/>
    <n v="772341783"/>
    <x v="1"/>
    <n v="0.99107310000000004"/>
    <x v="1"/>
  </r>
  <r>
    <n v="45"/>
    <n v="1"/>
    <n v="2"/>
    <n v="0"/>
    <n v="1"/>
    <n v="3"/>
    <n v="0"/>
    <n v="36"/>
    <n v="6"/>
    <n v="1"/>
    <n v="3"/>
    <n v="31625"/>
    <n v="0"/>
    <n v="31625"/>
    <n v="0.55900000000000005"/>
    <n v="4503"/>
    <n v="77"/>
    <n v="0.67400000000000004"/>
    <n v="0"/>
    <s v="9.0064e-05"/>
    <n v="0.99990999999999997"/>
    <s v="3.704779277407548"/>
    <s v="1.9417519303028363"/>
    <s v="41.02462381467453"/>
    <s v="3.3623100121106058"/>
    <n v="721325133"/>
    <x v="0"/>
    <n v="6.9517245999999998E-4"/>
    <x v="0"/>
  </r>
  <r>
    <n v="51"/>
    <n v="0"/>
    <n v="3"/>
    <n v="5"/>
    <n v="1"/>
    <n v="4"/>
    <n v="0"/>
    <n v="46"/>
    <n v="5"/>
    <n v="5"/>
    <n v="2"/>
    <n v="3536"/>
    <n v="0"/>
    <n v="3536"/>
    <n v="0.54200000000000004"/>
    <n v="3281"/>
    <n v="39"/>
    <n v="0.39300000000000002"/>
    <n v="0"/>
    <n v="0.99536000000000002"/>
    <n v="4.6427100000000004E-3"/>
    <s v="17.319289611317636"/>
    <s v="34.49572727502365"/>
    <s v="0.8882911540136958"/>
    <n v="3.7155452117397698"/>
    <n v="812247033"/>
    <x v="1"/>
    <n v="0.99848190000000003"/>
    <x v="1"/>
  </r>
  <r>
    <n v="43"/>
    <n v="0"/>
    <n v="2"/>
    <n v="5"/>
    <n v="3"/>
    <n v="5"/>
    <n v="0"/>
    <n v="36"/>
    <n v="5"/>
    <n v="1"/>
    <n v="0"/>
    <n v="6931"/>
    <n v="1380"/>
    <n v="5551"/>
    <n v="0.79500000000000004"/>
    <n v="4437"/>
    <n v="64"/>
    <n v="0.88200000000000001"/>
    <n v="0.19900000000000001"/>
    <s v="2.0889e-05"/>
    <n v="0.99997999999999998"/>
    <s v="30.697241728805448"/>
    <s v="115.1324360986812"/>
    <s v="12.215413863553158"/>
    <s v="6.594428933990888"/>
    <n v="789575583"/>
    <x v="0"/>
    <n v="3.3750320000000002E-4"/>
    <x v="0"/>
  </r>
  <r>
    <n v="55"/>
    <n v="0"/>
    <n v="1"/>
    <n v="6"/>
    <n v="3"/>
    <n v="4"/>
    <n v="0"/>
    <n v="36"/>
    <n v="2"/>
    <n v="3"/>
    <n v="2"/>
    <n v="3626"/>
    <n v="795"/>
    <n v="2831"/>
    <n v="0.89600000000000002"/>
    <n v="2954"/>
    <n v="42"/>
    <n v="0.55600000000000005"/>
    <n v="0.219"/>
    <n v="0.99463999999999997"/>
    <n v="5.3600000000000002E-3"/>
    <n v="12.0950416709819"/>
    <s v="19.56768960858268"/>
    <n v="32.841062473672601"/>
    <s v="22.809629089431123"/>
    <n v="719299533"/>
    <x v="1"/>
    <n v="0.99736433999999996"/>
    <x v="1"/>
  </r>
  <r>
    <n v="35"/>
    <n v="1"/>
    <n v="1"/>
    <n v="3"/>
    <n v="1"/>
    <n v="2"/>
    <n v="0"/>
    <n v="21"/>
    <n v="5"/>
    <n v="2"/>
    <n v="2"/>
    <n v="6391"/>
    <n v="2317"/>
    <n v="4074"/>
    <n v="0.83099999999999996"/>
    <n v="2274"/>
    <n v="61"/>
    <n v="1.0329999999999999"/>
    <n v="0.36299999999999999"/>
    <n v="1.0386E-4"/>
    <n v="0.99990000000000001"/>
    <s v="14.54570216508693"/>
    <s v="23.951771703617503"/>
    <s v="37.322480567102566"/>
    <s v="9.120240832708449"/>
    <n v="712557708"/>
    <x v="0"/>
    <n v="4.2757455999999999E-4"/>
    <x v="0"/>
  </r>
  <r>
    <n v="49"/>
    <n v="1"/>
    <n v="4"/>
    <n v="0"/>
    <n v="1"/>
    <n v="3"/>
    <n v="0"/>
    <n v="44"/>
    <n v="2"/>
    <n v="3"/>
    <n v="3"/>
    <n v="31091"/>
    <n v="966"/>
    <n v="30125"/>
    <n v="0.56999999999999995"/>
    <n v="14565"/>
    <n v="108"/>
    <n v="0.74199999999999999"/>
    <n v="3.1E-2"/>
    <n v="3.0844999999999999E-4"/>
    <n v="0.99968999999999997"/>
    <s v="2.587731019529518"/>
    <s v="44.32853971411903"/>
    <s v="66.69214756227717"/>
    <n v="7.5424857681863404"/>
    <n v="813153108"/>
    <x v="0"/>
    <n v="4.5988380000000002E-4"/>
    <x v="0"/>
  </r>
  <r>
    <n v="38"/>
    <n v="1"/>
    <n v="1"/>
    <n v="2"/>
    <n v="2"/>
    <n v="4"/>
    <n v="0"/>
    <n v="28"/>
    <n v="4"/>
    <n v="5"/>
    <n v="2"/>
    <n v="1690"/>
    <n v="1459"/>
    <n v="231"/>
    <n v="0.66700000000000004"/>
    <n v="3928"/>
    <n v="69"/>
    <n v="0.64300000000000002"/>
    <n v="0.86299999999999999"/>
    <n v="1.8856999999999999E-4"/>
    <n v="0.99980999999999998"/>
    <s v="16.447559738240454"/>
    <s v="53.94326773318482"/>
    <s v="75.77583177973744"/>
    <s v="17.20569905817576"/>
    <n v="780036483"/>
    <x v="0"/>
    <n v="3.2914013999999999E-4"/>
    <x v="0"/>
  </r>
  <r>
    <n v="54"/>
    <n v="1"/>
    <n v="5"/>
    <n v="3"/>
    <n v="1"/>
    <n v="3"/>
    <n v="0"/>
    <n v="48"/>
    <n v="2"/>
    <n v="1"/>
    <n v="3"/>
    <n v="7464"/>
    <n v="0"/>
    <n v="7464"/>
    <n v="0.86499999999999999"/>
    <n v="9071"/>
    <n v="74"/>
    <n v="1"/>
    <n v="0"/>
    <n v="0.98936000000000002"/>
    <n v="1.064E-2"/>
    <s v="25.381238944956195"/>
    <s v="37.38150591865602"/>
    <s v="130.8432769687733"/>
    <s v="8.641255544494141"/>
    <n v="712487883"/>
    <x v="1"/>
    <n v="0.99482214000000002"/>
    <x v="1"/>
  </r>
  <r>
    <n v="54"/>
    <n v="1"/>
    <n v="3"/>
    <n v="2"/>
    <n v="1"/>
    <n v="3"/>
    <n v="0"/>
    <n v="46"/>
    <n v="4"/>
    <n v="3"/>
    <n v="2"/>
    <n v="2798"/>
    <n v="1256"/>
    <n v="1542"/>
    <n v="1.1319999999999999"/>
    <n v="2631"/>
    <n v="55"/>
    <n v="0.77400000000000002"/>
    <n v="0.44900000000000001"/>
    <n v="1.8665000000000001E-4"/>
    <n v="0.99980999999999998"/>
    <s v="6.829633742499331"/>
    <s v="37.49807712946266"/>
    <s v="125.3445906569874"/>
    <s v="19.85460645816837"/>
    <n v="721434483"/>
    <x v="0"/>
    <n v="5.0407740000000005E-4"/>
    <x v="0"/>
  </r>
  <r>
    <n v="45"/>
    <n v="0"/>
    <n v="5"/>
    <n v="2"/>
    <n v="2"/>
    <n v="4"/>
    <n v="0"/>
    <n v="38"/>
    <n v="3"/>
    <n v="3"/>
    <n v="0"/>
    <n v="2144"/>
    <n v="1492"/>
    <n v="652"/>
    <n v="0.96"/>
    <n v="3859"/>
    <n v="55"/>
    <n v="0.57099999999999995"/>
    <n v="0.69599999999999995"/>
    <s v="6.8504e-05"/>
    <n v="0.99992999999999999"/>
    <n v="2.1634787157758502"/>
    <s v="57.679898633796014"/>
    <s v="117.95141645926132"/>
    <s v="6.584359433869492"/>
    <n v="714204108"/>
    <x v="0"/>
    <n v="5.1012734000000003E-4"/>
    <x v="0"/>
  </r>
  <r>
    <n v="53"/>
    <n v="1"/>
    <n v="3"/>
    <n v="5"/>
    <n v="1"/>
    <n v="0"/>
    <n v="0"/>
    <n v="36"/>
    <n v="2"/>
    <n v="2"/>
    <n v="0"/>
    <n v="3742"/>
    <n v="1454"/>
    <n v="2288"/>
    <n v="0.89400000000000002"/>
    <n v="5326"/>
    <n v="62"/>
    <n v="0.67600000000000005"/>
    <n v="0.38900000000000001"/>
    <s v="4.4796e-05"/>
    <n v="0.99995999999999996"/>
    <s v="15.856028773189143"/>
    <s v="15.085223314400023"/>
    <s v="55.24164983483229"/>
    <s v="6.269968483398767"/>
    <n v="714998508"/>
    <x v="0"/>
    <n v="4.2888985000000003E-4"/>
    <x v="0"/>
  </r>
  <r>
    <n v="33"/>
    <n v="1"/>
    <n v="2"/>
    <n v="6"/>
    <n v="2"/>
    <n v="0"/>
    <n v="0"/>
    <n v="15"/>
    <n v="4"/>
    <n v="2"/>
    <n v="2"/>
    <n v="25033"/>
    <n v="2300"/>
    <n v="22733"/>
    <n v="0.71599999999999997"/>
    <n v="2529"/>
    <n v="71"/>
    <n v="0.57799999999999996"/>
    <n v="9.1999999999999998E-2"/>
    <n v="1.2511E-4"/>
    <n v="0.99987000000000004"/>
    <s v="6.127872079967816"/>
    <s v="22.94256693303564"/>
    <s v="19.350904258540115"/>
    <s v="0.1794905101992259"/>
    <n v="721288158"/>
    <x v="0"/>
    <n v="4.1610179999999999E-4"/>
    <x v="0"/>
  </r>
  <r>
    <n v="29"/>
    <n v="1"/>
    <n v="0"/>
    <n v="6"/>
    <n v="0"/>
    <n v="3"/>
    <n v="0"/>
    <n v="14"/>
    <n v="6"/>
    <n v="3"/>
    <n v="3"/>
    <n v="3544"/>
    <n v="0"/>
    <n v="3544"/>
    <n v="0.71799999999999997"/>
    <n v="2435"/>
    <n v="63"/>
    <n v="1.032"/>
    <n v="0"/>
    <n v="2.8535000000000002E-4"/>
    <n v="0.99970999999999999"/>
    <s v="17.92044237574021"/>
    <s v="46.55109931075922"/>
    <s v="74.85429882775617"/>
    <n v="8.7047825813017302E-2"/>
    <n v="789760233"/>
    <x v="0"/>
    <n v="1.0180222E-3"/>
    <x v="0"/>
  </r>
  <r>
    <n v="58"/>
    <n v="1"/>
    <n v="1"/>
    <n v="5"/>
    <n v="2"/>
    <n v="3"/>
    <n v="0"/>
    <n v="54"/>
    <n v="1"/>
    <n v="3"/>
    <n v="1"/>
    <n v="5182"/>
    <n v="1459"/>
    <n v="3723"/>
    <n v="0.72"/>
    <n v="7960"/>
    <n v="112"/>
    <n v="0.69699999999999995"/>
    <n v="0.28199999999999997"/>
    <n v="1.0469E-4"/>
    <n v="0.99990000000000001"/>
    <s v="15.13677775250478"/>
    <s v="68.48329043707321"/>
    <s v="78.76397350179302"/>
    <s v="30.41736974520111"/>
    <n v="823648983"/>
    <x v="0"/>
    <n v="3.6856539999999998E-4"/>
    <x v="0"/>
  </r>
  <r>
    <n v="35"/>
    <n v="0"/>
    <n v="2"/>
    <n v="5"/>
    <n v="1"/>
    <n v="4"/>
    <n v="0"/>
    <n v="21"/>
    <n v="6"/>
    <n v="2"/>
    <n v="3"/>
    <n v="5825"/>
    <n v="1815"/>
    <n v="4010"/>
    <n v="1.1319999999999999"/>
    <n v="2820"/>
    <n v="62"/>
    <n v="0.879"/>
    <n v="0.312"/>
    <n v="1.9683E-4"/>
    <n v="0.99980000000000002"/>
    <s v="38.09998582896183"/>
    <s v="75.50614860079635"/>
    <s v="81.26430494573044"/>
    <s v="9.045843968856255"/>
    <n v="721234308"/>
    <x v="0"/>
    <n v="3.9889203999999998E-4"/>
    <x v="0"/>
  </r>
  <r>
    <n v="53"/>
    <n v="1"/>
    <n v="2"/>
    <n v="2"/>
    <n v="1"/>
    <n v="0"/>
    <n v="0"/>
    <n v="36"/>
    <n v="1"/>
    <n v="3"/>
    <n v="2"/>
    <n v="12778"/>
    <n v="507"/>
    <n v="12271"/>
    <n v="0.96699999999999997"/>
    <n v="1133"/>
    <n v="28"/>
    <n v="0.4"/>
    <n v="0.04"/>
    <n v="0.99446999999999997"/>
    <n v="5.5300000000000002E-3"/>
    <s v="68.81027410043721"/>
    <s v="27.816931486232747"/>
    <s v="40.08892750595541"/>
    <s v="21.227870865793687"/>
    <n v="708927108"/>
    <x v="1"/>
    <n v="0.99856780000000001"/>
    <x v="1"/>
  </r>
  <r>
    <n v="40"/>
    <n v="0"/>
    <n v="4"/>
    <n v="3"/>
    <n v="1"/>
    <n v="4"/>
    <n v="0"/>
    <n v="33"/>
    <n v="4"/>
    <n v="5"/>
    <n v="3"/>
    <n v="1762"/>
    <n v="1224"/>
    <n v="538"/>
    <n v="0.81499999999999995"/>
    <n v="4899"/>
    <n v="87"/>
    <n v="0.81200000000000006"/>
    <n v="0.69499999999999995"/>
    <n v="3.4446999999999999E-4"/>
    <n v="0.99965999999999999"/>
    <s v="24.960175571256222"/>
    <n v="32.474658012849503"/>
    <s v="11.373937327870726"/>
    <n v="8.2276838227337894"/>
    <n v="754968033"/>
    <x v="0"/>
    <n v="3.2101269999999999E-4"/>
    <x v="0"/>
  </r>
  <r>
    <n v="42"/>
    <n v="1"/>
    <n v="5"/>
    <n v="5"/>
    <n v="2"/>
    <n v="2"/>
    <n v="0"/>
    <n v="36"/>
    <n v="1"/>
    <n v="1"/>
    <n v="2"/>
    <n v="6618"/>
    <n v="1738"/>
    <n v="4880"/>
    <n v="0.72"/>
    <n v="5022"/>
    <n v="76"/>
    <n v="0.85399999999999998"/>
    <n v="0.26300000000000001"/>
    <s v="5.8465e-05"/>
    <n v="0.99994000000000005"/>
    <s v="11.98181559694633"/>
    <s v="58.072058095573226"/>
    <s v="5.9585034210894285"/>
    <n v="19.060085937334399"/>
    <n v="720463833"/>
    <x v="0"/>
    <n v="3.2101269999999999E-4"/>
    <x v="0"/>
  </r>
  <r>
    <n v="43"/>
    <n v="0"/>
    <n v="3"/>
    <n v="4"/>
    <n v="3"/>
    <n v="4"/>
    <n v="0"/>
    <n v="23"/>
    <n v="5"/>
    <n v="3"/>
    <n v="3"/>
    <n v="4284"/>
    <n v="1094"/>
    <n v="3190"/>
    <n v="0.63"/>
    <n v="3095"/>
    <n v="64"/>
    <n v="0.52400000000000002"/>
    <n v="0.255"/>
    <n v="3.6935000000000001E-4"/>
    <n v="0.99963000000000002"/>
    <s v="2.882717896992854"/>
    <s v="10.520885674056192"/>
    <s v="4.724174573803362"/>
    <s v="6.670259986416758"/>
    <n v="794682483"/>
    <x v="0"/>
    <n v="3.7644996000000001E-4"/>
    <x v="0"/>
  </r>
  <r>
    <n v="50"/>
    <n v="1"/>
    <n v="3"/>
    <n v="2"/>
    <n v="2"/>
    <n v="2"/>
    <n v="0"/>
    <n v="38"/>
    <n v="4"/>
    <n v="1"/>
    <n v="1"/>
    <n v="10762"/>
    <n v="703"/>
    <n v="10059"/>
    <n v="0.54800000000000004"/>
    <n v="4509"/>
    <n v="71"/>
    <n v="0.54300000000000004"/>
    <n v="6.5000000000000002E-2"/>
    <s v="3.4465e-05"/>
    <n v="0.99997000000000003"/>
    <s v="20.15450910331517"/>
    <s v="28.84454249571993"/>
    <s v="46.23455007650297"/>
    <s v="1.304038413118067"/>
    <n v="787506558"/>
    <x v="0"/>
    <n v="6.2181555999999999E-4"/>
    <x v="0"/>
  </r>
  <r>
    <n v="46"/>
    <n v="1"/>
    <n v="4"/>
    <n v="5"/>
    <n v="1"/>
    <n v="1"/>
    <n v="0"/>
    <n v="35"/>
    <n v="3"/>
    <n v="2"/>
    <n v="2"/>
    <n v="9149"/>
    <n v="1566"/>
    <n v="7583"/>
    <n v="0.97099999999999997"/>
    <n v="1790"/>
    <n v="60"/>
    <n v="0.76500000000000001"/>
    <n v="0.17100000000000001"/>
    <n v="1.2274000000000001E-4"/>
    <n v="0.99987999999999999"/>
    <s v="103.78733351856616"/>
    <s v="22.59331899407273"/>
    <s v="78.43902512360843"/>
    <s v="1.0513768331802895"/>
    <n v="719391783"/>
    <x v="0"/>
    <n v="4.2159818000000001E-4"/>
    <x v="0"/>
  </r>
  <r>
    <n v="55"/>
    <n v="1"/>
    <n v="3"/>
    <n v="2"/>
    <n v="2"/>
    <n v="1"/>
    <n v="0"/>
    <n v="35"/>
    <n v="4"/>
    <n v="1"/>
    <n v="4"/>
    <n v="3065"/>
    <n v="0"/>
    <n v="3065"/>
    <n v="0.71599999999999997"/>
    <n v="3524"/>
    <n v="69"/>
    <n v="0.60499999999999998"/>
    <n v="0"/>
    <n v="1.6399000000000001E-4"/>
    <n v="0.99983999999999995"/>
    <s v="30.02892769446161"/>
    <s v="34.21363921621663"/>
    <s v="6.618136275815753"/>
    <s v="9.682984448691972"/>
    <n v="713151258"/>
    <x v="0"/>
    <n v="7.686247E-4"/>
    <x v="0"/>
  </r>
  <r>
    <n v="47"/>
    <n v="1"/>
    <n v="3"/>
    <n v="3"/>
    <n v="2"/>
    <n v="3"/>
    <n v="0"/>
    <n v="29"/>
    <n v="2"/>
    <n v="2"/>
    <n v="3"/>
    <n v="7498"/>
    <n v="2319"/>
    <n v="5179"/>
    <n v="0.48399999999999999"/>
    <n v="1676"/>
    <n v="51"/>
    <n v="0.75900000000000001"/>
    <n v="0.309"/>
    <n v="0.99485000000000001"/>
    <n v="5.1500000000000001E-3"/>
    <s v="26.75961716916154"/>
    <n v="33.389130475477501"/>
    <s v="27.698266829765693"/>
    <s v="23.58836955197382"/>
    <n v="709321908"/>
    <x v="1"/>
    <n v="0.99391985000000005"/>
    <x v="1"/>
  </r>
  <r>
    <n v="41"/>
    <n v="1"/>
    <n v="3"/>
    <n v="2"/>
    <n v="2"/>
    <n v="2"/>
    <n v="0"/>
    <n v="29"/>
    <n v="5"/>
    <n v="3"/>
    <n v="3"/>
    <n v="2775"/>
    <n v="1664"/>
    <n v="1111"/>
    <n v="0.80900000000000005"/>
    <n v="2478"/>
    <n v="52"/>
    <n v="0.92600000000000005"/>
    <n v="0.6"/>
    <n v="3.1389999999999999E-4"/>
    <n v="0.99968999999999997"/>
    <s v="24.453841325196237"/>
    <s v="36.569867866466055"/>
    <s v="47.53694057021024"/>
    <s v="8.082671396352803"/>
    <n v="713740533"/>
    <x v="0"/>
    <n v="8.9785940000000001E-4"/>
    <x v="0"/>
  </r>
  <r>
    <n v="41"/>
    <n v="0"/>
    <n v="3"/>
    <n v="3"/>
    <n v="1"/>
    <n v="4"/>
    <n v="0"/>
    <n v="28"/>
    <n v="3"/>
    <n v="1"/>
    <n v="3"/>
    <n v="2354"/>
    <n v="1909"/>
    <n v="445"/>
    <n v="0.83299999999999996"/>
    <n v="4048"/>
    <n v="61"/>
    <n v="0.84799999999999998"/>
    <n v="0.81100000000000005"/>
    <s v="9.3448e-05"/>
    <n v="0.99990999999999997"/>
    <s v="14.717113846177131"/>
    <s v="41.01516192772083"/>
    <s v="23.12842902843534"/>
    <s v="13.766138358129377"/>
    <n v="711942783"/>
    <x v="0"/>
    <n v="3.479205E-4"/>
    <x v="0"/>
  </r>
  <r>
    <n v="57"/>
    <n v="0"/>
    <n v="3"/>
    <n v="6"/>
    <n v="2"/>
    <n v="4"/>
    <n v="0"/>
    <n v="49"/>
    <n v="1"/>
    <n v="3"/>
    <n v="5"/>
    <n v="1551"/>
    <n v="790"/>
    <n v="761"/>
    <n v="0.81100000000000005"/>
    <n v="2379"/>
    <n v="46"/>
    <n v="0.76900000000000002"/>
    <n v="0.50900000000000001"/>
    <n v="0.99902000000000002"/>
    <n v="9.8036E-4"/>
    <s v="3.021170198793775"/>
    <s v="10.039069673156447"/>
    <n v="63.9738520591943"/>
    <s v="0.8588853018953142"/>
    <n v="789502308"/>
    <x v="1"/>
    <n v="0.99601919999999999"/>
    <x v="1"/>
  </r>
  <r>
    <n v="54"/>
    <n v="0"/>
    <n v="2"/>
    <n v="2"/>
    <n v="1"/>
    <n v="4"/>
    <n v="0"/>
    <n v="44"/>
    <n v="3"/>
    <n v="2"/>
    <n v="3"/>
    <n v="2027"/>
    <n v="1480"/>
    <n v="547"/>
    <n v="0.97899999999999998"/>
    <n v="1702"/>
    <n v="37"/>
    <n v="0.94699999999999995"/>
    <n v="0.73"/>
    <n v="1.9143E-4"/>
    <n v="0.99980999999999998"/>
    <n v="9.3044311833920297"/>
    <s v="76.98569070294533"/>
    <n v="8.8310786939445407"/>
    <s v="27.79880211252315"/>
    <n v="789863208"/>
    <x v="0"/>
    <n v="1.0249399E-3"/>
    <x v="0"/>
  </r>
  <r>
    <n v="48"/>
    <n v="1"/>
    <n v="1"/>
    <n v="3"/>
    <n v="2"/>
    <n v="2"/>
    <n v="0"/>
    <n v="40"/>
    <n v="6"/>
    <n v="2"/>
    <n v="2"/>
    <n v="2319"/>
    <n v="1630"/>
    <n v="689"/>
    <n v="0.84599999999999997"/>
    <n v="3739"/>
    <n v="68"/>
    <n v="0.65900000000000003"/>
    <n v="0.70299999999999996"/>
    <n v="1.0386E-4"/>
    <n v="0.99990000000000001"/>
    <s v="22.045148049244965"/>
    <s v="27.144500281429394"/>
    <s v="9.147272267439172"/>
    <s v="1.1526288604867414"/>
    <n v="807209808"/>
    <x v="0"/>
    <n v="3.2101269999999999E-4"/>
    <x v="0"/>
  </r>
  <r>
    <n v="51"/>
    <n v="1"/>
    <n v="3"/>
    <n v="5"/>
    <n v="1"/>
    <n v="3"/>
    <n v="3"/>
    <n v="37"/>
    <n v="1"/>
    <n v="2"/>
    <n v="1"/>
    <n v="34516"/>
    <n v="0"/>
    <n v="34516"/>
    <n v="0.81399999999999995"/>
    <n v="8736"/>
    <n v="97"/>
    <n v="0.70199999999999996"/>
    <n v="0"/>
    <s v="6.6172e-05"/>
    <n v="0.99992999999999999"/>
    <s v="9.233608313608787"/>
    <s v="14.68407081537487"/>
    <s v="20.399217086252552"/>
    <s v="27.081524869446543"/>
    <n v="720874983"/>
    <x v="0"/>
    <n v="7.9810305E-4"/>
    <x v="0"/>
  </r>
  <r>
    <n v="54"/>
    <n v="0"/>
    <n v="1"/>
    <n v="6"/>
    <n v="2"/>
    <n v="5"/>
    <n v="0"/>
    <n v="36"/>
    <n v="1"/>
    <n v="3"/>
    <n v="3"/>
    <n v="3723"/>
    <n v="1728"/>
    <n v="1995"/>
    <n v="0.59499999999999997"/>
    <n v="8554"/>
    <n v="99"/>
    <n v="0.67800000000000005"/>
    <n v="0.46400000000000002"/>
    <n v="3.1210999999999999E-4"/>
    <n v="0.99968999999999997"/>
    <s v="1.198573228184381"/>
    <s v="7.751498422407315"/>
    <s v="27.00686067262044"/>
    <n v="7.9732225662018497"/>
    <n v="713071383"/>
    <x v="0"/>
    <n v="3.6856539999999998E-4"/>
    <x v="0"/>
  </r>
  <r>
    <n v="45"/>
    <n v="0"/>
    <n v="2"/>
    <n v="2"/>
    <n v="2"/>
    <n v="4"/>
    <n v="0"/>
    <n v="34"/>
    <n v="3"/>
    <n v="3"/>
    <n v="1"/>
    <n v="4265"/>
    <n v="1622"/>
    <n v="2643"/>
    <n v="0.70799999999999996"/>
    <n v="3244"/>
    <n v="62"/>
    <n v="0.879"/>
    <n v="0.38"/>
    <n v="1.0848E-4"/>
    <n v="0.99988999999999995"/>
    <s v="48.527399141298986"/>
    <s v="15.765379343336043"/>
    <s v="40.56740439014012"/>
    <s v="29.22928238123663"/>
    <n v="712233183"/>
    <x v="0"/>
    <n v="3.479205E-4"/>
    <x v="0"/>
  </r>
  <r>
    <n v="50"/>
    <n v="0"/>
    <n v="3"/>
    <n v="3"/>
    <n v="1"/>
    <n v="4"/>
    <n v="0"/>
    <n v="42"/>
    <n v="4"/>
    <n v="3"/>
    <n v="3"/>
    <n v="2719"/>
    <n v="0"/>
    <n v="2719"/>
    <n v="0.79400000000000004"/>
    <n v="4172"/>
    <n v="65"/>
    <n v="0.97"/>
    <n v="0"/>
    <n v="3.0516000000000001E-4"/>
    <n v="0.99968999999999997"/>
    <s v="18.27233656953076"/>
    <s v="3.711367231359854"/>
    <s v="110.1607547477647"/>
    <s v="3.1882696330343867"/>
    <n v="785410158"/>
    <x v="0"/>
    <n v="7.6807226000000001E-4"/>
    <x v="0"/>
  </r>
  <r>
    <n v="40"/>
    <n v="0"/>
    <n v="4"/>
    <n v="4"/>
    <n v="2"/>
    <n v="1"/>
    <n v="0"/>
    <n v="28"/>
    <n v="2"/>
    <n v="1"/>
    <n v="2"/>
    <n v="11642"/>
    <n v="1501"/>
    <n v="10141"/>
    <n v="0.93500000000000005"/>
    <n v="9137"/>
    <n v="92"/>
    <n v="0.58599999999999997"/>
    <n v="0.129"/>
    <s v="6.7967e-05"/>
    <n v="0.99992999999999999"/>
    <s v="8.153418512106112"/>
    <s v="16.762527274882576"/>
    <s v="96.83644066540242"/>
    <s v="13.39682218673058"/>
    <n v="711559008"/>
    <x v="0"/>
    <n v="3.9731347000000001E-4"/>
    <x v="0"/>
  </r>
  <r>
    <n v="51"/>
    <n v="0"/>
    <n v="3"/>
    <n v="6"/>
    <n v="2"/>
    <n v="4"/>
    <n v="0"/>
    <n v="41"/>
    <n v="5"/>
    <n v="1"/>
    <n v="2"/>
    <n v="2941"/>
    <n v="655"/>
    <n v="2286"/>
    <n v="0.61599999999999999"/>
    <n v="4099"/>
    <n v="66"/>
    <n v="0.57099999999999995"/>
    <n v="0.223"/>
    <s v="6.282e-05"/>
    <n v="0.99994000000000005"/>
    <s v="0.5904918982768219"/>
    <s v="4.110313576558797"/>
    <s v="68.27393887188964"/>
    <n v="0.83794541040888304"/>
    <n v="715008858"/>
    <x v="0"/>
    <n v="5.5868360000000002E-4"/>
    <x v="0"/>
  </r>
  <r>
    <n v="48"/>
    <n v="0"/>
    <n v="4"/>
    <n v="2"/>
    <n v="1"/>
    <n v="4"/>
    <n v="0"/>
    <n v="36"/>
    <n v="5"/>
    <n v="1"/>
    <n v="1"/>
    <n v="2930"/>
    <n v="773"/>
    <n v="2157"/>
    <n v="0.66100000000000003"/>
    <n v="1545"/>
    <n v="21"/>
    <n v="0.90900000000000003"/>
    <n v="0.26400000000000001"/>
    <s v="3.4833e-05"/>
    <n v="0.99997000000000003"/>
    <s v="3.1076318830888967"/>
    <s v="21.44121757146788"/>
    <s v="76.53185954726636"/>
    <s v="11.16467133207326"/>
    <n v="714225333"/>
    <x v="0"/>
    <n v="1.6686447E-3"/>
    <x v="0"/>
  </r>
  <r>
    <n v="37"/>
    <n v="0"/>
    <n v="1"/>
    <n v="3"/>
    <n v="2"/>
    <n v="5"/>
    <n v="0"/>
    <n v="36"/>
    <n v="3"/>
    <n v="2"/>
    <n v="3"/>
    <n v="6730"/>
    <n v="1093"/>
    <n v="5637"/>
    <n v="1.01"/>
    <n v="4814"/>
    <n v="89"/>
    <n v="0.85399999999999998"/>
    <n v="0.16200000000000001"/>
    <n v="1.7468E-4"/>
    <n v="0.99983"/>
    <s v="10.954952845506094"/>
    <s v="14.974378944892186"/>
    <s v="79.04291976359266"/>
    <s v="3.625404780085849"/>
    <n v="715080258"/>
    <x v="0"/>
    <n v="3.3750932000000002E-4"/>
    <x v="0"/>
  </r>
  <r>
    <n v="43"/>
    <n v="0"/>
    <n v="1"/>
    <n v="3"/>
    <n v="3"/>
    <n v="1"/>
    <n v="0"/>
    <n v="35"/>
    <n v="6"/>
    <n v="3"/>
    <n v="2"/>
    <n v="1766"/>
    <n v="0"/>
    <n v="1766"/>
    <n v="0.77900000000000003"/>
    <n v="4808"/>
    <n v="87"/>
    <n v="0.67300000000000004"/>
    <n v="0"/>
    <n v="1.6412999999999999E-4"/>
    <n v="0.99983999999999995"/>
    <s v="5.776385292435888"/>
    <s v="26.883140816201895"/>
    <s v="29.09554130365039"/>
    <s v="0.5157561501491185"/>
    <n v="778550583"/>
    <x v="0"/>
    <n v="6.9517245999999998E-4"/>
    <x v="0"/>
  </r>
  <r>
    <n v="54"/>
    <n v="1"/>
    <n v="2"/>
    <n v="5"/>
    <n v="1"/>
    <n v="2"/>
    <n v="0"/>
    <n v="36"/>
    <n v="3"/>
    <n v="3"/>
    <n v="3"/>
    <n v="11067"/>
    <n v="2517"/>
    <n v="8550"/>
    <n v="1.048"/>
    <n v="1843"/>
    <n v="38"/>
    <n v="1.2350000000000001"/>
    <n v="0.22700000000000001"/>
    <n v="3.1104E-4"/>
    <n v="0.99968999999999997"/>
    <s v="49.308495808944144"/>
    <s v="11.232971332076762"/>
    <s v="37.13666882476903"/>
    <s v="5.128061990615818"/>
    <n v="715442958"/>
    <x v="0"/>
    <n v="1.0648312999999999E-3"/>
    <x v="0"/>
  </r>
  <r>
    <n v="48"/>
    <n v="0"/>
    <n v="5"/>
    <n v="5"/>
    <n v="1"/>
    <n v="4"/>
    <n v="0"/>
    <n v="30"/>
    <n v="3"/>
    <n v="2"/>
    <n v="3"/>
    <n v="2364"/>
    <n v="1619"/>
    <n v="745"/>
    <n v="0.58499999999999996"/>
    <n v="3230"/>
    <n v="65"/>
    <n v="0.71099999999999997"/>
    <n v="0.68500000000000005"/>
    <n v="2.0321E-4"/>
    <n v="0.99980000000000002"/>
    <s v="24.24852608390709"/>
    <s v="6.570573450573021"/>
    <s v="72.00263949862243"/>
    <s v="11.37114386122218"/>
    <n v="712146558"/>
    <x v="0"/>
    <n v="3.2890364000000001E-4"/>
    <x v="0"/>
  </r>
  <r>
    <n v="58"/>
    <n v="0"/>
    <n v="1"/>
    <n v="5"/>
    <n v="0"/>
    <n v="5"/>
    <n v="0"/>
    <n v="54"/>
    <n v="3"/>
    <n v="5"/>
    <n v="3"/>
    <n v="3266"/>
    <n v="859"/>
    <n v="2407"/>
    <n v="0.74"/>
    <n v="2151"/>
    <n v="46"/>
    <n v="0.438"/>
    <n v="0.26300000000000001"/>
    <n v="0.99694000000000005"/>
    <n v="3.05631E-3"/>
    <s v="28.67135348237952"/>
    <s v="10.080230408935844"/>
    <s v="15.003886398884513"/>
    <s v="15.533908568716992"/>
    <n v="827964858"/>
    <x v="1"/>
    <n v="0.99736254999999996"/>
    <x v="1"/>
  </r>
  <r>
    <n v="35"/>
    <n v="1"/>
    <n v="2"/>
    <n v="2"/>
    <n v="1"/>
    <n v="3"/>
    <n v="0"/>
    <n v="36"/>
    <n v="5"/>
    <n v="2"/>
    <n v="2"/>
    <n v="4408"/>
    <n v="1463"/>
    <n v="2945"/>
    <n v="0.72799999999999998"/>
    <n v="2001"/>
    <n v="49"/>
    <n v="0.48499999999999999"/>
    <n v="0.33200000000000002"/>
    <n v="1.1382E-4"/>
    <n v="0.99988999999999995"/>
    <s v="10.751468881415342"/>
    <s v="3.820782137493552"/>
    <s v="69.80725078946399"/>
    <s v="9.118927131545991"/>
    <n v="719647383"/>
    <x v="0"/>
    <n v="1.0954237999999999E-3"/>
    <x v="0"/>
  </r>
  <r>
    <n v="41"/>
    <n v="1"/>
    <n v="1"/>
    <n v="0"/>
    <n v="1"/>
    <n v="1"/>
    <n v="0"/>
    <n v="32"/>
    <n v="3"/>
    <n v="4"/>
    <n v="2"/>
    <n v="10682"/>
    <n v="1334"/>
    <n v="9348"/>
    <n v="0.70199999999999996"/>
    <n v="7332"/>
    <n v="92"/>
    <n v="0.61399999999999999"/>
    <n v="0.125"/>
    <n v="1.9837000000000001E-4"/>
    <n v="0.99980000000000002"/>
    <s v="5.581595132867272"/>
    <s v="20.298570218630186"/>
    <s v="1.6810884887018074"/>
    <s v="2.4333320067213795"/>
    <n v="718567758"/>
    <x v="0"/>
    <n v="3.7789578000000003E-4"/>
    <x v="0"/>
  </r>
  <r>
    <n v="52"/>
    <n v="0"/>
    <n v="3"/>
    <n v="6"/>
    <n v="2"/>
    <n v="1"/>
    <n v="0"/>
    <n v="42"/>
    <n v="6"/>
    <n v="3"/>
    <n v="2"/>
    <n v="3028"/>
    <n v="2258"/>
    <n v="770"/>
    <n v="1.0580000000000001"/>
    <n v="4119"/>
    <n v="81"/>
    <n v="0.88400000000000001"/>
    <n v="0.746"/>
    <n v="2.0515999999999999E-4"/>
    <n v="0.99978999999999996"/>
    <s v="32.80462537375922"/>
    <s v="48.89816892360309"/>
    <s v="27.334366851815343"/>
    <s v="10.900186045989106"/>
    <n v="711580908"/>
    <x v="0"/>
    <n v="3.221314E-4"/>
    <x v="0"/>
  </r>
  <r>
    <n v="42"/>
    <n v="1"/>
    <n v="2"/>
    <n v="1"/>
    <n v="1"/>
    <n v="3"/>
    <n v="0"/>
    <n v="32"/>
    <n v="4"/>
    <n v="2"/>
    <n v="2"/>
    <n v="26222"/>
    <n v="1073"/>
    <n v="25149"/>
    <n v="1.288"/>
    <n v="1988"/>
    <n v="30"/>
    <n v="0.57899999999999996"/>
    <n v="4.1000000000000002E-2"/>
    <n v="1.6470999999999999E-4"/>
    <n v="0.99983999999999995"/>
    <s v="21.530615983420294"/>
    <s v="82.65406744498215"/>
    <s v="95.74370977041607"/>
    <s v="6.366351764026304"/>
    <n v="789338583"/>
    <x v="0"/>
    <n v="1.1803135000000001E-3"/>
    <x v="0"/>
  </r>
  <r>
    <n v="51"/>
    <n v="1"/>
    <n v="4"/>
    <n v="1"/>
    <n v="1"/>
    <n v="2"/>
    <n v="0"/>
    <n v="36"/>
    <n v="2"/>
    <n v="1"/>
    <n v="2"/>
    <n v="3451"/>
    <n v="2006"/>
    <n v="1445"/>
    <n v="0.55500000000000005"/>
    <n v="4097"/>
    <n v="67"/>
    <n v="0.76300000000000001"/>
    <n v="0.58099999999999996"/>
    <s v="8.3588e-05"/>
    <n v="0.99992000000000003"/>
    <s v="66.09137953431033"/>
    <s v="72.73677222697955"/>
    <s v="86.62762193950991"/>
    <s v="16.374842637287163"/>
    <n v="710371683"/>
    <x v="0"/>
    <n v="3.2101269999999999E-4"/>
    <x v="0"/>
  </r>
  <r>
    <n v="42"/>
    <n v="1"/>
    <n v="3"/>
    <n v="2"/>
    <n v="2"/>
    <n v="2"/>
    <n v="0"/>
    <n v="37"/>
    <n v="2"/>
    <n v="3"/>
    <n v="1"/>
    <n v="17887"/>
    <n v="1821"/>
    <n v="16066"/>
    <n v="0.68700000000000006"/>
    <n v="14544"/>
    <n v="116"/>
    <n v="1.1479999999999999"/>
    <n v="0.10199999999999999"/>
    <n v="1.1256000000000001E-4"/>
    <n v="0.99988999999999995"/>
    <s v="17.02155249068177"/>
    <n v="14.373016640253701"/>
    <s v="33.30019173467202"/>
    <s v="4.804213117557949"/>
    <n v="819628158"/>
    <x v="0"/>
    <n v="3.4656386999999997E-4"/>
    <x v="0"/>
  </r>
  <r>
    <n v="49"/>
    <n v="1"/>
    <n v="1"/>
    <n v="0"/>
    <n v="1"/>
    <n v="2"/>
    <n v="0"/>
    <n v="43"/>
    <n v="6"/>
    <n v="3"/>
    <n v="4"/>
    <n v="22036"/>
    <n v="1560"/>
    <n v="20476"/>
    <n v="0.55500000000000005"/>
    <n v="2139"/>
    <n v="48"/>
    <n v="0.71399999999999997"/>
    <n v="7.0999999999999994E-2"/>
    <n v="4.7091E-4"/>
    <n v="0.99953000000000003"/>
    <s v="35.81503181244233"/>
    <s v="94.92102497506568"/>
    <s v="12.635264629903718"/>
    <s v="16.271713450269583"/>
    <n v="718201383"/>
    <x v="0"/>
    <n v="1.4401094999999999E-3"/>
    <x v="0"/>
  </r>
  <r>
    <n v="38"/>
    <n v="1"/>
    <n v="1"/>
    <n v="5"/>
    <n v="1"/>
    <n v="2"/>
    <n v="0"/>
    <n v="25"/>
    <n v="6"/>
    <n v="2"/>
    <n v="3"/>
    <n v="9303"/>
    <n v="1599"/>
    <n v="7704"/>
    <n v="1.4079999999999999"/>
    <n v="2261"/>
    <n v="37"/>
    <n v="0.54200000000000004"/>
    <n v="0.17199999999999999"/>
    <n v="1.8474999999999999E-4"/>
    <n v="0.99982000000000004"/>
    <s v="16.784715276380325"/>
    <s v="8.513773432635336"/>
    <s v="42.59241981640088"/>
    <s v="7.402356878573132"/>
    <n v="718468158"/>
    <x v="0"/>
    <n v="1.1254263E-3"/>
    <x v="0"/>
  </r>
  <r>
    <n v="41"/>
    <n v="0"/>
    <n v="3"/>
    <n v="1"/>
    <n v="2"/>
    <n v="4"/>
    <n v="0"/>
    <n v="31"/>
    <n v="4"/>
    <n v="2"/>
    <n v="1"/>
    <n v="1738"/>
    <n v="0"/>
    <n v="1738"/>
    <n v="0.65400000000000003"/>
    <n v="4220"/>
    <n v="68"/>
    <n v="0.88900000000000001"/>
    <n v="0"/>
    <n v="1.0307E-4"/>
    <n v="0.99990000000000001"/>
    <s v="18.76278531406857"/>
    <s v="4.756834094901181"/>
    <s v="70.13757346537646"/>
    <s v="1.643912651082942"/>
    <n v="714257958"/>
    <x v="0"/>
    <n v="7.4965424999999997E-4"/>
    <x v="0"/>
  </r>
  <r>
    <n v="49"/>
    <n v="1"/>
    <n v="4"/>
    <n v="4"/>
    <n v="2"/>
    <n v="3"/>
    <n v="0"/>
    <n v="42"/>
    <n v="3"/>
    <n v="2"/>
    <n v="1"/>
    <n v="30885"/>
    <n v="2018"/>
    <n v="28867"/>
    <n v="0.90400000000000003"/>
    <n v="17350"/>
    <n v="115"/>
    <n v="0.62"/>
    <n v="6.5000000000000002E-2"/>
    <s v="8.4706e-05"/>
    <n v="0.99992000000000003"/>
    <s v="27.68189486518975"/>
    <s v="16.31269675804678"/>
    <s v="37.47480550012335"/>
    <s v="18.967993437517173"/>
    <n v="756658083"/>
    <x v="0"/>
    <n v="4.1582222999999999E-4"/>
    <x v="0"/>
  </r>
  <r>
    <n v="58"/>
    <n v="0"/>
    <n v="1"/>
    <n v="6"/>
    <n v="2"/>
    <n v="1"/>
    <n v="0"/>
    <n v="53"/>
    <n v="3"/>
    <n v="3"/>
    <n v="1"/>
    <n v="6960"/>
    <n v="1536"/>
    <n v="5424"/>
    <n v="0.437"/>
    <n v="3112"/>
    <n v="79"/>
    <n v="0.54900000000000004"/>
    <n v="0.221"/>
    <n v="1.1192E-4"/>
    <n v="0.99988999999999995"/>
    <s v="21.040619400840026"/>
    <s v="71.73229074342969"/>
    <s v="27.00201836929367"/>
    <s v="20.273133518417268"/>
    <n v="818814933"/>
    <x v="0"/>
    <n v="3.5805804999999998E-4"/>
    <x v="0"/>
  </r>
  <r>
    <n v="30"/>
    <n v="0"/>
    <n v="0"/>
    <n v="6"/>
    <n v="1"/>
    <n v="4"/>
    <n v="0"/>
    <n v="19"/>
    <n v="5"/>
    <n v="1"/>
    <n v="4"/>
    <n v="2898"/>
    <n v="0"/>
    <n v="2898"/>
    <n v="1.1539999999999999"/>
    <n v="2632"/>
    <n v="64"/>
    <n v="0.77800000000000002"/>
    <n v="0"/>
    <n v="1.4907000000000001E-4"/>
    <n v="0.99985000000000002"/>
    <s v="46.01957386976446"/>
    <n v="67.063647553294601"/>
    <s v="76.34834786048427"/>
    <s v="5.1408118800549865"/>
    <n v="709150608"/>
    <x v="0"/>
    <n v="9.7265095000000003E-4"/>
    <x v="0"/>
  </r>
  <r>
    <n v="46"/>
    <n v="0"/>
    <n v="3"/>
    <n v="3"/>
    <n v="1"/>
    <n v="1"/>
    <n v="0"/>
    <n v="36"/>
    <n v="3"/>
    <n v="2"/>
    <n v="3"/>
    <n v="3413"/>
    <n v="2372"/>
    <n v="1041"/>
    <n v="0.7"/>
    <n v="5029"/>
    <n v="86"/>
    <n v="0.79200000000000004"/>
    <n v="0.69499999999999995"/>
    <n v="1.9311E-4"/>
    <n v="0.99980999999999998"/>
    <s v="42.16258017160666"/>
    <s v="26.87077595273242"/>
    <s v="31.162780074369877"/>
    <s v="1.2674333834578029"/>
    <n v="716304483"/>
    <x v="0"/>
    <n v="3.2101269999999999E-4"/>
    <x v="0"/>
  </r>
  <r>
    <n v="52"/>
    <n v="0"/>
    <n v="2"/>
    <n v="1"/>
    <n v="1"/>
    <n v="1"/>
    <n v="0"/>
    <n v="43"/>
    <n v="3"/>
    <n v="2"/>
    <n v="4"/>
    <n v="1822"/>
    <n v="1605"/>
    <n v="217"/>
    <n v="0.75600000000000001"/>
    <n v="2538"/>
    <n v="39"/>
    <n v="0.69599999999999995"/>
    <n v="0.88100000000000001"/>
    <n v="0.99789000000000005"/>
    <n v="2.1108899999999998E-3"/>
    <s v="15.409813475611568"/>
    <s v="14.599841162445296"/>
    <s v="0.3226042300001622"/>
    <s v="12.249787392102654"/>
    <n v="709143183"/>
    <x v="1"/>
    <n v="0.99383765000000002"/>
    <x v="1"/>
  </r>
  <r>
    <n v="53"/>
    <n v="0"/>
    <n v="2"/>
    <n v="0"/>
    <n v="2"/>
    <n v="5"/>
    <n v="0"/>
    <n v="38"/>
    <n v="2"/>
    <n v="3"/>
    <n v="3"/>
    <n v="16592"/>
    <n v="1435"/>
    <n v="15157"/>
    <n v="0.76"/>
    <n v="7642"/>
    <n v="89"/>
    <n v="0.64800000000000002"/>
    <n v="8.5999999999999993E-2"/>
    <n v="2.9410999999999999E-4"/>
    <n v="0.99970999999999999"/>
    <s v="85.63278578787643"/>
    <s v="45.06593779514341"/>
    <s v="123.98962094246552"/>
    <s v="3.8132286326559983"/>
    <n v="718491708"/>
    <x v="0"/>
    <n v="3.8873720999999998E-4"/>
    <x v="0"/>
  </r>
  <r>
    <n v="31"/>
    <n v="1"/>
    <n v="1"/>
    <n v="4"/>
    <n v="1"/>
    <n v="2"/>
    <n v="0"/>
    <n v="22"/>
    <n v="5"/>
    <n v="1"/>
    <n v="3"/>
    <n v="2685"/>
    <n v="1580"/>
    <n v="1105"/>
    <n v="0.72699999999999998"/>
    <n v="1642"/>
    <n v="36"/>
    <n v="0.63600000000000001"/>
    <n v="0.58799999999999997"/>
    <n v="1.0231E-4"/>
    <n v="0.99990000000000001"/>
    <s v="24.019864449328168"/>
    <s v="37.49030825166823"/>
    <s v="66.82629812279052"/>
    <s v="6.169464212509485"/>
    <n v="799498158"/>
    <x v="0"/>
    <n v="1.0598798E-3"/>
    <x v="0"/>
  </r>
  <r>
    <n v="53"/>
    <n v="0"/>
    <n v="1"/>
    <n v="3"/>
    <n v="1"/>
    <n v="4"/>
    <n v="0"/>
    <n v="48"/>
    <n v="5"/>
    <n v="3"/>
    <n v="3"/>
    <n v="2036"/>
    <n v="1716"/>
    <n v="320"/>
    <n v="0.69"/>
    <n v="4161"/>
    <n v="75"/>
    <n v="0.74399999999999999"/>
    <n v="0.84299999999999997"/>
    <n v="2.7604000000000002E-4"/>
    <n v="0.99972000000000005"/>
    <s v="57.217773598202506"/>
    <s v="17.39475779923379"/>
    <s v="21.65485182678833"/>
    <s v="6.9950719426354295"/>
    <n v="806900508"/>
    <x v="0"/>
    <n v="3.2101269999999999E-4"/>
    <x v="0"/>
  </r>
  <r>
    <n v="44"/>
    <n v="1"/>
    <n v="4"/>
    <n v="0"/>
    <n v="1"/>
    <n v="3"/>
    <n v="0"/>
    <n v="31"/>
    <n v="2"/>
    <n v="1"/>
    <n v="1"/>
    <n v="3472"/>
    <n v="1687"/>
    <n v="1785"/>
    <n v="0.64500000000000002"/>
    <n v="13999"/>
    <n v="119"/>
    <n v="0.72499999999999998"/>
    <n v="0.48599999999999999"/>
    <s v="3.3866e-05"/>
    <n v="0.99997000000000003"/>
    <s v="23.57303736344512"/>
    <n v="41.180225644638597"/>
    <s v="50.78798758751164"/>
    <s v="2.3819470467286137"/>
    <n v="789008508"/>
    <x v="0"/>
    <n v="3.4656386999999997E-4"/>
    <x v="0"/>
  </r>
  <r>
    <n v="52"/>
    <n v="0"/>
    <n v="3"/>
    <n v="6"/>
    <n v="1"/>
    <n v="4"/>
    <n v="0"/>
    <n v="47"/>
    <n v="6"/>
    <n v="3"/>
    <n v="2"/>
    <n v="2280"/>
    <n v="1170"/>
    <n v="1110"/>
    <n v="0.60299999999999998"/>
    <n v="1924"/>
    <n v="50"/>
    <n v="0.66700000000000004"/>
    <n v="0.51300000000000001"/>
    <n v="2.0515999999999999E-4"/>
    <n v="0.99978999999999996"/>
    <s v="10.546661949475352"/>
    <s v="2.5814825040004274"/>
    <s v="54.16769234453744"/>
    <s v="7.318249159354724"/>
    <n v="709783908"/>
    <x v="0"/>
    <n v="9.4502827E-4"/>
    <x v="0"/>
  </r>
  <r>
    <n v="58"/>
    <n v="0"/>
    <n v="5"/>
    <n v="6"/>
    <n v="1"/>
    <n v="1"/>
    <n v="0"/>
    <n v="47"/>
    <n v="1"/>
    <n v="3"/>
    <n v="3"/>
    <n v="2038"/>
    <n v="1099"/>
    <n v="939"/>
    <n v="0.80900000000000005"/>
    <n v="4784"/>
    <n v="70"/>
    <n v="0.75"/>
    <n v="0.53900000000000003"/>
    <n v="3.4328000000000001E-4"/>
    <n v="0.99965999999999999"/>
    <s v="31.88329724841042"/>
    <s v="1.5531221154283763"/>
    <s v="13.652772267097768"/>
    <s v="4.353793540556378"/>
    <n v="716851908"/>
    <x v="0"/>
    <n v="3.2101269999999999E-4"/>
    <x v="0"/>
  </r>
  <r>
    <n v="47"/>
    <n v="1"/>
    <n v="4"/>
    <n v="5"/>
    <n v="2"/>
    <n v="3"/>
    <n v="0"/>
    <n v="32"/>
    <n v="3"/>
    <n v="3"/>
    <n v="2"/>
    <n v="34010"/>
    <n v="1340"/>
    <n v="32670"/>
    <n v="0.74399999999999999"/>
    <n v="1739"/>
    <n v="39"/>
    <n v="0.5"/>
    <n v="3.9E-2"/>
    <n v="1.9395999999999999E-4"/>
    <n v="0.99980999999999998"/>
    <s v="25.107216047944355"/>
    <s v="11.75083835394988"/>
    <s v="226.73215518223495"/>
    <s v="6.768561932406454"/>
    <n v="779542608"/>
    <x v="0"/>
    <n v="1.3718942999999999E-3"/>
    <x v="0"/>
  </r>
  <r>
    <n v="28"/>
    <n v="0"/>
    <n v="0"/>
    <n v="6"/>
    <n v="2"/>
    <n v="4"/>
    <n v="3"/>
    <n v="36"/>
    <n v="4"/>
    <n v="3"/>
    <n v="4"/>
    <n v="14910"/>
    <n v="873"/>
    <n v="14037"/>
    <n v="0.73699999999999999"/>
    <n v="2560"/>
    <n v="72"/>
    <n v="0.67400000000000004"/>
    <n v="5.8999999999999997E-2"/>
    <n v="4.3981000000000001E-4"/>
    <n v="0.99956"/>
    <s v="18.200652170977342"/>
    <n v="39.953099217073003"/>
    <s v="41.00519909789462"/>
    <s v="16.45449126236644"/>
    <n v="710594358"/>
    <x v="0"/>
    <n v="5.7670330000000002E-4"/>
    <x v="0"/>
  </r>
  <r>
    <n v="54"/>
    <n v="1"/>
    <n v="3"/>
    <n v="3"/>
    <n v="2"/>
    <n v="3"/>
    <n v="0"/>
    <n v="47"/>
    <n v="3"/>
    <n v="1"/>
    <n v="2"/>
    <n v="16494"/>
    <n v="1348"/>
    <n v="15146"/>
    <n v="0.75900000000000001"/>
    <n v="1302"/>
    <n v="36"/>
    <n v="0.38500000000000001"/>
    <n v="8.2000000000000003E-2"/>
    <s v="5.5559e-05"/>
    <n v="0.99994000000000005"/>
    <s v="24.076942571051585"/>
    <s v="27.057956522842424"/>
    <s v="147.43582445546366"/>
    <n v="5.4791727465196596"/>
    <n v="790128033"/>
    <x v="0"/>
    <n v="1.3011673999999999E-3"/>
    <x v="0"/>
  </r>
  <r>
    <n v="54"/>
    <n v="1"/>
    <n v="0"/>
    <n v="2"/>
    <n v="2"/>
    <n v="3"/>
    <n v="0"/>
    <n v="42"/>
    <n v="3"/>
    <n v="1"/>
    <n v="1"/>
    <n v="22437"/>
    <n v="1389"/>
    <n v="21048"/>
    <n v="0.91700000000000004"/>
    <n v="3283"/>
    <n v="50"/>
    <n v="1.2729999999999999"/>
    <n v="6.2E-2"/>
    <s v="2.8501e-05"/>
    <n v="0.99997000000000003"/>
    <s v="32.38773652636239"/>
    <s v="33.62564185406426"/>
    <s v="43.69422383117465"/>
    <s v="5.530274485038869"/>
    <n v="811463283"/>
    <x v="0"/>
    <n v="9.5899053999999996E-4"/>
    <x v="0"/>
  </r>
  <r>
    <n v="44"/>
    <n v="0"/>
    <n v="2"/>
    <n v="2"/>
    <n v="0"/>
    <n v="4"/>
    <n v="0"/>
    <n v="27"/>
    <n v="5"/>
    <n v="2"/>
    <n v="2"/>
    <n v="1438.3"/>
    <n v="679"/>
    <n v="759.3"/>
    <n v="0.85899999999999999"/>
    <n v="1117"/>
    <n v="29"/>
    <n v="1.071"/>
    <n v="0.47199999999999998"/>
    <n v="1.1382E-4"/>
    <n v="0.99988999999999995"/>
    <s v="8.967224136754936"/>
    <s v="69.70253419532831"/>
    <s v="48.605893503313226"/>
    <s v="7.601096487247992"/>
    <n v="719662458"/>
    <x v="0"/>
    <n v="1.7295938E-3"/>
    <x v="0"/>
  </r>
  <r>
    <n v="54"/>
    <n v="0"/>
    <n v="4"/>
    <n v="3"/>
    <n v="2"/>
    <n v="1"/>
    <n v="0"/>
    <n v="48"/>
    <n v="2"/>
    <n v="4"/>
    <n v="1"/>
    <n v="3089"/>
    <n v="1177"/>
    <n v="1912"/>
    <n v="1.01"/>
    <n v="5237"/>
    <n v="75"/>
    <n v="0.82899999999999996"/>
    <n v="0.38100000000000001"/>
    <n v="1.3365999999999999E-4"/>
    <n v="0.99987000000000004"/>
    <s v="37.72864692146347"/>
    <s v="20.00946365757838"/>
    <s v="92.15912594641922"/>
    <n v="8.5455135927706891"/>
    <n v="798777708"/>
    <x v="0"/>
    <n v="3.221314E-4"/>
    <x v="0"/>
  </r>
  <r>
    <n v="52"/>
    <n v="1"/>
    <n v="2"/>
    <n v="5"/>
    <n v="0"/>
    <n v="1"/>
    <n v="0"/>
    <n v="46"/>
    <n v="5"/>
    <n v="1"/>
    <n v="1"/>
    <n v="1438.3"/>
    <n v="0"/>
    <n v="1438.3"/>
    <n v="0.70599999999999996"/>
    <n v="3763"/>
    <n v="74"/>
    <n v="0.85"/>
    <n v="0"/>
    <s v="3.415e-05"/>
    <n v="0.99997000000000003"/>
    <s v="39.051895467410304"/>
    <s v="77.36667049771644"/>
    <s v="67.13957701881638"/>
    <s v="1.6535867877483268"/>
    <n v="787301208"/>
    <x v="0"/>
    <n v="6.9517245999999998E-4"/>
    <x v="0"/>
  </r>
  <r>
    <n v="56"/>
    <n v="1"/>
    <n v="2"/>
    <n v="3"/>
    <n v="3"/>
    <n v="0"/>
    <n v="0"/>
    <n v="52"/>
    <n v="6"/>
    <n v="2"/>
    <n v="2"/>
    <n v="23362"/>
    <n v="1453"/>
    <n v="21909"/>
    <n v="0.84799999999999998"/>
    <n v="15399"/>
    <n v="116"/>
    <n v="0.84099999999999997"/>
    <n v="6.2E-2"/>
    <n v="1.1065000000000001E-4"/>
    <n v="0.99988999999999995"/>
    <s v="24.33421268818838"/>
    <s v="26.27150231560193"/>
    <s v="5.210739597820759"/>
    <s v="14.67715325642149"/>
    <n v="824160333"/>
    <x v="0"/>
    <n v="3.8573547000000003E-4"/>
    <x v="0"/>
  </r>
  <r>
    <n v="55"/>
    <n v="1"/>
    <n v="3"/>
    <n v="3"/>
    <n v="2"/>
    <n v="0"/>
    <n v="0"/>
    <n v="51"/>
    <n v="3"/>
    <n v="1"/>
    <n v="3"/>
    <n v="34516"/>
    <n v="1266"/>
    <n v="33250"/>
    <n v="0.84599999999999997"/>
    <n v="1161"/>
    <n v="26"/>
    <n v="0.36799999999999999"/>
    <n v="3.6999999999999998E-2"/>
    <s v="9.3448e-05"/>
    <n v="0.99990999999999997"/>
    <s v="43.28294074102458"/>
    <s v="30.870328317159917"/>
    <s v="1.2295968122087833"/>
    <s v="3.009199141067128"/>
    <n v="827108583"/>
    <x v="0"/>
    <n v="1.3718942999999999E-3"/>
    <x v="0"/>
  </r>
  <r>
    <n v="62"/>
    <n v="0"/>
    <n v="1"/>
    <n v="3"/>
    <n v="1"/>
    <n v="1"/>
    <n v="0"/>
    <n v="53"/>
    <n v="2"/>
    <n v="1"/>
    <n v="1"/>
    <n v="5249"/>
    <n v="0"/>
    <n v="5249"/>
    <n v="0.75800000000000001"/>
    <n v="1315"/>
    <n v="31"/>
    <n v="0.72199999999999998"/>
    <n v="0"/>
    <n v="0.96806000000000003"/>
    <n v="3.1940000000000003E-2"/>
    <s v="0.6818139376868355"/>
    <s v="23.37873131991748"/>
    <s v="29.737383913196748"/>
    <s v="3.550862945413185"/>
    <n v="714078558"/>
    <x v="1"/>
    <n v="0.99080515000000002"/>
    <x v="1"/>
  </r>
  <r>
    <n v="39"/>
    <n v="0"/>
    <n v="5"/>
    <n v="2"/>
    <n v="2"/>
    <n v="4"/>
    <n v="0"/>
    <n v="33"/>
    <n v="5"/>
    <n v="2"/>
    <n v="2"/>
    <n v="1438.3"/>
    <n v="668"/>
    <n v="770.3"/>
    <n v="0.93100000000000005"/>
    <n v="5205"/>
    <n v="78"/>
    <n v="0.77300000000000002"/>
    <n v="0.46400000000000002"/>
    <n v="1.1751E-4"/>
    <n v="0.99987999999999999"/>
    <s v="52.19530883157901"/>
    <s v="3.9627086271757097"/>
    <s v="1.884570208396925"/>
    <s v="15.374087836047746"/>
    <n v="793616883"/>
    <x v="0"/>
    <n v="5.4678856000000002E-4"/>
    <x v="0"/>
  </r>
  <r>
    <n v="45"/>
    <n v="0"/>
    <n v="2"/>
    <n v="5"/>
    <n v="2"/>
    <n v="4"/>
    <n v="0"/>
    <n v="36"/>
    <n v="2"/>
    <n v="2"/>
    <n v="2"/>
    <n v="1839"/>
    <n v="0"/>
    <n v="1839"/>
    <n v="0.78200000000000003"/>
    <n v="4930"/>
    <n v="91"/>
    <n v="0.78400000000000003"/>
    <n v="0"/>
    <n v="1.1703E-4"/>
    <n v="0.99987999999999999"/>
    <s v="23.70893666933529"/>
    <s v="5.107055157867243"/>
    <s v="175.0734966723888"/>
    <s v="21.622131402034057"/>
    <n v="711733308"/>
    <x v="0"/>
    <n v="6.9517245999999998E-4"/>
    <x v="0"/>
  </r>
  <r>
    <n v="36"/>
    <n v="1"/>
    <n v="1"/>
    <n v="6"/>
    <n v="2"/>
    <n v="4"/>
    <n v="0"/>
    <n v="23"/>
    <n v="4"/>
    <n v="3"/>
    <n v="1"/>
    <n v="1438.3"/>
    <n v="928"/>
    <n v="510.3"/>
    <n v="0.85099999999999998"/>
    <n v="2186"/>
    <n v="59"/>
    <n v="0.68600000000000005"/>
    <n v="0.64500000000000002"/>
    <n v="1.1192E-4"/>
    <n v="0.99988999999999995"/>
    <s v="17.587764051316775"/>
    <s v="88.19863579441723"/>
    <s v="88.60750761685796"/>
    <s v="24.447205644790756"/>
    <n v="712401033"/>
    <x v="0"/>
    <n v="5.8276805999999998E-4"/>
    <x v="0"/>
  </r>
  <r>
    <n v="47"/>
    <n v="1"/>
    <n v="2"/>
    <n v="2"/>
    <n v="1"/>
    <n v="3"/>
    <n v="0"/>
    <n v="38"/>
    <n v="6"/>
    <n v="3"/>
    <n v="2"/>
    <n v="28904"/>
    <n v="1899"/>
    <n v="27005"/>
    <n v="0.85"/>
    <n v="1334"/>
    <n v="35"/>
    <n v="0.4"/>
    <n v="6.6000000000000003E-2"/>
    <n v="1.7987E-4"/>
    <n v="0.99982000000000004"/>
    <s v="70.25733276170936"/>
    <s v="14.322419993393911"/>
    <s v="27.939123323852016"/>
    <s v="16.84215116018981"/>
    <n v="710790258"/>
    <x v="0"/>
    <n v="1.3335287000000001E-3"/>
    <x v="0"/>
  </r>
  <r>
    <n v="39"/>
    <n v="1"/>
    <n v="2"/>
    <n v="2"/>
    <n v="0"/>
    <n v="2"/>
    <n v="0"/>
    <n v="34"/>
    <n v="5"/>
    <n v="1"/>
    <n v="4"/>
    <n v="2267"/>
    <n v="0"/>
    <n v="2267"/>
    <n v="0.875"/>
    <n v="4544"/>
    <n v="84"/>
    <n v="0.75"/>
    <n v="0"/>
    <n v="1.5804E-4"/>
    <n v="0.99983999999999995"/>
    <s v="18.216050970662543"/>
    <s v="19.24090442610798"/>
    <s v="48.716032164052336"/>
    <s v="0.5064110357890099"/>
    <n v="806244183"/>
    <x v="0"/>
    <n v="7.1049936000000004E-4"/>
    <x v="0"/>
  </r>
  <r>
    <n v="47"/>
    <n v="0"/>
    <n v="3"/>
    <n v="4"/>
    <n v="1"/>
    <n v="4"/>
    <n v="0"/>
    <n v="28"/>
    <n v="1"/>
    <n v="3"/>
    <n v="1"/>
    <n v="8257"/>
    <n v="961"/>
    <n v="7296"/>
    <n v="0.74099999999999999"/>
    <n v="13769"/>
    <n v="104"/>
    <n v="0.85699999999999998"/>
    <n v="0.11600000000000001"/>
    <n v="1.3244999999999999E-4"/>
    <n v="0.99987000000000004"/>
    <s v="36.52424495474542"/>
    <s v="29.81482498727933"/>
    <s v="48.08817146407271"/>
    <s v="1.3617233521160368"/>
    <n v="778832883"/>
    <x v="0"/>
    <n v="4.2668387000000001E-4"/>
    <x v="0"/>
  </r>
  <r>
    <n v="53"/>
    <n v="0"/>
    <n v="1"/>
    <n v="2"/>
    <n v="1"/>
    <n v="4"/>
    <n v="0"/>
    <n v="32"/>
    <n v="4"/>
    <n v="2"/>
    <n v="3"/>
    <n v="7832"/>
    <n v="1784"/>
    <n v="6048"/>
    <n v="0.71099999999999997"/>
    <n v="14614"/>
    <n v="106"/>
    <n v="0.65600000000000003"/>
    <n v="0.22800000000000001"/>
    <n v="1.7969000000000001E-4"/>
    <n v="0.99982000000000004"/>
    <s v="37.19925409447324"/>
    <s v="71.37234252274929"/>
    <s v="20.38588272345842"/>
    <n v="8.9030464533150795"/>
    <n v="788741733"/>
    <x v="0"/>
    <n v="3.4656386999999997E-4"/>
    <x v="0"/>
  </r>
  <r>
    <n v="60"/>
    <n v="0"/>
    <n v="1"/>
    <n v="3"/>
    <n v="1"/>
    <n v="4"/>
    <n v="0"/>
    <n v="47"/>
    <n v="2"/>
    <n v="3"/>
    <n v="1"/>
    <n v="3845"/>
    <n v="1460"/>
    <n v="2385"/>
    <n v="0.85699999999999998"/>
    <n v="14432"/>
    <n v="106"/>
    <n v="0.82799999999999996"/>
    <n v="0.38"/>
    <s v="9.8983e-05"/>
    <n v="0.99990000000000001"/>
    <s v="16.08368113118584"/>
    <s v="44.11170150980561"/>
    <s v="17.773149413983372"/>
    <s v="11.455535610679789"/>
    <n v="718528008"/>
    <x v="0"/>
    <n v="3.4656386999999997E-4"/>
    <x v="0"/>
  </r>
  <r>
    <n v="45"/>
    <n v="1"/>
    <n v="3"/>
    <n v="3"/>
    <n v="3"/>
    <n v="3"/>
    <n v="0"/>
    <n v="36"/>
    <n v="4"/>
    <n v="3"/>
    <n v="2"/>
    <n v="3845"/>
    <n v="0"/>
    <n v="3845"/>
    <n v="0.59499999999999997"/>
    <n v="2174"/>
    <n v="39"/>
    <n v="0.39300000000000002"/>
    <n v="0"/>
    <n v="0.99451999999999996"/>
    <n v="5.4799999999999996E-3"/>
    <s v="6.034710898899756"/>
    <n v="80.529653173995797"/>
    <s v="2.1088021719398795"/>
    <n v="8.83636070725764"/>
    <n v="709688883"/>
    <x v="1"/>
    <n v="0.99873226999999998"/>
    <x v="1"/>
  </r>
  <r>
    <n v="48"/>
    <n v="1"/>
    <n v="3"/>
    <n v="2"/>
    <n v="2"/>
    <n v="2"/>
    <n v="0"/>
    <n v="42"/>
    <n v="3"/>
    <n v="2"/>
    <n v="4"/>
    <n v="19075"/>
    <n v="0"/>
    <n v="19075"/>
    <n v="0.80700000000000005"/>
    <n v="2013"/>
    <n v="32"/>
    <n v="0.45500000000000002"/>
    <n v="0"/>
    <n v="0.99705999999999995"/>
    <n v="2.9414100000000002E-3"/>
    <s v="43.31179298255592"/>
    <s v="53.89393353768669"/>
    <s v="21.279517869045904"/>
    <s v="17.44468709492224"/>
    <n v="716782758"/>
    <x v="1"/>
    <n v="0.99841880000000005"/>
    <x v="1"/>
  </r>
  <r>
    <n v="56"/>
    <n v="1"/>
    <n v="1"/>
    <n v="0"/>
    <n v="2"/>
    <n v="3"/>
    <n v="0"/>
    <n v="36"/>
    <n v="3"/>
    <n v="6"/>
    <n v="0"/>
    <n v="11751"/>
    <n v="0"/>
    <n v="11751"/>
    <n v="3.3969999999999998"/>
    <n v="1539"/>
    <n v="17"/>
    <n v="3.25"/>
    <n v="0"/>
    <s v="4.7799e-05"/>
    <n v="0.99995000000000001"/>
    <s v="9.138793644373347"/>
    <s v="33.301911891433015"/>
    <s v="43.51590892190222"/>
    <s v="3.584399626533343"/>
    <n v="710599683"/>
    <x v="0"/>
    <n v="3.2693911E-3"/>
    <x v="0"/>
  </r>
  <r>
    <n v="50"/>
    <n v="0"/>
    <n v="1"/>
    <n v="5"/>
    <n v="2"/>
    <n v="4"/>
    <n v="0"/>
    <n v="37"/>
    <n v="6"/>
    <n v="1"/>
    <n v="1"/>
    <n v="1837"/>
    <n v="665"/>
    <n v="1172"/>
    <n v="0.84399999999999997"/>
    <n v="4752"/>
    <n v="88"/>
    <n v="0.66"/>
    <n v="0.36199999999999999"/>
    <s v="3.2055e-05"/>
    <n v="0.99997000000000003"/>
    <s v="0.6756521903327705"/>
    <s v="16.041671350870303"/>
    <s v="72.51264548294354"/>
    <s v="8.639078900704156"/>
    <n v="711883833"/>
    <x v="0"/>
    <n v="5.4489190000000002E-4"/>
    <x v="0"/>
  </r>
  <r>
    <n v="44"/>
    <n v="1"/>
    <n v="4"/>
    <n v="3"/>
    <n v="2"/>
    <n v="2"/>
    <n v="0"/>
    <n v="32"/>
    <n v="5"/>
    <n v="3"/>
    <n v="2"/>
    <n v="3233"/>
    <n v="1034"/>
    <n v="2199"/>
    <n v="0.75900000000000001"/>
    <n v="1256"/>
    <n v="29"/>
    <n v="0.70599999999999996"/>
    <n v="0.32"/>
    <n v="1.8338999999999999E-4"/>
    <n v="0.99982000000000004"/>
    <s v="14.889166618583856"/>
    <s v="46.279806607522886"/>
    <s v="1.3982671859091578"/>
    <s v="0.4341986017614693"/>
    <n v="789115833"/>
    <x v="0"/>
    <n v="1.0337284E-3"/>
    <x v="0"/>
  </r>
  <r>
    <n v="53"/>
    <n v="0"/>
    <n v="1"/>
    <n v="5"/>
    <n v="0"/>
    <n v="1"/>
    <n v="3"/>
    <n v="36"/>
    <n v="5"/>
    <n v="1"/>
    <n v="1"/>
    <n v="15248"/>
    <n v="1242"/>
    <n v="14006"/>
    <n v="0.72499999999999998"/>
    <n v="4758"/>
    <n v="83"/>
    <n v="0.45600000000000002"/>
    <n v="8.1000000000000003E-2"/>
    <s v="2.8963e-05"/>
    <n v="0.99997000000000003"/>
    <s v="66.98377727717089"/>
    <s v="55.79725420266748"/>
    <s v="4.396470026640654"/>
    <s v="6.851271757343772"/>
    <n v="720708183"/>
    <x v="0"/>
    <n v="3.7735005E-4"/>
    <x v="0"/>
  </r>
  <r>
    <n v="58"/>
    <n v="0"/>
    <n v="1"/>
    <n v="3"/>
    <n v="1"/>
    <n v="4"/>
    <n v="0"/>
    <n v="46"/>
    <n v="4"/>
    <n v="1"/>
    <n v="3"/>
    <n v="2799"/>
    <n v="1532"/>
    <n v="1267"/>
    <n v="0.58299999999999996"/>
    <n v="4214"/>
    <n v="83"/>
    <n v="0.53700000000000003"/>
    <n v="0.54700000000000004"/>
    <s v="8.453e-05"/>
    <n v="0.99992000000000003"/>
    <s v="2.798646785511058"/>
    <s v="27.66604675380705"/>
    <s v="83.25793109239929"/>
    <s v="3.4070047884356915"/>
    <n v="719446833"/>
    <x v="0"/>
    <n v="3.2914013999999999E-4"/>
    <x v="0"/>
  </r>
  <r>
    <n v="58"/>
    <n v="0"/>
    <n v="0"/>
    <n v="5"/>
    <n v="2"/>
    <n v="4"/>
    <n v="0"/>
    <n v="48"/>
    <n v="6"/>
    <n v="2"/>
    <n v="4"/>
    <n v="2628"/>
    <n v="1542"/>
    <n v="1086"/>
    <n v="0.93"/>
    <n v="4335"/>
    <n v="76"/>
    <n v="0.72699999999999998"/>
    <n v="0.58699999999999997"/>
    <n v="2.8813999999999999E-4"/>
    <n v="0.99970999999999999"/>
    <s v="12.992023467507025"/>
    <s v="14.068274307260634"/>
    <s v="171.35872702158764"/>
    <s v="35.86601521272624"/>
    <n v="787617483"/>
    <x v="0"/>
    <n v="3.221314E-4"/>
    <x v="0"/>
  </r>
  <r>
    <n v="33"/>
    <n v="0"/>
    <n v="0"/>
    <n v="5"/>
    <n v="2"/>
    <n v="1"/>
    <n v="0"/>
    <n v="15"/>
    <n v="3"/>
    <n v="2"/>
    <n v="6"/>
    <n v="1438.3"/>
    <n v="0"/>
    <n v="1438.3"/>
    <n v="0.83499999999999996"/>
    <n v="2527"/>
    <n v="49"/>
    <n v="0.69"/>
    <n v="0"/>
    <n v="0.99885999999999997"/>
    <n v="1.1409E-3"/>
    <n v="9.6900094540655903"/>
    <s v="40.56556515220612"/>
    <s v="51.48153560963729"/>
    <s v="4.262955810824882"/>
    <n v="779130108"/>
    <x v="1"/>
    <n v="0.99713885999999996"/>
    <x v="1"/>
  </r>
  <r>
    <n v="53"/>
    <n v="1"/>
    <n v="1"/>
    <n v="6"/>
    <n v="1"/>
    <n v="3"/>
    <n v="0"/>
    <n v="36"/>
    <n v="4"/>
    <n v="2"/>
    <n v="3"/>
    <n v="13457"/>
    <n v="1248"/>
    <n v="12209"/>
    <n v="0.51200000000000001"/>
    <n v="1548"/>
    <n v="41"/>
    <n v="0.51900000000000002"/>
    <n v="9.2999999999999999E-2"/>
    <n v="1.9751E-4"/>
    <n v="0.99980000000000002"/>
    <s v="38.77362183068485"/>
    <n v="8.73748139582462"/>
    <s v="9.603628872547697"/>
    <s v="3.6983364988473513"/>
    <n v="717261708"/>
    <x v="0"/>
    <n v="1.1874976E-3"/>
    <x v="0"/>
  </r>
  <r>
    <n v="48"/>
    <n v="1"/>
    <n v="2"/>
    <n v="6"/>
    <n v="1"/>
    <n v="0"/>
    <n v="3"/>
    <n v="32"/>
    <n v="3"/>
    <n v="2"/>
    <n v="4"/>
    <n v="34516"/>
    <n v="2098"/>
    <n v="32418"/>
    <n v="0.74099999999999999"/>
    <n v="3093"/>
    <n v="66"/>
    <n v="0.78400000000000003"/>
    <n v="6.0999999999999999E-2"/>
    <n v="3.2434E-4"/>
    <n v="0.99968000000000001"/>
    <s v="10.04699263599908"/>
    <s v="57.96163717305296"/>
    <s v="25.912017675563582"/>
    <s v="9.846072031089111"/>
    <n v="779852133"/>
    <x v="0"/>
    <n v="3.886885E-4"/>
    <x v="0"/>
  </r>
  <r>
    <n v="34"/>
    <n v="0"/>
    <n v="2"/>
    <n v="2"/>
    <n v="0"/>
    <n v="5"/>
    <n v="0"/>
    <n v="25"/>
    <n v="2"/>
    <n v="3"/>
    <n v="4"/>
    <n v="12373"/>
    <n v="0"/>
    <n v="12373"/>
    <n v="0.71"/>
    <n v="2462"/>
    <n v="40"/>
    <n v="0.42899999999999999"/>
    <n v="0"/>
    <n v="0.99807000000000001"/>
    <n v="1.93323E-3"/>
    <s v="25.15192251490361"/>
    <s v="28.78419109030409"/>
    <s v="7.513604775015857"/>
    <s v="10.989225804625226"/>
    <n v="711399408"/>
    <x v="1"/>
    <n v="0.99841880000000005"/>
    <x v="1"/>
  </r>
  <r>
    <n v="49"/>
    <n v="0"/>
    <n v="2"/>
    <n v="0"/>
    <n v="2"/>
    <n v="1"/>
    <n v="0"/>
    <n v="36"/>
    <n v="3"/>
    <n v="2"/>
    <n v="1"/>
    <n v="6371"/>
    <n v="1946"/>
    <n v="4425"/>
    <n v="0.58199999999999996"/>
    <n v="3592"/>
    <n v="79"/>
    <n v="0.75600000000000001"/>
    <n v="0.30499999999999999"/>
    <s v="6.6734e-05"/>
    <n v="0.99992999999999999"/>
    <s v="40.27163642748521"/>
    <s v="55.45757038258514"/>
    <s v="67.37492086789184"/>
    <s v="6.3874154074798986"/>
    <n v="712178883"/>
    <x v="0"/>
    <n v="3.2101269999999999E-4"/>
    <x v="0"/>
  </r>
  <r>
    <n v="38"/>
    <n v="1"/>
    <n v="3"/>
    <n v="3"/>
    <n v="2"/>
    <n v="0"/>
    <n v="0"/>
    <n v="27"/>
    <n v="2"/>
    <n v="4"/>
    <n v="1"/>
    <n v="34516"/>
    <n v="0"/>
    <n v="34516"/>
    <n v="0.91900000000000004"/>
    <n v="13781"/>
    <n v="106"/>
    <n v="0.79700000000000004"/>
    <n v="0"/>
    <n v="1.3223999999999999E-4"/>
    <n v="0.99987000000000004"/>
    <s v="24.597731401915905"/>
    <s v="41.98581710101143"/>
    <s v="122.07680083752923"/>
    <s v="2.256088416766983"/>
    <n v="710300733"/>
    <x v="0"/>
    <n v="8.064217E-4"/>
    <x v="0"/>
  </r>
  <r>
    <n v="37"/>
    <n v="1"/>
    <n v="2"/>
    <n v="6"/>
    <n v="2"/>
    <n v="1"/>
    <n v="0"/>
    <n v="24"/>
    <n v="6"/>
    <n v="2"/>
    <n v="4"/>
    <n v="10226"/>
    <n v="0"/>
    <n v="10226"/>
    <n v="0.61399999999999999"/>
    <n v="2243"/>
    <n v="44"/>
    <n v="0.57099999999999995"/>
    <n v="0"/>
    <n v="0.99722"/>
    <n v="2.7772299999999999E-3"/>
    <s v="19.88643419844268"/>
    <s v="41.60877342282728"/>
    <s v="17.730094925802454"/>
    <s v="12.359886252744252"/>
    <n v="720010608"/>
    <x v="1"/>
    <n v="0.99837339999999997"/>
    <x v="1"/>
  </r>
  <r>
    <n v="39"/>
    <n v="0"/>
    <n v="3"/>
    <n v="5"/>
    <n v="2"/>
    <n v="5"/>
    <n v="0"/>
    <n v="25"/>
    <n v="5"/>
    <n v="3"/>
    <n v="3"/>
    <n v="4181"/>
    <n v="1604"/>
    <n v="2577"/>
    <n v="0.65900000000000003"/>
    <n v="3955"/>
    <n v="74"/>
    <n v="0.57399999999999995"/>
    <n v="0.38400000000000001"/>
    <n v="3.2275000000000001E-4"/>
    <n v="0.99968000000000001"/>
    <s v="34.18293726863584"/>
    <s v="20.89952050827566"/>
    <s v="4.6251443746071885"/>
    <s v="5.284481567852571"/>
    <n v="713256033"/>
    <x v="0"/>
    <n v="3.2914013999999999E-4"/>
    <x v="0"/>
  </r>
  <r>
    <n v="26"/>
    <n v="0"/>
    <n v="0"/>
    <n v="6"/>
    <n v="3"/>
    <n v="5"/>
    <n v="0"/>
    <n v="18"/>
    <n v="3"/>
    <n v="3"/>
    <n v="3"/>
    <n v="12463"/>
    <n v="1319"/>
    <n v="11144"/>
    <n v="0.65500000000000003"/>
    <n v="3996"/>
    <n v="71"/>
    <n v="0.54300000000000004"/>
    <n v="0.106"/>
    <n v="2.8535000000000002E-4"/>
    <n v="0.99970999999999999"/>
    <s v="17.80579463572007"/>
    <s v="13.691618672980916"/>
    <s v="38.83610612360186"/>
    <s v="21.016196590309523"/>
    <n v="769701258"/>
    <x v="0"/>
    <n v="3.2914013999999999E-4"/>
    <x v="0"/>
  </r>
  <r>
    <n v="38"/>
    <n v="0"/>
    <n v="3"/>
    <n v="2"/>
    <n v="2"/>
    <n v="4"/>
    <n v="0"/>
    <n v="28"/>
    <n v="6"/>
    <n v="2"/>
    <n v="2"/>
    <n v="2699"/>
    <n v="564"/>
    <n v="2135"/>
    <n v="0.68300000000000005"/>
    <n v="4813"/>
    <n v="78"/>
    <n v="0.81399999999999995"/>
    <n v="0.20899999999999999"/>
    <n v="1.1811000000000001E-4"/>
    <n v="0.99987999999999999"/>
    <s v="52.685011762751856"/>
    <s v="49.32513604471698"/>
    <s v="28.821897852911697"/>
    <s v="6.322139132878121"/>
    <n v="716753058"/>
    <x v="0"/>
    <n v="6.2459736000000004E-4"/>
    <x v="0"/>
  </r>
  <r>
    <n v="41"/>
    <n v="1"/>
    <n v="4"/>
    <n v="6"/>
    <n v="1"/>
    <n v="2"/>
    <n v="0"/>
    <n v="36"/>
    <n v="5"/>
    <n v="3"/>
    <n v="2"/>
    <n v="1734"/>
    <n v="857"/>
    <n v="877"/>
    <n v="0.752"/>
    <n v="4741"/>
    <n v="84"/>
    <n v="0.71399999999999997"/>
    <n v="0.49399999999999999"/>
    <n v="2.0735E-4"/>
    <n v="0.99978999999999996"/>
    <s v="5.410420973345987"/>
    <s v="18.47225106148649"/>
    <s v="167.0566435878419"/>
    <s v="16.732038195757497"/>
    <n v="817960533"/>
    <x v="0"/>
    <n v="4.8967317000000001E-4"/>
    <x v="0"/>
  </r>
  <r>
    <n v="32"/>
    <n v="1"/>
    <n v="3"/>
    <n v="0"/>
    <n v="3"/>
    <n v="3"/>
    <n v="0"/>
    <n v="36"/>
    <n v="3"/>
    <n v="5"/>
    <n v="2"/>
    <n v="15412"/>
    <n v="0"/>
    <n v="15412"/>
    <n v="0.58899999999999997"/>
    <n v="3993"/>
    <n v="73"/>
    <n v="0.65900000000000003"/>
    <n v="0"/>
    <n v="2.0268E-4"/>
    <n v="0.99980000000000002"/>
    <s v="8.370795113931253"/>
    <s v="73.22271897541192"/>
    <s v="16.013833693000166"/>
    <s v="24.441943016113285"/>
    <n v="712986483"/>
    <x v="0"/>
    <n v="6.9517245999999998E-4"/>
    <x v="0"/>
  </r>
  <r>
    <n v="61"/>
    <n v="1"/>
    <n v="0"/>
    <n v="3"/>
    <n v="1"/>
    <n v="3"/>
    <n v="0"/>
    <n v="50"/>
    <n v="4"/>
    <n v="1"/>
    <n v="3"/>
    <n v="2800"/>
    <n v="2448"/>
    <n v="352"/>
    <n v="0.54900000000000004"/>
    <n v="1433"/>
    <n v="40"/>
    <n v="0.48099999999999998"/>
    <n v="0.874"/>
    <s v="7.7279e-05"/>
    <n v="0.99992000000000003"/>
    <s v="8.731339288190286"/>
    <s v="51.020783500992735"/>
    <s v="38.213046399313846"/>
    <s v="2.428164763001645"/>
    <n v="711711483"/>
    <x v="0"/>
    <n v="1.2315542E-3"/>
    <x v="0"/>
  </r>
  <r>
    <n v="47"/>
    <n v="0"/>
    <n v="2"/>
    <n v="3"/>
    <n v="2"/>
    <n v="4"/>
    <n v="0"/>
    <n v="35"/>
    <n v="4"/>
    <n v="2"/>
    <n v="3"/>
    <n v="2262"/>
    <n v="0"/>
    <n v="2262"/>
    <n v="0.80600000000000005"/>
    <n v="4113"/>
    <n v="83"/>
    <n v="0.627"/>
    <n v="0"/>
    <n v="1.861E-4"/>
    <n v="0.99980999999999998"/>
    <s v="18.316186951383933"/>
    <s v="45.819514948121785"/>
    <n v="23.856483753074901"/>
    <s v="16.419568450581895"/>
    <n v="708724908"/>
    <x v="0"/>
    <n v="7.1276520000000004E-4"/>
    <x v="0"/>
  </r>
  <r>
    <n v="53"/>
    <n v="0"/>
    <n v="3"/>
    <n v="5"/>
    <n v="1"/>
    <n v="4"/>
    <n v="0"/>
    <n v="47"/>
    <n v="1"/>
    <n v="3"/>
    <n v="2"/>
    <n v="3733"/>
    <n v="1620"/>
    <n v="2113"/>
    <n v="0.76500000000000001"/>
    <n v="15200"/>
    <n v="118"/>
    <n v="0.93400000000000005"/>
    <n v="0.434"/>
    <n v="1.9191E-4"/>
    <n v="0.99980999999999998"/>
    <s v="41.165058409682246"/>
    <s v="82.81552288354646"/>
    <s v="22.06142231262436"/>
    <s v="13.078190624875925"/>
    <n v="795869583"/>
    <x v="0"/>
    <n v="3.4656386999999997E-4"/>
    <x v="0"/>
  </r>
  <r>
    <n v="54"/>
    <n v="1"/>
    <n v="2"/>
    <n v="6"/>
    <n v="1"/>
    <n v="1"/>
    <n v="0"/>
    <n v="44"/>
    <n v="4"/>
    <n v="3"/>
    <n v="2"/>
    <n v="2902"/>
    <n v="2517"/>
    <n v="385"/>
    <n v="0.82099999999999995"/>
    <n v="996"/>
    <n v="26"/>
    <n v="0.44400000000000001"/>
    <n v="0.86699999999999999"/>
    <n v="0.99497000000000002"/>
    <n v="5.0299999999999997E-3"/>
    <s v="19.621476557598843"/>
    <n v="61.6222963915111"/>
    <n v="31.0391058257681"/>
    <s v="14.255723843597778"/>
    <n v="709278258"/>
    <x v="1"/>
    <n v="0.99519159999999995"/>
    <x v="1"/>
  </r>
  <r>
    <n v="49"/>
    <n v="0"/>
    <n v="3"/>
    <n v="2"/>
    <n v="2"/>
    <n v="4"/>
    <n v="0"/>
    <n v="42"/>
    <n v="5"/>
    <n v="2"/>
    <n v="3"/>
    <n v="2608"/>
    <n v="2455"/>
    <n v="153"/>
    <n v="0.88600000000000001"/>
    <n v="4776"/>
    <n v="85"/>
    <n v="0.88900000000000001"/>
    <n v="0.94099999999999995"/>
    <n v="1.9864000000000001E-4"/>
    <n v="0.99980000000000002"/>
    <s v="36.05373610748832"/>
    <s v="49.248131424115705"/>
    <s v="45.86067021531966"/>
    <s v="4.939560196531027"/>
    <n v="711296508"/>
    <x v="0"/>
    <n v="3.221314E-4"/>
    <x v="0"/>
  </r>
  <r>
    <n v="42"/>
    <n v="0"/>
    <n v="4"/>
    <n v="2"/>
    <n v="1"/>
    <n v="1"/>
    <n v="0"/>
    <n v="23"/>
    <n v="1"/>
    <n v="2"/>
    <n v="3"/>
    <n v="2647"/>
    <n v="1245"/>
    <n v="1402"/>
    <n v="0.71199999999999997"/>
    <n v="4911"/>
    <n v="82"/>
    <n v="0.86399999999999999"/>
    <n v="0.47"/>
    <n v="2.0076999999999999E-4"/>
    <n v="0.99980000000000002"/>
    <s v="30.30118929718594"/>
    <s v="0.9454287540069474"/>
    <s v="35.92688939529279"/>
    <s v="5.729796468353219"/>
    <n v="778847808"/>
    <x v="0"/>
    <n v="3.2101269999999999E-4"/>
    <x v="0"/>
  </r>
  <r>
    <n v="40"/>
    <n v="0"/>
    <n v="2"/>
    <n v="5"/>
    <n v="2"/>
    <n v="4"/>
    <n v="0"/>
    <n v="34"/>
    <n v="1"/>
    <n v="2"/>
    <n v="1"/>
    <n v="4748"/>
    <n v="2085"/>
    <n v="2663"/>
    <n v="0.61499999999999999"/>
    <n v="7288"/>
    <n v="88"/>
    <n v="0.6"/>
    <n v="0.439"/>
    <s v="7.0576e-05"/>
    <n v="0.99992999999999999"/>
    <s v="35.822784360272784"/>
    <n v="58.928082521740798"/>
    <s v="111.67875021296813"/>
    <s v="25.57301924138238"/>
    <n v="797898858"/>
    <x v="0"/>
    <n v="3.7789578000000003E-4"/>
    <x v="0"/>
  </r>
  <r>
    <n v="38"/>
    <n v="1"/>
    <n v="3"/>
    <n v="6"/>
    <n v="1"/>
    <n v="0"/>
    <n v="0"/>
    <n v="33"/>
    <n v="5"/>
    <n v="3"/>
    <n v="4"/>
    <n v="30746"/>
    <n v="1168"/>
    <n v="29578"/>
    <n v="0.65300000000000002"/>
    <n v="1519"/>
    <n v="43"/>
    <n v="0.72"/>
    <n v="3.7999999999999999E-2"/>
    <n v="5.8850999999999999E-4"/>
    <n v="0.99941000000000002"/>
    <s v="22.78000968106388"/>
    <s v="53.62054841108017"/>
    <s v="87.63432319808072"/>
    <s v="14.763587211500646"/>
    <n v="718970058"/>
    <x v="0"/>
    <n v="1.1504791999999999E-3"/>
    <x v="0"/>
  </r>
  <r>
    <n v="48"/>
    <n v="0"/>
    <n v="4"/>
    <n v="3"/>
    <n v="1"/>
    <n v="1"/>
    <n v="0"/>
    <n v="42"/>
    <n v="3"/>
    <n v="1"/>
    <n v="3"/>
    <n v="4206"/>
    <n v="1100"/>
    <n v="3106"/>
    <n v="0.58699999999999997"/>
    <n v="1144"/>
    <n v="22"/>
    <n v="1"/>
    <n v="0.26200000000000001"/>
    <s v="9.4447e-05"/>
    <n v="0.99990999999999997"/>
    <s v="15.56927117235286"/>
    <s v="45.80019033600734"/>
    <s v="77.20518066537927"/>
    <s v="9.244867456621137"/>
    <n v="773466258"/>
    <x v="0"/>
    <n v="1.0249399E-3"/>
    <x v="0"/>
  </r>
  <r>
    <n v="53"/>
    <n v="0"/>
    <n v="2"/>
    <n v="6"/>
    <n v="2"/>
    <n v="1"/>
    <n v="0"/>
    <n v="43"/>
    <n v="3"/>
    <n v="4"/>
    <n v="4"/>
    <n v="6188"/>
    <n v="2517"/>
    <n v="3671"/>
    <n v="0.71299999999999997"/>
    <n v="1997"/>
    <n v="43"/>
    <n v="1.048"/>
    <n v="0.40699999999999997"/>
    <n v="6.8535999999999998E-4"/>
    <n v="0.99931000000000003"/>
    <s v="42.702124715258016"/>
    <n v="18.482264965949099"/>
    <s v="90.63031829514286"/>
    <s v="25.24193806142677"/>
    <n v="719682183"/>
    <x v="0"/>
    <n v="1.4958433000000001E-3"/>
    <x v="0"/>
  </r>
  <r>
    <n v="50"/>
    <n v="0"/>
    <n v="2"/>
    <n v="2"/>
    <n v="3"/>
    <n v="4"/>
    <n v="0"/>
    <n v="36"/>
    <n v="5"/>
    <n v="2"/>
    <n v="2"/>
    <n v="1438.3"/>
    <n v="0"/>
    <n v="1438.3"/>
    <n v="0.65800000000000003"/>
    <n v="2329"/>
    <n v="43"/>
    <n v="0.59299999999999997"/>
    <n v="0"/>
    <n v="0.99129"/>
    <n v="8.7100000000000007E-3"/>
    <s v="17.730369129876706"/>
    <s v="51.60154670224808"/>
    <s v="133.51897542136058"/>
    <s v="1.837438835719045"/>
    <n v="711721458"/>
    <x v="1"/>
    <n v="0.99873226999999998"/>
    <x v="1"/>
  </r>
  <r>
    <n v="39"/>
    <n v="0"/>
    <n v="4"/>
    <n v="5"/>
    <n v="2"/>
    <n v="1"/>
    <n v="0"/>
    <n v="34"/>
    <n v="4"/>
    <n v="2"/>
    <n v="2"/>
    <n v="10264"/>
    <n v="803"/>
    <n v="9461"/>
    <n v="0.80200000000000005"/>
    <n v="4003"/>
    <n v="74"/>
    <n v="0.72099999999999997"/>
    <n v="7.8E-2"/>
    <n v="1.2274000000000001E-4"/>
    <n v="0.99987999999999999"/>
    <s v="42.77124249162699"/>
    <n v="29.466544672555798"/>
    <s v="28.38646969634492"/>
    <s v="5.144453013315065"/>
    <n v="816864483"/>
    <x v="0"/>
    <n v="5.3867240000000005E-4"/>
    <x v="0"/>
  </r>
  <r>
    <n v="41"/>
    <n v="1"/>
    <n v="2"/>
    <n v="3"/>
    <n v="1"/>
    <n v="0"/>
    <n v="0"/>
    <n v="36"/>
    <n v="4"/>
    <n v="3"/>
    <n v="2"/>
    <n v="10816"/>
    <n v="871"/>
    <n v="9945"/>
    <n v="0.60599999999999998"/>
    <n v="3221"/>
    <n v="68"/>
    <n v="0.58099999999999996"/>
    <n v="8.1000000000000003E-2"/>
    <n v="1.7485999999999999E-4"/>
    <n v="0.99983"/>
    <s v="17.26578213798306"/>
    <s v="51.19108363572672"/>
    <s v="105.34190140306356"/>
    <s v="3.5497679724439823"/>
    <n v="811013658"/>
    <x v="0"/>
    <n v="4.5633266999999997E-4"/>
    <x v="0"/>
  </r>
  <r>
    <n v="65"/>
    <n v="1"/>
    <n v="1"/>
    <n v="2"/>
    <n v="1"/>
    <n v="4"/>
    <n v="0"/>
    <n v="50"/>
    <n v="6"/>
    <n v="2"/>
    <n v="4"/>
    <n v="4507"/>
    <n v="1574"/>
    <n v="2933"/>
    <n v="0.74399999999999999"/>
    <n v="1793"/>
    <n v="38"/>
    <n v="0.65200000000000002"/>
    <n v="0.34899999999999998"/>
    <n v="3.0653000000000001E-4"/>
    <n v="0.99968999999999997"/>
    <s v="72.89596306120231"/>
    <s v="30.678761773322037"/>
    <s v="37.178202158988725"/>
    <s v="2.0156332323711297"/>
    <n v="788827308"/>
    <x v="0"/>
    <n v="1.0337284E-3"/>
    <x v="0"/>
  </r>
  <r>
    <n v="47"/>
    <n v="0"/>
    <n v="3"/>
    <n v="5"/>
    <n v="1"/>
    <n v="4"/>
    <n v="0"/>
    <n v="32"/>
    <n v="4"/>
    <n v="3"/>
    <n v="2"/>
    <n v="2821"/>
    <n v="951"/>
    <n v="1870"/>
    <n v="0.57699999999999996"/>
    <n v="1452"/>
    <n v="38"/>
    <n v="1.923"/>
    <n v="0.33700000000000002"/>
    <n v="1.9191E-4"/>
    <n v="0.99980999999999998"/>
    <s v="46.91006462689709"/>
    <s v="30.08420069711848"/>
    <s v="76.38002071872101"/>
    <s v="19.381192685316293"/>
    <n v="778939683"/>
    <x v="0"/>
    <n v="1.2549446E-3"/>
    <x v="0"/>
  </r>
  <r>
    <n v="45"/>
    <n v="0"/>
    <n v="4"/>
    <n v="1"/>
    <n v="1"/>
    <n v="4"/>
    <n v="0"/>
    <n v="36"/>
    <n v="5"/>
    <n v="1"/>
    <n v="2"/>
    <n v="3240"/>
    <n v="1775"/>
    <n v="1465"/>
    <n v="0.754"/>
    <n v="4200"/>
    <n v="67"/>
    <n v="0.67500000000000004"/>
    <n v="0.54800000000000004"/>
    <s v="8.3588e-05"/>
    <n v="0.99992000000000003"/>
    <s v="23.86897748522385"/>
    <s v="84.60195931708965"/>
    <n v="37.378366270838001"/>
    <s v="6.874647157558023"/>
    <n v="719217483"/>
    <x v="0"/>
    <n v="3.2101269999999999E-4"/>
    <x v="0"/>
  </r>
  <r>
    <n v="44"/>
    <n v="0"/>
    <n v="4"/>
    <n v="4"/>
    <n v="3"/>
    <n v="4"/>
    <n v="0"/>
    <n v="36"/>
    <n v="3"/>
    <n v="1"/>
    <n v="1"/>
    <n v="7317"/>
    <n v="1540"/>
    <n v="5777"/>
    <n v="0.61599999999999999"/>
    <n v="4100"/>
    <n v="76"/>
    <n v="0.81"/>
    <n v="0.21"/>
    <s v="4.0988e-05"/>
    <n v="0.99995999999999996"/>
    <s v="1.0378238362740375"/>
    <n v="13.018233229601201"/>
    <s v="53.98660390241309"/>
    <s v="6.868409802994488"/>
    <n v="718133733"/>
    <x v="0"/>
    <n v="3.2101269999999999E-4"/>
    <x v="0"/>
  </r>
  <r>
    <n v="39"/>
    <n v="1"/>
    <n v="5"/>
    <n v="2"/>
    <n v="2"/>
    <n v="2"/>
    <n v="0"/>
    <n v="36"/>
    <n v="1"/>
    <n v="3"/>
    <n v="3"/>
    <n v="24657"/>
    <n v="633"/>
    <n v="24024"/>
    <n v="0.35799999999999998"/>
    <n v="1954"/>
    <n v="46"/>
    <n v="0.39400000000000002"/>
    <n v="2.5999999999999999E-2"/>
    <n v="0.99680999999999997"/>
    <n v="3.1907200000000002E-3"/>
    <s v="1.655169440554782"/>
    <s v="54.82201982193329"/>
    <s v="48.906786829325526"/>
    <s v="0.9402422655446462"/>
    <n v="711538758"/>
    <x v="1"/>
    <n v="0.99847929999999996"/>
    <x v="1"/>
  </r>
  <r>
    <n v="60"/>
    <n v="1"/>
    <n v="0"/>
    <n v="5"/>
    <n v="2"/>
    <n v="3"/>
    <n v="0"/>
    <n v="36"/>
    <n v="6"/>
    <n v="3"/>
    <n v="2"/>
    <n v="24528"/>
    <n v="2396"/>
    <n v="22132"/>
    <n v="0.81"/>
    <n v="4070"/>
    <n v="67"/>
    <n v="0.71799999999999997"/>
    <n v="9.8000000000000004E-2"/>
    <n v="1.5871E-4"/>
    <n v="0.99983999999999995"/>
    <s v="46.28373741787984"/>
    <s v="17.018232224846873"/>
    <s v="51.22339540165604"/>
    <s v="3.073949435123565"/>
    <n v="710713608"/>
    <x v="0"/>
    <n v="3.2101269999999999E-4"/>
    <x v="0"/>
  </r>
  <r>
    <n v="53"/>
    <n v="1"/>
    <n v="4"/>
    <n v="6"/>
    <n v="2"/>
    <n v="4"/>
    <n v="0"/>
    <n v="43"/>
    <n v="6"/>
    <n v="3"/>
    <n v="1"/>
    <n v="3844"/>
    <n v="2079"/>
    <n v="1765"/>
    <n v="0.755"/>
    <n v="4271"/>
    <n v="56"/>
    <n v="0.80600000000000005"/>
    <n v="0.54100000000000004"/>
    <n v="1.2505E-4"/>
    <n v="0.99987000000000004"/>
    <s v="27.75232198386532"/>
    <s v="22.804245366282757"/>
    <n v="6.4012439291815201E-2"/>
    <s v="10.27101801343161"/>
    <n v="708870408"/>
    <x v="0"/>
    <n v="4.6176806999999998E-4"/>
    <x v="0"/>
  </r>
  <r>
    <n v="49"/>
    <n v="1"/>
    <n v="3"/>
    <n v="2"/>
    <n v="1"/>
    <n v="3"/>
    <n v="0"/>
    <n v="37"/>
    <n v="4"/>
    <n v="1"/>
    <n v="4"/>
    <n v="15610"/>
    <n v="2048"/>
    <n v="13562"/>
    <n v="0.65700000000000003"/>
    <n v="1916"/>
    <n v="58"/>
    <n v="0.52600000000000002"/>
    <n v="0.13100000000000001"/>
    <n v="1.6399000000000001E-4"/>
    <n v="0.99983999999999995"/>
    <s v="16.078319327150037"/>
    <n v="8.47436408866389"/>
    <s v="19.642909681730572"/>
    <s v="24.31054755255104"/>
    <n v="710043408"/>
    <x v="0"/>
    <n v="4.6903219999999999E-4"/>
    <x v="0"/>
  </r>
  <r>
    <n v="43"/>
    <n v="1"/>
    <n v="1"/>
    <n v="0"/>
    <n v="1"/>
    <n v="3"/>
    <n v="0"/>
    <n v="23"/>
    <n v="5"/>
    <n v="2"/>
    <n v="1"/>
    <n v="14566"/>
    <n v="1045"/>
    <n v="13521"/>
    <n v="0.41699999999999998"/>
    <n v="4480"/>
    <n v="77"/>
    <n v="0.79100000000000004"/>
    <n v="7.1999999999999995E-2"/>
    <s v="6.2639e-05"/>
    <n v="0.99994000000000005"/>
    <s v="66.70096401588667"/>
    <s v="17.216642696870796"/>
    <n v="88.007470158983196"/>
    <s v="17.611675026374943"/>
    <n v="716791908"/>
    <x v="0"/>
    <n v="3.5729867999999997E-4"/>
    <x v="0"/>
  </r>
  <r>
    <n v="52"/>
    <n v="1"/>
    <n v="3"/>
    <n v="1"/>
    <n v="1"/>
    <n v="0"/>
    <n v="0"/>
    <n v="45"/>
    <n v="1"/>
    <n v="3"/>
    <n v="3"/>
    <n v="34516"/>
    <n v="550"/>
    <n v="33966"/>
    <n v="0.67400000000000004"/>
    <n v="7341"/>
    <n v="71"/>
    <n v="0.73199999999999998"/>
    <n v="1.6E-2"/>
    <n v="0.99780000000000002"/>
    <n v="2.1958400000000001E-3"/>
    <s v="40.08274980750067"/>
    <s v="6.814631330735929"/>
    <s v="48.777159866816966"/>
    <s v="10.453347822312566"/>
    <n v="758753283"/>
    <x v="1"/>
    <n v="0.99509144000000005"/>
    <x v="1"/>
  </r>
  <r>
    <n v="38"/>
    <n v="1"/>
    <n v="3"/>
    <n v="5"/>
    <n v="1"/>
    <n v="3"/>
    <n v="0"/>
    <n v="29"/>
    <n v="2"/>
    <n v="2"/>
    <n v="2"/>
    <n v="16722"/>
    <n v="0"/>
    <n v="16722"/>
    <n v="0.71899999999999997"/>
    <n v="15110"/>
    <n v="113"/>
    <n v="0.82299999999999995"/>
    <n v="0"/>
    <n v="1.2144E-4"/>
    <n v="0.99987999999999999"/>
    <s v="22.29997019862811"/>
    <s v="10.927096596221933"/>
    <s v="27.73279454261447"/>
    <s v="16.82207200166569"/>
    <n v="717291333"/>
    <x v="0"/>
    <n v="7.5047980000000002E-4"/>
    <x v="0"/>
  </r>
  <r>
    <n v="55"/>
    <n v="0"/>
    <n v="3"/>
    <n v="6"/>
    <n v="1"/>
    <n v="1"/>
    <n v="0"/>
    <n v="47"/>
    <n v="5"/>
    <n v="2"/>
    <n v="0"/>
    <n v="1929"/>
    <n v="1540"/>
    <n v="389"/>
    <n v="1.1419999999999999"/>
    <n v="2354"/>
    <n v="50"/>
    <n v="0.78600000000000003"/>
    <n v="0.79800000000000004"/>
    <s v="4.7889e-05"/>
    <n v="0.99995000000000001"/>
    <s v="33.45379004159703"/>
    <s v="81.77098709310711"/>
    <s v="63.128245907497934"/>
    <s v="11.289402056223471"/>
    <n v="715449333"/>
    <x v="0"/>
    <n v="8.6492294E-4"/>
    <x v="0"/>
  </r>
  <r>
    <n v="34"/>
    <n v="0"/>
    <n v="2"/>
    <n v="4"/>
    <n v="1"/>
    <n v="4"/>
    <n v="0"/>
    <n v="27"/>
    <n v="2"/>
    <n v="3"/>
    <n v="3"/>
    <n v="1726"/>
    <n v="1398"/>
    <n v="328"/>
    <n v="1.0089999999999999"/>
    <n v="5228"/>
    <n v="68"/>
    <n v="0.7"/>
    <n v="0.81"/>
    <n v="3.5594000000000001E-4"/>
    <n v="0.99963999999999997"/>
    <s v="13.26239761611643"/>
    <s v="15.623583320064764"/>
    <s v="173.45748269272636"/>
    <s v="12.029226796877532"/>
    <n v="714148758"/>
    <x v="0"/>
    <n v="3.221314E-4"/>
    <x v="0"/>
  </r>
  <r>
    <n v="47"/>
    <n v="1"/>
    <n v="3"/>
    <n v="3"/>
    <n v="1"/>
    <n v="2"/>
    <n v="0"/>
    <n v="36"/>
    <n v="6"/>
    <n v="2"/>
    <n v="3"/>
    <n v="10569"/>
    <n v="0"/>
    <n v="10569"/>
    <n v="0.83799999999999997"/>
    <n v="1682"/>
    <n v="44"/>
    <n v="1"/>
    <n v="0"/>
    <n v="1.9311E-4"/>
    <n v="0.99980999999999998"/>
    <s v="5.048824599882291"/>
    <s v="18.702426198511745"/>
    <s v="113.72081918262332"/>
    <s v="5.064632575324854"/>
    <n v="719788833"/>
    <x v="0"/>
    <n v="3.1488503E-3"/>
    <x v="0"/>
  </r>
  <r>
    <n v="51"/>
    <n v="0"/>
    <n v="1"/>
    <n v="6"/>
    <n v="1"/>
    <n v="1"/>
    <n v="0"/>
    <n v="36"/>
    <n v="2"/>
    <n v="3"/>
    <n v="2"/>
    <n v="2710"/>
    <n v="0"/>
    <n v="2710"/>
    <n v="0.999"/>
    <n v="4724"/>
    <n v="60"/>
    <n v="0.39500000000000002"/>
    <n v="0"/>
    <n v="0.99463999999999997"/>
    <n v="5.3600000000000002E-3"/>
    <s v="2.774254937116861"/>
    <n v="64.3523568370276"/>
    <s v="8.059002170790633"/>
    <s v="2.735982032396705"/>
    <n v="712925808"/>
    <x v="1"/>
    <n v="0.99354019999999998"/>
    <x v="1"/>
  </r>
  <r>
    <n v="47"/>
    <n v="0"/>
    <n v="4"/>
    <n v="6"/>
    <n v="2"/>
    <n v="4"/>
    <n v="0"/>
    <n v="36"/>
    <n v="2"/>
    <n v="2"/>
    <n v="1"/>
    <n v="7940"/>
    <n v="1669"/>
    <n v="6271"/>
    <n v="0.69599999999999995"/>
    <n v="15445"/>
    <n v="118"/>
    <n v="0.93400000000000005"/>
    <n v="0.21"/>
    <s v="7.9128e-05"/>
    <n v="0.99992000000000003"/>
    <s v="14.971688230598575"/>
    <s v="44.44157479458515"/>
    <s v="104.26039267724704"/>
    <s v="0.1379866664096022"/>
    <n v="714637908"/>
    <x v="0"/>
    <n v="3.4656386999999997E-4"/>
    <x v="0"/>
  </r>
  <r>
    <n v="47"/>
    <n v="1"/>
    <n v="3"/>
    <n v="4"/>
    <n v="3"/>
    <n v="5"/>
    <n v="3"/>
    <n v="38"/>
    <n v="2"/>
    <n v="1"/>
    <n v="2"/>
    <n v="33184"/>
    <n v="855"/>
    <n v="32329"/>
    <n v="0.72799999999999998"/>
    <n v="7190"/>
    <n v="93"/>
    <n v="0.52500000000000002"/>
    <n v="2.5999999999999999E-2"/>
    <s v="6.0763e-05"/>
    <n v="0.99994000000000005"/>
    <s v="26.621262970895664"/>
    <s v="18.745146540249795"/>
    <s v="146.33721986785855"/>
    <s v="5.246880310539344"/>
    <n v="715183308"/>
    <x v="0"/>
    <n v="6.4155826000000002E-4"/>
    <x v="0"/>
  </r>
  <r>
    <n v="47"/>
    <n v="1"/>
    <n v="3"/>
    <n v="6"/>
    <n v="2"/>
    <n v="2"/>
    <n v="0"/>
    <n v="36"/>
    <n v="3"/>
    <n v="2"/>
    <n v="1"/>
    <n v="2589"/>
    <n v="1693"/>
    <n v="896"/>
    <n v="0.878"/>
    <n v="4259"/>
    <n v="83"/>
    <n v="0.76600000000000001"/>
    <n v="0.65400000000000003"/>
    <s v="7.8291e-05"/>
    <n v="0.99992000000000003"/>
    <s v="25.493760213305997"/>
    <n v="11.9732317748825"/>
    <s v="40.19528435879956"/>
    <s v="15.993306535437569"/>
    <n v="720575058"/>
    <x v="0"/>
    <n v="3.2101269999999999E-4"/>
    <x v="0"/>
  </r>
  <r>
    <n v="52"/>
    <n v="1"/>
    <n v="5"/>
    <n v="5"/>
    <n v="1"/>
    <n v="3"/>
    <n v="0"/>
    <n v="44"/>
    <n v="2"/>
    <n v="3"/>
    <n v="4"/>
    <n v="9959"/>
    <n v="199"/>
    <n v="9760"/>
    <n v="1.0029999999999999"/>
    <n v="8517"/>
    <n v="60"/>
    <n v="0.5"/>
    <n v="0.02"/>
    <n v="0.99817999999999996"/>
    <n v="1.82139E-3"/>
    <s v="13.817562201673974"/>
    <s v="15.206720662650902"/>
    <s v="96.10321628626666"/>
    <s v="7.280568840721201"/>
    <n v="709977933"/>
    <x v="1"/>
    <n v="0.99421990000000005"/>
    <x v="1"/>
  </r>
  <r>
    <n v="35"/>
    <n v="0"/>
    <n v="2"/>
    <n v="2"/>
    <n v="2"/>
    <n v="5"/>
    <n v="0"/>
    <n v="25"/>
    <n v="4"/>
    <n v="1"/>
    <n v="4"/>
    <n v="10329"/>
    <n v="514"/>
    <n v="9815"/>
    <n v="0.70799999999999996"/>
    <n v="2461"/>
    <n v="68"/>
    <n v="0.83799999999999997"/>
    <n v="0.05"/>
    <n v="1.5804E-4"/>
    <n v="0.99983999999999995"/>
    <s v="20.681197979041933"/>
    <s v="25.04499728898039"/>
    <s v="55.51712083474224"/>
    <s v="12.905692959155012"/>
    <n v="718651083"/>
    <x v="0"/>
    <n v="9.2119840000000005E-4"/>
    <x v="0"/>
  </r>
  <r>
    <n v="38"/>
    <n v="0"/>
    <n v="3"/>
    <n v="2"/>
    <n v="1"/>
    <n v="4"/>
    <n v="0"/>
    <n v="18"/>
    <n v="6"/>
    <n v="3"/>
    <n v="2"/>
    <n v="2193"/>
    <n v="1260"/>
    <n v="933"/>
    <n v="0.88600000000000001"/>
    <n v="1799"/>
    <n v="47"/>
    <n v="0.56699999999999995"/>
    <n v="0.57499999999999996"/>
    <n v="1.8665000000000001E-4"/>
    <n v="0.99980999999999998"/>
    <s v="15.513339171094255"/>
    <s v="35.00702458144428"/>
    <s v="193.2260526021559"/>
    <s v="11.52685014921779"/>
    <n v="708212658"/>
    <x v="0"/>
    <n v="1.0598798E-3"/>
    <x v="0"/>
  </r>
  <r>
    <n v="54"/>
    <n v="1"/>
    <n v="1"/>
    <n v="2"/>
    <n v="1"/>
    <n v="3"/>
    <n v="0"/>
    <n v="46"/>
    <n v="3"/>
    <n v="3"/>
    <n v="2"/>
    <n v="15554"/>
    <n v="2497"/>
    <n v="13057"/>
    <n v="1.0269999999999999"/>
    <n v="2836"/>
    <n v="61"/>
    <n v="0.60499999999999998"/>
    <n v="0.161"/>
    <n v="1.6882999999999999E-4"/>
    <n v="0.99983"/>
    <s v="21.73497445317108"/>
    <s v="34.57146621168577"/>
    <s v="66.05778559513764"/>
    <s v="0.6072074896724708"/>
    <n v="715028283"/>
    <x v="0"/>
    <n v="4.4199635000000001E-4"/>
    <x v="0"/>
  </r>
  <r>
    <n v="45"/>
    <n v="0"/>
    <n v="4"/>
    <n v="4"/>
    <n v="2"/>
    <n v="1"/>
    <n v="0"/>
    <n v="35"/>
    <n v="3"/>
    <n v="5"/>
    <n v="2"/>
    <n v="1850"/>
    <n v="621"/>
    <n v="1229"/>
    <n v="0.68200000000000005"/>
    <n v="4234"/>
    <n v="74"/>
    <n v="0.68200000000000005"/>
    <n v="0.33600000000000002"/>
    <n v="2.4791E-4"/>
    <n v="0.99975000000000003"/>
    <s v="51.53553422785257"/>
    <s v="10.854292327158628"/>
    <s v="46.52476003846525"/>
    <n v="5.4172321192964601"/>
    <n v="787558683"/>
    <x v="0"/>
    <n v="5.4489190000000002E-4"/>
    <x v="0"/>
  </r>
  <r>
    <n v="33"/>
    <n v="0"/>
    <n v="1"/>
    <n v="2"/>
    <n v="2"/>
    <n v="1"/>
    <n v="0"/>
    <n v="20"/>
    <n v="2"/>
    <n v="2"/>
    <n v="3"/>
    <n v="4883"/>
    <n v="0"/>
    <n v="4883"/>
    <n v="0.72399999999999998"/>
    <n v="4613"/>
    <n v="82"/>
    <n v="1"/>
    <n v="0"/>
    <n v="1.7969000000000001E-4"/>
    <n v="0.99982000000000004"/>
    <n v="20.219984187372599"/>
    <s v="33.88800455303572"/>
    <s v="45.088344439828205"/>
    <s v="12.461928923260931"/>
    <n v="721080183"/>
    <x v="0"/>
    <n v="6.9517245999999998E-4"/>
    <x v="0"/>
  </r>
  <r>
    <n v="43"/>
    <n v="0"/>
    <n v="4"/>
    <n v="2"/>
    <n v="2"/>
    <n v="4"/>
    <n v="0"/>
    <n v="34"/>
    <n v="2"/>
    <n v="3"/>
    <n v="2"/>
    <n v="2005"/>
    <n v="1263"/>
    <n v="742"/>
    <n v="0.65700000000000003"/>
    <n v="4906"/>
    <n v="80"/>
    <n v="0.81799999999999995"/>
    <n v="0.63"/>
    <n v="1.8864000000000001E-4"/>
    <n v="0.99980999999999998"/>
    <s v="12.333202537924295"/>
    <s v="2.281611713801831"/>
    <s v="54.536395709902585"/>
    <s v="35.10741763961404"/>
    <n v="709388058"/>
    <x v="0"/>
    <n v="3.2101269999999999E-4"/>
    <x v="0"/>
  </r>
  <r>
    <n v="46"/>
    <n v="1"/>
    <n v="2"/>
    <n v="3"/>
    <n v="2"/>
    <n v="1"/>
    <n v="0"/>
    <n v="36"/>
    <n v="4"/>
    <n v="3"/>
    <n v="3"/>
    <n v="4129"/>
    <n v="0"/>
    <n v="4129"/>
    <n v="0.96"/>
    <n v="1678"/>
    <n v="40"/>
    <n v="1"/>
    <n v="0"/>
    <n v="2.9408E-4"/>
    <n v="0.99970999999999999"/>
    <s v="37.26616248470013"/>
    <s v="23.800650515791418"/>
    <s v="25.99772165381153"/>
    <s v="21.75840537801674"/>
    <n v="714550383"/>
    <x v="0"/>
    <n v="3.1488503E-3"/>
    <x v="0"/>
  </r>
  <r>
    <n v="49"/>
    <n v="1"/>
    <n v="3"/>
    <n v="3"/>
    <n v="2"/>
    <n v="1"/>
    <n v="0"/>
    <n v="36"/>
    <n v="1"/>
    <n v="3"/>
    <n v="4"/>
    <n v="4601"/>
    <n v="0"/>
    <n v="4601"/>
    <n v="0.96199999999999997"/>
    <n v="9610"/>
    <n v="76"/>
    <n v="0.68899999999999995"/>
    <n v="0"/>
    <n v="0.99807999999999997"/>
    <n v="1.91647E-3"/>
    <s v="37.40355154072472"/>
    <s v="21.639789633402145"/>
    <s v="42.286477016495326"/>
    <s v="20.71676348739724"/>
    <n v="718840833"/>
    <x v="1"/>
    <n v="0.99368614"/>
    <x v="1"/>
  </r>
  <r>
    <n v="37"/>
    <n v="1"/>
    <n v="2"/>
    <n v="1"/>
    <n v="2"/>
    <n v="0"/>
    <n v="0"/>
    <n v="32"/>
    <n v="3"/>
    <n v="3"/>
    <n v="5"/>
    <n v="32056"/>
    <n v="1887"/>
    <n v="30169"/>
    <n v="0.83099999999999996"/>
    <n v="2730"/>
    <n v="68"/>
    <n v="0.7"/>
    <n v="5.8999999999999997E-2"/>
    <n v="1.2911999999999999E-3"/>
    <n v="0.99870999999999999"/>
    <s v="44.56231752498069"/>
    <s v="3.9785527423639806"/>
    <s v="24.785775807334407"/>
    <s v="9.930065868095294"/>
    <n v="809984133"/>
    <x v="0"/>
    <n v="3.2830140000000001E-2"/>
    <x v="0"/>
  </r>
  <r>
    <n v="45"/>
    <n v="0"/>
    <n v="3"/>
    <n v="2"/>
    <n v="2"/>
    <n v="1"/>
    <n v="0"/>
    <n v="39"/>
    <n v="4"/>
    <n v="4"/>
    <n v="0"/>
    <n v="1765"/>
    <n v="1694"/>
    <n v="71"/>
    <n v="0.76"/>
    <n v="4803"/>
    <n v="72"/>
    <n v="0.53200000000000003"/>
    <n v="0.96"/>
    <s v="8.3212e-05"/>
    <n v="0.99992000000000003"/>
    <s v="16.33231630831599"/>
    <s v="27.923410326087485"/>
    <s v="96.11816829054382"/>
    <s v="10.39581368829871"/>
    <n v="711125358"/>
    <x v="0"/>
    <n v="3.2914013999999999E-4"/>
    <x v="0"/>
  </r>
  <r>
    <n v="46"/>
    <n v="1"/>
    <n v="4"/>
    <n v="2"/>
    <n v="2"/>
    <n v="2"/>
    <n v="0"/>
    <n v="40"/>
    <n v="5"/>
    <n v="2"/>
    <n v="1"/>
    <n v="12280"/>
    <n v="985"/>
    <n v="11295"/>
    <n v="0.84099999999999997"/>
    <n v="4263"/>
    <n v="70"/>
    <n v="1"/>
    <n v="0.08"/>
    <s v="7.1987e-05"/>
    <n v="0.99992999999999999"/>
    <s v="20.84210209086147"/>
    <s v="3.089489619097189"/>
    <s v="6.053002086647471"/>
    <s v="32.95631249535828"/>
    <n v="792402483"/>
    <x v="0"/>
    <n v="3.8368624999999998E-4"/>
    <x v="0"/>
  </r>
  <r>
    <n v="52"/>
    <n v="0"/>
    <n v="2"/>
    <n v="3"/>
    <n v="2"/>
    <n v="4"/>
    <n v="0"/>
    <n v="40"/>
    <n v="3"/>
    <n v="1"/>
    <n v="3"/>
    <n v="1960"/>
    <n v="1428"/>
    <n v="532"/>
    <n v="0.56999999999999995"/>
    <n v="3782"/>
    <n v="64"/>
    <n v="0.64100000000000001"/>
    <n v="0.72899999999999998"/>
    <s v="9.0056e-05"/>
    <n v="0.99990999999999997"/>
    <s v="13.92871436503033"/>
    <s v="6.095204069201569"/>
    <s v="49.01252994802231"/>
    <s v="0.3330204577195859"/>
    <n v="711787383"/>
    <x v="0"/>
    <n v="3.4604817999999999E-4"/>
    <x v="0"/>
  </r>
  <r>
    <n v="43"/>
    <n v="0"/>
    <n v="3"/>
    <n v="0"/>
    <n v="1"/>
    <n v="5"/>
    <n v="0"/>
    <n v="36"/>
    <n v="3"/>
    <n v="3"/>
    <n v="3"/>
    <n v="21922"/>
    <n v="1467"/>
    <n v="20455"/>
    <n v="0.69599999999999995"/>
    <n v="7409"/>
    <n v="89"/>
    <n v="0.67900000000000005"/>
    <n v="6.7000000000000004E-2"/>
    <n v="3.0519E-4"/>
    <n v="0.99968999999999997"/>
    <s v="19.853270974294244"/>
    <s v="10.928105674826767"/>
    <s v="37.23662290081596"/>
    <s v="4.941068470609616"/>
    <n v="717244683"/>
    <x v="0"/>
    <n v="4.1022256E-4"/>
    <x v="0"/>
  </r>
  <r>
    <n v="50"/>
    <n v="1"/>
    <n v="2"/>
    <n v="6"/>
    <n v="2"/>
    <n v="1"/>
    <n v="0"/>
    <n v="43"/>
    <n v="2"/>
    <n v="1"/>
    <n v="3"/>
    <n v="1857"/>
    <n v="1603"/>
    <n v="254"/>
    <n v="0.57899999999999996"/>
    <n v="1590"/>
    <n v="43"/>
    <n v="1.2629999999999999"/>
    <n v="0.86299999999999999"/>
    <n v="1.0183000000000001E-4"/>
    <n v="0.99990000000000001"/>
    <s v="46.54029375053706"/>
    <s v="13.005534403077116"/>
    <s v="38.57195535240061"/>
    <s v="5.2276005376636245"/>
    <n v="758076408"/>
    <x v="0"/>
    <n v="1.2280571000000001E-3"/>
    <x v="0"/>
  </r>
  <r>
    <n v="41"/>
    <n v="1"/>
    <n v="2"/>
    <n v="5"/>
    <n v="1"/>
    <n v="2"/>
    <n v="0"/>
    <n v="13"/>
    <n v="4"/>
    <n v="2"/>
    <n v="2"/>
    <n v="2243"/>
    <n v="1944"/>
    <n v="299"/>
    <n v="0.94199999999999995"/>
    <n v="3216"/>
    <n v="77"/>
    <n v="0.67400000000000004"/>
    <n v="0.86699999999999999"/>
    <n v="1.1703E-4"/>
    <n v="0.99987999999999999"/>
    <n v="9.2510488117231109"/>
    <s v="25.199261012812556"/>
    <s v="21.439426940355023"/>
    <s v="17.884729024922983"/>
    <n v="713692683"/>
    <x v="0"/>
    <n v="3.221314E-4"/>
    <x v="0"/>
  </r>
  <r>
    <n v="47"/>
    <n v="0"/>
    <n v="4"/>
    <n v="1"/>
    <n v="1"/>
    <n v="4"/>
    <n v="0"/>
    <n v="28"/>
    <n v="3"/>
    <n v="2"/>
    <n v="4"/>
    <n v="4012"/>
    <n v="0"/>
    <n v="4012"/>
    <n v="1.073"/>
    <n v="2962"/>
    <n v="60"/>
    <n v="0.76500000000000001"/>
    <n v="0"/>
    <n v="4.9554000000000004E-4"/>
    <n v="0.99950000000000006"/>
    <s v="12.35736838236004"/>
    <s v="29.453655498975635"/>
    <s v="3.886596039475108"/>
    <s v="0.5851068751485309"/>
    <n v="711349083"/>
    <x v="0"/>
    <n v="9.9523040000000008E-4"/>
    <x v="0"/>
  </r>
  <r>
    <n v="49"/>
    <n v="0"/>
    <n v="5"/>
    <n v="5"/>
    <n v="1"/>
    <n v="4"/>
    <n v="0"/>
    <n v="36"/>
    <n v="6"/>
    <n v="2"/>
    <n v="4"/>
    <n v="2331"/>
    <n v="1798"/>
    <n v="533"/>
    <n v="0.84699999999999998"/>
    <n v="4061"/>
    <n v="66"/>
    <n v="0.69199999999999995"/>
    <n v="0.77100000000000002"/>
    <n v="3.4664E-4"/>
    <n v="0.99965000000000004"/>
    <s v="6.061164249670751"/>
    <s v="37.73828849185144"/>
    <s v="62.95067773980468"/>
    <s v="0.2242348073879653"/>
    <n v="717826308"/>
    <x v="0"/>
    <n v="3.2101269999999999E-4"/>
    <x v="0"/>
  </r>
  <r>
    <n v="45"/>
    <n v="1"/>
    <n v="3"/>
    <n v="3"/>
    <n v="3"/>
    <n v="3"/>
    <n v="0"/>
    <n v="34"/>
    <n v="1"/>
    <n v="2"/>
    <n v="3"/>
    <n v="26438"/>
    <n v="1655"/>
    <n v="24783"/>
    <n v="0.92"/>
    <n v="8029"/>
    <n v="81"/>
    <n v="0.72299999999999998"/>
    <n v="6.3E-2"/>
    <n v="1.9311E-4"/>
    <n v="0.99980999999999998"/>
    <n v="30.303303973296099"/>
    <s v="23.028362515338895"/>
    <s v="66.45362383544526"/>
    <s v="0.1797309013926059"/>
    <n v="712351908"/>
    <x v="0"/>
    <n v="5.9087796000000003E-4"/>
    <x v="0"/>
  </r>
  <r>
    <n v="34"/>
    <n v="0"/>
    <n v="3"/>
    <n v="0"/>
    <n v="2"/>
    <n v="4"/>
    <n v="0"/>
    <n v="36"/>
    <n v="3"/>
    <n v="6"/>
    <n v="1"/>
    <n v="7440"/>
    <n v="704"/>
    <n v="6736"/>
    <n v="0.55100000000000005"/>
    <n v="2251"/>
    <n v="63"/>
    <n v="0.53700000000000003"/>
    <n v="9.5000000000000001E-2"/>
    <s v="8.6389e-05"/>
    <n v="0.99990999999999997"/>
    <s v="36.02317676641675"/>
    <s v="26.73856268023884"/>
    <s v="14.108642657137258"/>
    <s v="33.43705016985606"/>
    <n v="716869458"/>
    <x v="0"/>
    <n v="7.6541846000000003E-4"/>
    <x v="0"/>
  </r>
  <r>
    <n v="56"/>
    <n v="0"/>
    <n v="1"/>
    <n v="2"/>
    <n v="2"/>
    <n v="4"/>
    <n v="0"/>
    <n v="36"/>
    <n v="4"/>
    <n v="3"/>
    <n v="2"/>
    <n v="1936"/>
    <n v="1101"/>
    <n v="835"/>
    <n v="0.98399999999999999"/>
    <n v="4578"/>
    <n v="70"/>
    <n v="0.89200000000000002"/>
    <n v="0.56899999999999995"/>
    <n v="1.6882999999999999E-4"/>
    <n v="0.99983"/>
    <s v="64.32251356770594"/>
    <s v="58.98952040112314"/>
    <s v="42.15670824298811"/>
    <s v="6.520731378772146"/>
    <n v="715705683"/>
    <x v="0"/>
    <n v="3.221314E-4"/>
    <x v="0"/>
  </r>
  <r>
    <n v="52"/>
    <n v="1"/>
    <n v="4"/>
    <n v="5"/>
    <n v="1"/>
    <n v="2"/>
    <n v="0"/>
    <n v="39"/>
    <n v="5"/>
    <n v="1"/>
    <n v="3"/>
    <n v="2641"/>
    <n v="1584"/>
    <n v="1057"/>
    <n v="0.80900000000000005"/>
    <n v="4279"/>
    <n v="67"/>
    <n v="0.71799999999999997"/>
    <n v="0.6"/>
    <s v="9.9893e-05"/>
    <n v="0.99990000000000001"/>
    <s v="13.501900121169678"/>
    <s v="32.10676481261912"/>
    <s v="96.97559779212186"/>
    <s v="28.961636095641783"/>
    <n v="720690933"/>
    <x v="0"/>
    <n v="3.2101269999999999E-4"/>
    <x v="0"/>
  </r>
  <r>
    <n v="38"/>
    <n v="1"/>
    <n v="2"/>
    <n v="3"/>
    <n v="2"/>
    <n v="2"/>
    <n v="0"/>
    <n v="32"/>
    <n v="1"/>
    <n v="1"/>
    <n v="2"/>
    <n v="1438.3"/>
    <n v="1309"/>
    <n v="129.30000000000001"/>
    <n v="0.84199999999999997"/>
    <n v="5066"/>
    <n v="76"/>
    <n v="0.9"/>
    <n v="0.91"/>
    <s v="5.3542e-05"/>
    <n v="0.99995000000000001"/>
    <s v="6.151886362016611"/>
    <n v="2.5492855228253899"/>
    <s v="27.028713926547177"/>
    <s v="20.125356937572978"/>
    <n v="769676358"/>
    <x v="0"/>
    <n v="3.2101269999999999E-4"/>
    <x v="0"/>
  </r>
  <r>
    <n v="49"/>
    <n v="0"/>
    <n v="2"/>
    <n v="3"/>
    <n v="1"/>
    <n v="5"/>
    <n v="0"/>
    <n v="35"/>
    <n v="4"/>
    <n v="3"/>
    <n v="2"/>
    <n v="2532"/>
    <n v="2124"/>
    <n v="408"/>
    <n v="0.71499999999999997"/>
    <n v="3400"/>
    <n v="76"/>
    <n v="0.72699999999999998"/>
    <n v="0.83899999999999997"/>
    <n v="1.7485999999999999E-4"/>
    <n v="0.99983"/>
    <s v="2.8777987601951738"/>
    <s v="9.107030569515528"/>
    <s v="48.45626186211339"/>
    <s v="10.263320513076774"/>
    <n v="714466458"/>
    <x v="0"/>
    <n v="3.2101269999999999E-4"/>
    <x v="0"/>
  </r>
  <r>
    <n v="44"/>
    <n v="1"/>
    <n v="5"/>
    <n v="6"/>
    <n v="1"/>
    <n v="2"/>
    <n v="0"/>
    <n v="34"/>
    <n v="5"/>
    <n v="3"/>
    <n v="2"/>
    <n v="2791"/>
    <n v="1979"/>
    <n v="812"/>
    <n v="0.80700000000000005"/>
    <n v="4617"/>
    <n v="70"/>
    <n v="0.628"/>
    <n v="0.70899999999999996"/>
    <n v="2.0411999999999999E-4"/>
    <n v="0.99980000000000002"/>
    <s v="15.619197527909606"/>
    <s v="29.586993484995723"/>
    <n v="87.183095792261696"/>
    <s v="4.142379761992494"/>
    <n v="778284783"/>
    <x v="0"/>
    <n v="3.2914013999999999E-4"/>
    <x v="0"/>
  </r>
  <r>
    <n v="48"/>
    <n v="0"/>
    <n v="2"/>
    <n v="2"/>
    <n v="2"/>
    <n v="5"/>
    <n v="0"/>
    <n v="37"/>
    <n v="4"/>
    <n v="2"/>
    <n v="3"/>
    <n v="11750"/>
    <n v="487"/>
    <n v="11263"/>
    <n v="0.77200000000000002"/>
    <n v="2532"/>
    <n v="48"/>
    <n v="0.54800000000000004"/>
    <n v="4.1000000000000002E-2"/>
    <n v="0.99480000000000002"/>
    <n v="5.1999999999999998E-3"/>
    <s v="10.29557822687486"/>
    <s v="30.738412787983304"/>
    <s v="53.80959876177282"/>
    <s v="6.391078584585792"/>
    <n v="771865908"/>
    <x v="1"/>
    <n v="0.99866425999999997"/>
    <x v="1"/>
  </r>
  <r>
    <n v="52"/>
    <n v="1"/>
    <n v="2"/>
    <n v="3"/>
    <n v="2"/>
    <n v="3"/>
    <n v="0"/>
    <n v="46"/>
    <n v="2"/>
    <n v="3"/>
    <n v="3"/>
    <n v="25737"/>
    <n v="1168"/>
    <n v="24569"/>
    <n v="0.71799999999999997"/>
    <n v="7722"/>
    <n v="94"/>
    <n v="0.46899999999999997"/>
    <n v="4.4999999999999998E-2"/>
    <n v="2.9408E-4"/>
    <n v="0.99970999999999999"/>
    <s v="5.032416888210051"/>
    <n v="5.3052666097503298"/>
    <s v="27.035406782320848"/>
    <s v="6.060868937529683"/>
    <n v="796174983"/>
    <x v="0"/>
    <n v="4.3658480000000001E-4"/>
    <x v="0"/>
  </r>
  <r>
    <n v="55"/>
    <n v="1"/>
    <n v="2"/>
    <n v="6"/>
    <n v="2"/>
    <n v="3"/>
    <n v="0"/>
    <n v="36"/>
    <n v="5"/>
    <n v="2"/>
    <n v="2"/>
    <n v="10604"/>
    <n v="1988"/>
    <n v="8616"/>
    <n v="0.64400000000000002"/>
    <n v="1578"/>
    <n v="30"/>
    <n v="0.57899999999999996"/>
    <n v="0.187"/>
    <n v="1.2511E-4"/>
    <n v="0.99987000000000004"/>
    <s v="23.444136141485767"/>
    <s v="36.21597190715114"/>
    <s v="25.434498210802275"/>
    <s v="14.227670200631426"/>
    <n v="717322833"/>
    <x v="0"/>
    <n v="1.0598798E-3"/>
    <x v="0"/>
  </r>
  <r>
    <n v="43"/>
    <n v="0"/>
    <n v="5"/>
    <n v="5"/>
    <n v="2"/>
    <n v="4"/>
    <n v="0"/>
    <n v="36"/>
    <n v="5"/>
    <n v="3"/>
    <n v="4"/>
    <n v="2689"/>
    <n v="2384"/>
    <n v="305"/>
    <n v="0.36499999999999999"/>
    <n v="1941"/>
    <n v="53"/>
    <n v="0.65600000000000003"/>
    <n v="0.88700000000000001"/>
    <n v="0.99817999999999996"/>
    <n v="1.82139E-3"/>
    <s v="53.66521102687464"/>
    <s v="55.56005678609095"/>
    <s v="62.21123328218755"/>
    <s v="3.935793966498164"/>
    <n v="714058308"/>
    <x v="1"/>
    <n v="0.98926944000000006"/>
    <x v="1"/>
  </r>
  <r>
    <n v="29"/>
    <n v="0"/>
    <n v="1"/>
    <n v="6"/>
    <n v="3"/>
    <n v="5"/>
    <n v="0"/>
    <n v="36"/>
    <n v="6"/>
    <n v="3"/>
    <n v="2"/>
    <n v="7270"/>
    <n v="1835"/>
    <n v="5435"/>
    <n v="0.86"/>
    <n v="3759"/>
    <n v="69"/>
    <n v="0.91700000000000004"/>
    <n v="0.252"/>
    <n v="1.8558E-4"/>
    <n v="0.99980999999999998"/>
    <s v="3.590975976190059"/>
    <s v="51.068990814038806"/>
    <s v="37.817745452451135"/>
    <s v="8.045464009558343"/>
    <n v="709375158"/>
    <x v="0"/>
    <n v="3.2101269999999999E-4"/>
    <x v="0"/>
  </r>
  <r>
    <n v="42"/>
    <n v="1"/>
    <n v="1"/>
    <n v="5"/>
    <n v="3"/>
    <n v="3"/>
    <n v="0"/>
    <n v="29"/>
    <n v="4"/>
    <n v="3"/>
    <n v="3"/>
    <n v="17506"/>
    <n v="1979"/>
    <n v="15527"/>
    <n v="0.44700000000000001"/>
    <n v="4199"/>
    <n v="73"/>
    <n v="0.65900000000000003"/>
    <n v="0.113"/>
    <n v="2.9196000000000002E-4"/>
    <n v="0.99970999999999999"/>
    <s v="30.020874196832363"/>
    <s v="39.57101464391408"/>
    <s v="63.400202138345456"/>
    <s v="11.201608154304132"/>
    <n v="771219033"/>
    <x v="0"/>
    <n v="3.2101269999999999E-4"/>
    <x v="0"/>
  </r>
  <r>
    <n v="47"/>
    <n v="1"/>
    <n v="2"/>
    <n v="2"/>
    <n v="3"/>
    <n v="3"/>
    <n v="0"/>
    <n v="43"/>
    <n v="3"/>
    <n v="2"/>
    <n v="2"/>
    <n v="2158"/>
    <n v="1170"/>
    <n v="988"/>
    <n v="0.73"/>
    <n v="4421"/>
    <n v="89"/>
    <n v="0.67900000000000005"/>
    <n v="0.54200000000000004"/>
    <n v="1.1382E-4"/>
    <n v="0.99988999999999995"/>
    <s v="43.79990558827238"/>
    <s v="42.84237649248434"/>
    <s v="22.970639089965776"/>
    <s v="8.057407816217028"/>
    <n v="827049558"/>
    <x v="0"/>
    <n v="3.2101269999999999E-4"/>
    <x v="0"/>
  </r>
  <r>
    <n v="45"/>
    <n v="0"/>
    <n v="5"/>
    <n v="4"/>
    <n v="1"/>
    <n v="5"/>
    <n v="0"/>
    <n v="29"/>
    <n v="5"/>
    <n v="3"/>
    <n v="1"/>
    <n v="2555"/>
    <n v="681"/>
    <n v="1874"/>
    <n v="0.57599999999999996"/>
    <n v="4888"/>
    <n v="78"/>
    <n v="0.81399999999999995"/>
    <n v="0.26700000000000002"/>
    <n v="1.3177999999999999E-4"/>
    <n v="0.99987000000000004"/>
    <s v="4.715040982060235"/>
    <s v="15.589031055303822"/>
    <s v="34.27326039253329"/>
    <s v="5.134863242115413"/>
    <n v="714427608"/>
    <x v="0"/>
    <n v="5.4489190000000002E-4"/>
    <x v="0"/>
  </r>
  <r>
    <n v="29"/>
    <n v="1"/>
    <n v="0"/>
    <n v="4"/>
    <n v="2"/>
    <n v="1"/>
    <n v="0"/>
    <n v="19"/>
    <n v="4"/>
    <n v="1"/>
    <n v="2"/>
    <n v="13632"/>
    <n v="1482"/>
    <n v="12150"/>
    <n v="0.89300000000000002"/>
    <n v="2168"/>
    <n v="42"/>
    <n v="2.5"/>
    <n v="0.109"/>
    <s v="5.5613e-05"/>
    <n v="0.99994000000000005"/>
    <s v="43.09228642446153"/>
    <s v="55.06230165723314"/>
    <s v="93.22617936399296"/>
    <s v="9.195844070337492"/>
    <n v="710492733"/>
    <x v="0"/>
    <n v="1.2356120000000001E-3"/>
    <x v="0"/>
  </r>
  <r>
    <n v="44"/>
    <n v="1"/>
    <n v="0"/>
    <n v="3"/>
    <n v="2"/>
    <n v="1"/>
    <n v="0"/>
    <n v="33"/>
    <n v="5"/>
    <n v="1"/>
    <n v="3"/>
    <n v="2337"/>
    <n v="1442"/>
    <n v="895"/>
    <n v="0.65900000000000003"/>
    <n v="3945"/>
    <n v="65"/>
    <n v="0.54800000000000004"/>
    <n v="0.61699999999999999"/>
    <s v="7.7279e-05"/>
    <n v="0.99992000000000003"/>
    <s v="22.02045836288949"/>
    <s v="18.302151229400835"/>
    <s v="76.16835625551015"/>
    <s v="6.493864838586434"/>
    <n v="708394908"/>
    <x v="0"/>
    <n v="3.3723077000000001E-4"/>
    <x v="0"/>
  </r>
  <r>
    <n v="55"/>
    <n v="0"/>
    <n v="1"/>
    <n v="6"/>
    <n v="1"/>
    <n v="4"/>
    <n v="0"/>
    <n v="36"/>
    <n v="6"/>
    <n v="6"/>
    <n v="2"/>
    <n v="2857"/>
    <n v="2517"/>
    <n v="340"/>
    <n v="0.871"/>
    <n v="1869"/>
    <n v="47"/>
    <n v="0.56699999999999995"/>
    <n v="0.88100000000000001"/>
    <n v="1.4650000000000001E-4"/>
    <n v="0.99985000000000002"/>
    <s v="4.276054548742259"/>
    <s v="40.47028496331667"/>
    <s v="37.791699239378985"/>
    <n v="8.6023071098869206"/>
    <n v="720392433"/>
    <x v="0"/>
    <n v="1.1011294999999999E-3"/>
    <x v="0"/>
  </r>
  <r>
    <n v="65"/>
    <n v="0"/>
    <n v="2"/>
    <n v="3"/>
    <n v="1"/>
    <n v="1"/>
    <n v="0"/>
    <n v="45"/>
    <n v="6"/>
    <n v="2"/>
    <n v="2"/>
    <n v="2658"/>
    <n v="1514"/>
    <n v="1144"/>
    <n v="1.1930000000000001"/>
    <n v="1627"/>
    <n v="26"/>
    <n v="1"/>
    <n v="0.56999999999999995"/>
    <n v="1.1065000000000001E-4"/>
    <n v="0.99988999999999995"/>
    <s v="67.53587350473963"/>
    <s v="1.8108147813514792"/>
    <s v="1.8970217372852085"/>
    <s v="17.622903724174034"/>
    <n v="712636308"/>
    <x v="0"/>
    <n v="9.8706899999999992E-4"/>
    <x v="0"/>
  </r>
  <r>
    <n v="29"/>
    <n v="1"/>
    <n v="0"/>
    <n v="6"/>
    <n v="1"/>
    <n v="2"/>
    <n v="0"/>
    <n v="23"/>
    <n v="3"/>
    <n v="3"/>
    <n v="2"/>
    <n v="6224"/>
    <n v="1092"/>
    <n v="5132"/>
    <n v="0.91900000000000004"/>
    <n v="2222"/>
    <n v="39"/>
    <n v="0.56000000000000005"/>
    <n v="0.17499999999999999"/>
    <n v="1.6966E-4"/>
    <n v="0.99983"/>
    <s v="30.73622923420997"/>
    <s v="16.60144879702853"/>
    <s v="122.98586904135196"/>
    <s v="30.236339566434143"/>
    <n v="768655158"/>
    <x v="0"/>
    <n v="1.3649026000000001E-3"/>
    <x v="0"/>
  </r>
  <r>
    <n v="37"/>
    <n v="0"/>
    <n v="4"/>
    <n v="3"/>
    <n v="0"/>
    <n v="1"/>
    <n v="0"/>
    <n v="22"/>
    <n v="5"/>
    <n v="1"/>
    <n v="3"/>
    <n v="2563"/>
    <n v="1638"/>
    <n v="925"/>
    <n v="0.68100000000000005"/>
    <n v="2064"/>
    <n v="46"/>
    <n v="0.91700000000000004"/>
    <n v="0.63900000000000001"/>
    <s v="9.4447e-05"/>
    <n v="0.99990999999999997"/>
    <s v="44.63568901144848"/>
    <s v="53.022298265539646"/>
    <s v="101.44341629260946"/>
    <s v="10.50687428705382"/>
    <n v="721083258"/>
    <x v="0"/>
    <n v="1.2356120000000001E-3"/>
    <x v="0"/>
  </r>
  <r>
    <n v="45"/>
    <n v="1"/>
    <n v="3"/>
    <n v="2"/>
    <n v="0"/>
    <n v="2"/>
    <n v="0"/>
    <n v="35"/>
    <n v="6"/>
    <n v="3"/>
    <n v="2"/>
    <n v="5065"/>
    <n v="1362"/>
    <n v="3703"/>
    <n v="0.68"/>
    <n v="3555"/>
    <n v="75"/>
    <n v="0.47099999999999997"/>
    <n v="0.26900000000000002"/>
    <n v="1.8665000000000001E-4"/>
    <n v="0.99980999999999998"/>
    <s v="16.57120601716741"/>
    <s v="45.66180419424158"/>
    <s v="163.50046716493532"/>
    <s v="7.311824795185269"/>
    <n v="718191483"/>
    <x v="0"/>
    <n v="3.5747702000000001E-4"/>
    <x v="0"/>
  </r>
  <r>
    <n v="42"/>
    <n v="1"/>
    <n v="3"/>
    <n v="4"/>
    <n v="1"/>
    <n v="3"/>
    <n v="0"/>
    <n v="30"/>
    <n v="6"/>
    <n v="2"/>
    <n v="3"/>
    <n v="13908"/>
    <n v="0"/>
    <n v="13908"/>
    <n v="0.71899999999999997"/>
    <n v="4319"/>
    <n v="81"/>
    <n v="0.97599999999999998"/>
    <n v="0"/>
    <n v="2.3373E-4"/>
    <n v="0.99977000000000005"/>
    <s v="7.976429076484678"/>
    <s v="50.311502758557765"/>
    <s v="4.405845695331333"/>
    <s v="9.227016765328669"/>
    <n v="719475633"/>
    <x v="0"/>
    <n v="6.9517245999999998E-4"/>
    <x v="0"/>
  </r>
  <r>
    <n v="50"/>
    <n v="0"/>
    <n v="2"/>
    <n v="4"/>
    <n v="1"/>
    <n v="4"/>
    <n v="0"/>
    <n v="36"/>
    <n v="1"/>
    <n v="2"/>
    <n v="2"/>
    <n v="3350"/>
    <n v="1335"/>
    <n v="2015"/>
    <n v="0.78100000000000003"/>
    <n v="4906"/>
    <n v="89"/>
    <n v="0.56100000000000005"/>
    <n v="0.39900000000000002"/>
    <n v="1.3392999999999999E-4"/>
    <n v="0.99987000000000004"/>
    <s v="11.746567219464444"/>
    <s v="30.68098111238868"/>
    <s v="88.20404252419684"/>
    <s v="5.919253565563409"/>
    <n v="712855683"/>
    <x v="0"/>
    <n v="3.2914013999999999E-4"/>
    <x v="0"/>
  </r>
  <r>
    <n v="55"/>
    <n v="1"/>
    <n v="1"/>
    <n v="1"/>
    <n v="1"/>
    <n v="2"/>
    <n v="0"/>
    <n v="49"/>
    <n v="6"/>
    <n v="2"/>
    <n v="4"/>
    <n v="4597"/>
    <n v="2442"/>
    <n v="2155"/>
    <n v="0.51200000000000001"/>
    <n v="1504"/>
    <n v="38"/>
    <n v="0.35699999999999998"/>
    <n v="0.53100000000000003"/>
    <n v="4.4352999999999998E-4"/>
    <n v="0.99956"/>
    <n v="45.741400498950703"/>
    <s v="4.565304921933511"/>
    <s v="18.748170661652036"/>
    <s v="10.137471788618637"/>
    <n v="774437583"/>
    <x v="0"/>
    <n v="1.2315542E-3"/>
    <x v="0"/>
  </r>
  <r>
    <n v="50"/>
    <n v="0"/>
    <n v="3"/>
    <n v="2"/>
    <n v="0"/>
    <n v="4"/>
    <n v="0"/>
    <n v="40"/>
    <n v="5"/>
    <n v="4"/>
    <n v="4"/>
    <n v="4248"/>
    <n v="316"/>
    <n v="3932"/>
    <n v="0.66100000000000003"/>
    <n v="2271"/>
    <n v="36"/>
    <n v="0.33300000000000002"/>
    <n v="7.3999999999999996E-2"/>
    <n v="0.99846000000000001"/>
    <n v="1.5421499999999999E-3"/>
    <s v="59.06844240930767"/>
    <s v="23.203883436394403"/>
    <s v="57.113717993776255"/>
    <s v="31.42724064789473"/>
    <n v="711267633"/>
    <x v="1"/>
    <n v="0.99823770000000001"/>
    <x v="1"/>
  </r>
  <r>
    <n v="37"/>
    <n v="0"/>
    <n v="4"/>
    <n v="3"/>
    <n v="2"/>
    <n v="4"/>
    <n v="0"/>
    <n v="18"/>
    <n v="4"/>
    <n v="1"/>
    <n v="2"/>
    <n v="2001"/>
    <n v="1366"/>
    <n v="635"/>
    <n v="0.86"/>
    <n v="4590"/>
    <n v="66"/>
    <n v="0.57099999999999995"/>
    <n v="0.68300000000000005"/>
    <s v="5.6153e-05"/>
    <n v="0.99994000000000005"/>
    <s v="29.650194742408583"/>
    <s v="18.450990990190725"/>
    <s v="19.23326623880745"/>
    <s v="2.7497595290284766"/>
    <n v="708937608"/>
    <x v="0"/>
    <n v="3.2914013999999999E-4"/>
    <x v="0"/>
  </r>
  <r>
    <n v="49"/>
    <n v="0"/>
    <n v="1"/>
    <n v="6"/>
    <n v="1"/>
    <n v="4"/>
    <n v="0"/>
    <n v="40"/>
    <n v="5"/>
    <n v="1"/>
    <n v="3"/>
    <n v="2636"/>
    <n v="1840"/>
    <n v="796"/>
    <n v="0.84399999999999997"/>
    <n v="4056"/>
    <n v="67"/>
    <n v="0.81100000000000005"/>
    <n v="0.69799999999999995"/>
    <s v="9.5577e-05"/>
    <n v="0.99990000000000001"/>
    <s v="6.166440244333031"/>
    <s v="96.88438874578092"/>
    <s v="15.520833694753946"/>
    <s v="1.9489925378016104"/>
    <n v="712290258"/>
    <x v="0"/>
    <n v="3.2101269999999999E-4"/>
    <x v="0"/>
  </r>
  <r>
    <n v="45"/>
    <n v="0"/>
    <n v="3"/>
    <n v="5"/>
    <n v="0"/>
    <n v="5"/>
    <n v="0"/>
    <n v="36"/>
    <n v="6"/>
    <n v="3"/>
    <n v="2"/>
    <n v="20356"/>
    <n v="2517"/>
    <n v="17839"/>
    <n v="0.60699999999999998"/>
    <n v="4547"/>
    <n v="67"/>
    <n v="0.86099999999999999"/>
    <n v="0.124"/>
    <n v="1.9191E-4"/>
    <n v="0.99980999999999998"/>
    <s v="50.42344633349985"/>
    <s v="68.49142188488237"/>
    <s v="64.33867065515928"/>
    <s v="21.44008035848997"/>
    <n v="717451833"/>
    <x v="0"/>
    <n v="3.4692350000000002E-4"/>
    <x v="0"/>
  </r>
  <r>
    <n v="44"/>
    <n v="0"/>
    <n v="2"/>
    <n v="2"/>
    <n v="0"/>
    <n v="4"/>
    <n v="0"/>
    <n v="36"/>
    <n v="6"/>
    <n v="3"/>
    <n v="0"/>
    <n v="7065"/>
    <n v="990"/>
    <n v="6075"/>
    <n v="0.503"/>
    <n v="3758"/>
    <n v="65"/>
    <n v="0.71099999999999997"/>
    <n v="0.14000000000000001"/>
    <s v="6.6354e-05"/>
    <n v="0.99992999999999999"/>
    <s v="7.993914527454323"/>
    <s v="50.75295731892069"/>
    <s v="14.11804050714545"/>
    <s v="14.253754264803074"/>
    <n v="714594933"/>
    <x v="0"/>
    <n v="3.2890364000000001E-4"/>
    <x v="0"/>
  </r>
  <r>
    <n v="37"/>
    <n v="1"/>
    <n v="3"/>
    <n v="5"/>
    <n v="1"/>
    <n v="1"/>
    <n v="0"/>
    <n v="25"/>
    <n v="5"/>
    <n v="0"/>
    <n v="3"/>
    <n v="1438.3"/>
    <n v="0"/>
    <n v="1438.3"/>
    <n v="1.0229999999999999"/>
    <n v="5046"/>
    <n v="77"/>
    <n v="0.92500000000000004"/>
    <n v="0"/>
    <s v="3.6573e-05"/>
    <n v="0.99995999999999996"/>
    <s v="50.72994624672391"/>
    <s v="31.123154550270318"/>
    <s v="18.05801078906497"/>
    <s v="10.169376303012388"/>
    <n v="712827258"/>
    <x v="0"/>
    <n v="7.1297199999999998E-4"/>
    <x v="0"/>
  </r>
  <r>
    <n v="41"/>
    <n v="1"/>
    <n v="4"/>
    <n v="2"/>
    <n v="0"/>
    <n v="1"/>
    <n v="0"/>
    <n v="30"/>
    <n v="4"/>
    <n v="2"/>
    <n v="3"/>
    <n v="2334"/>
    <n v="1138"/>
    <n v="1196"/>
    <n v="0.82599999999999996"/>
    <n v="2155"/>
    <n v="48"/>
    <n v="0.71399999999999997"/>
    <n v="0.48799999999999999"/>
    <n v="2.0076999999999999E-4"/>
    <n v="0.99980000000000002"/>
    <s v="40.69103302083253"/>
    <s v="43.98340587818654"/>
    <s v="2.143952223615912"/>
    <s v="2.935976891612295"/>
    <n v="716194683"/>
    <x v="0"/>
    <n v="1.294005E-3"/>
    <x v="0"/>
  </r>
  <r>
    <n v="43"/>
    <n v="1"/>
    <n v="3"/>
    <n v="6"/>
    <n v="1"/>
    <n v="2"/>
    <n v="3"/>
    <n v="30"/>
    <n v="4"/>
    <n v="3"/>
    <n v="4"/>
    <n v="25856"/>
    <n v="1281"/>
    <n v="24575"/>
    <n v="0.97499999999999998"/>
    <n v="3303"/>
    <n v="70"/>
    <n v="0.79500000000000004"/>
    <n v="0.05"/>
    <n v="5.3178999999999998E-4"/>
    <n v="0.99946999999999997"/>
    <s v="25.012121259253515"/>
    <s v="29.68135761909649"/>
    <s v="31.505792704391137"/>
    <s v="9.064448893436746"/>
    <n v="717410508"/>
    <x v="0"/>
    <n v="3.756586E-4"/>
    <x v="0"/>
  </r>
  <r>
    <n v="51"/>
    <n v="0"/>
    <n v="2"/>
    <n v="6"/>
    <n v="1"/>
    <n v="4"/>
    <n v="0"/>
    <n v="46"/>
    <n v="1"/>
    <n v="6"/>
    <n v="3"/>
    <n v="7744"/>
    <n v="1893"/>
    <n v="5851"/>
    <n v="0.81299999999999994"/>
    <n v="16059"/>
    <n v="124"/>
    <n v="0.72199999999999998"/>
    <n v="0.24399999999999999"/>
    <n v="2.6248999999999999E-4"/>
    <n v="0.99973999999999996"/>
    <s v="6.180987210556649"/>
    <s v="19.379421050615445"/>
    <s v="65.52854988518042"/>
    <s v="4.255834666843374"/>
    <n v="815840283"/>
    <x v="0"/>
    <n v="3.4656386999999997E-4"/>
    <x v="0"/>
  </r>
  <r>
    <n v="53"/>
    <n v="1"/>
    <n v="3"/>
    <n v="3"/>
    <n v="1"/>
    <n v="2"/>
    <n v="0"/>
    <n v="47"/>
    <n v="5"/>
    <n v="2"/>
    <n v="2"/>
    <n v="1438.3"/>
    <n v="0"/>
    <n v="1438.3"/>
    <n v="0.77600000000000002"/>
    <n v="2184"/>
    <n v="53"/>
    <n v="0.82799999999999996"/>
    <n v="0"/>
    <n v="1.1482E-4"/>
    <n v="0.99988999999999995"/>
    <s v="64.20707577367426"/>
    <n v="42.415189326261498"/>
    <s v="143.60442814778403"/>
    <s v="22.90212755311086"/>
    <n v="709531908"/>
    <x v="0"/>
    <n v="2.6545891999999998E-3"/>
    <x v="0"/>
  </r>
  <r>
    <n v="41"/>
    <n v="1"/>
    <n v="2"/>
    <n v="4"/>
    <n v="2"/>
    <n v="1"/>
    <n v="0"/>
    <n v="27"/>
    <n v="4"/>
    <n v="1"/>
    <n v="3"/>
    <n v="4461"/>
    <n v="900"/>
    <n v="3561"/>
    <n v="0.58699999999999997"/>
    <n v="4204"/>
    <n v="77"/>
    <n v="0.79100000000000004"/>
    <n v="0.20200000000000001"/>
    <n v="1.0900000000000001E-4"/>
    <n v="0.99988999999999995"/>
    <s v="40.40117000198339"/>
    <s v="9.578289803883845"/>
    <s v="76.51900090172435"/>
    <s v="0.3001117381866131"/>
    <n v="720133908"/>
    <x v="0"/>
    <n v="4.2162873000000002E-4"/>
    <x v="0"/>
  </r>
  <r>
    <n v="57"/>
    <n v="0"/>
    <n v="3"/>
    <n v="0"/>
    <n v="3"/>
    <n v="4"/>
    <n v="3"/>
    <n v="42"/>
    <n v="6"/>
    <n v="1"/>
    <n v="1"/>
    <n v="12675"/>
    <n v="2422"/>
    <n v="10253"/>
    <n v="0.64200000000000002"/>
    <n v="3912"/>
    <n v="63"/>
    <n v="0.57499999999999996"/>
    <n v="0.191"/>
    <s v="3.0276e-05"/>
    <n v="0.99997000000000003"/>
    <s v="10.275707502622412"/>
    <s v="6.962500990307114"/>
    <s v="147.52382018245837"/>
    <s v="24.40261550016552"/>
    <n v="788885133"/>
    <x v="0"/>
    <n v="3.5672840999999999E-4"/>
    <x v="0"/>
  </r>
  <r>
    <n v="55"/>
    <n v="1"/>
    <n v="2"/>
    <n v="2"/>
    <n v="1"/>
    <n v="3"/>
    <n v="0"/>
    <n v="47"/>
    <n v="3"/>
    <n v="3"/>
    <n v="3"/>
    <n v="9959"/>
    <n v="1209"/>
    <n v="8750"/>
    <n v="0.54800000000000004"/>
    <n v="1584"/>
    <n v="28"/>
    <n v="0.27300000000000002"/>
    <n v="0.121"/>
    <n v="3.0250999999999998E-4"/>
    <n v="0.99970000000000003"/>
    <s v="56.67621227783789"/>
    <s v="41.48009825658613"/>
    <s v="62.83434251036415"/>
    <s v="12.124927815627847"/>
    <n v="711734508"/>
    <x v="0"/>
    <n v="1.232702E-3"/>
    <x v="0"/>
  </r>
  <r>
    <n v="48"/>
    <n v="1"/>
    <n v="2"/>
    <n v="3"/>
    <n v="1"/>
    <n v="1"/>
    <n v="0"/>
    <n v="36"/>
    <n v="6"/>
    <n v="3"/>
    <n v="2"/>
    <n v="4207"/>
    <n v="1921"/>
    <n v="2286"/>
    <n v="0.76600000000000001"/>
    <n v="3850"/>
    <n v="75"/>
    <n v="0.56200000000000006"/>
    <n v="0.45700000000000002"/>
    <n v="1.7485999999999999E-4"/>
    <n v="0.99983"/>
    <s v="7.366098725813917"/>
    <s v="69.49131851625403"/>
    <s v="51.33921393856529"/>
    <s v="15.771574065739792"/>
    <n v="719563158"/>
    <x v="0"/>
    <n v="3.2914013999999999E-4"/>
    <x v="0"/>
  </r>
  <r>
    <n v="50"/>
    <n v="1"/>
    <n v="3"/>
    <n v="5"/>
    <n v="2"/>
    <n v="2"/>
    <n v="0"/>
    <n v="45"/>
    <n v="5"/>
    <n v="3"/>
    <n v="5"/>
    <n v="20437"/>
    <n v="1020"/>
    <n v="19417"/>
    <n v="0.56299999999999994"/>
    <n v="4166"/>
    <n v="66"/>
    <n v="0.73699999999999999"/>
    <n v="0.05"/>
    <n v="9.5231000000000005E-4"/>
    <n v="0.99904999999999999"/>
    <s v="39.24242527748467"/>
    <s v="17.404219063259767"/>
    <s v="16.47315291058394"/>
    <s v="5.867898916963605"/>
    <n v="807237783"/>
    <x v="0"/>
    <n v="2.7737333999999999E-2"/>
    <x v="0"/>
  </r>
  <r>
    <n v="43"/>
    <n v="1"/>
    <n v="3"/>
    <n v="0"/>
    <n v="3"/>
    <n v="2"/>
    <n v="0"/>
    <n v="36"/>
    <n v="2"/>
    <n v="1"/>
    <n v="2"/>
    <n v="5397"/>
    <n v="1265"/>
    <n v="4132"/>
    <n v="0.67600000000000005"/>
    <n v="7791"/>
    <n v="84"/>
    <n v="0.61499999999999999"/>
    <n v="0.23400000000000001"/>
    <s v="5.5564e-05"/>
    <n v="0.99994000000000005"/>
    <s v="64.00922085043399"/>
    <s v="25.73313602059405"/>
    <s v="34.12935033286961"/>
    <s v="20.446314982503445"/>
    <n v="713907633"/>
    <x v="0"/>
    <n v="3.7789578000000003E-4"/>
    <x v="0"/>
  </r>
  <r>
    <n v="48"/>
    <n v="0"/>
    <n v="4"/>
    <n v="2"/>
    <n v="1"/>
    <n v="4"/>
    <n v="0"/>
    <n v="36"/>
    <n v="4"/>
    <n v="3"/>
    <n v="2"/>
    <n v="2620"/>
    <n v="2081"/>
    <n v="539"/>
    <n v="0.99"/>
    <n v="4867"/>
    <n v="67"/>
    <n v="0.76300000000000001"/>
    <n v="0.79400000000000004"/>
    <n v="1.8864000000000001E-4"/>
    <n v="0.99980999999999998"/>
    <s v="19.65700669746286"/>
    <s v="14.747742023054313"/>
    <s v="34.693490657586864"/>
    <s v="3.711648563739211"/>
    <n v="712335858"/>
    <x v="0"/>
    <n v="3.221314E-4"/>
    <x v="0"/>
  </r>
  <r>
    <n v="53"/>
    <n v="0"/>
    <n v="4"/>
    <n v="2"/>
    <n v="2"/>
    <n v="4"/>
    <n v="0"/>
    <n v="44"/>
    <n v="1"/>
    <n v="1"/>
    <n v="3"/>
    <n v="4737"/>
    <n v="1649"/>
    <n v="3088"/>
    <n v="0.748"/>
    <n v="7802"/>
    <n v="88"/>
    <n v="0.49199999999999999"/>
    <n v="0.34799999999999998"/>
    <s v="9.7154e-05"/>
    <n v="0.99990000000000001"/>
    <s v="12.875126179572838"/>
    <s v="35.80675885567585"/>
    <s v="54.836817100574265"/>
    <s v="5.068790934094434"/>
    <n v="715237683"/>
    <x v="0"/>
    <n v="3.9225167999999998E-4"/>
    <x v="0"/>
  </r>
  <r>
    <n v="54"/>
    <n v="1"/>
    <n v="3"/>
    <n v="3"/>
    <n v="1"/>
    <n v="0"/>
    <n v="0"/>
    <n v="42"/>
    <n v="6"/>
    <n v="3"/>
    <n v="2"/>
    <n v="20311"/>
    <n v="1655"/>
    <n v="18656"/>
    <n v="0.43099999999999999"/>
    <n v="1266"/>
    <n v="34"/>
    <n v="0.308"/>
    <n v="8.1000000000000003E-2"/>
    <n v="1.8144999999999999E-4"/>
    <n v="0.99982000000000004"/>
    <n v="4.4146482739120803"/>
    <s v="7.585052224043108"/>
    <n v="73.874654969093399"/>
    <s v="6.315396935484711"/>
    <n v="711498258"/>
    <x v="0"/>
    <n v="1.2647773E-3"/>
    <x v="0"/>
  </r>
  <r>
    <n v="50"/>
    <n v="1"/>
    <n v="2"/>
    <n v="3"/>
    <n v="1"/>
    <n v="3"/>
    <n v="3"/>
    <n v="45"/>
    <n v="3"/>
    <n v="1"/>
    <n v="3"/>
    <n v="34516"/>
    <n v="1260"/>
    <n v="33256"/>
    <n v="0.58799999999999997"/>
    <n v="1504"/>
    <n v="34"/>
    <n v="0.78900000000000003"/>
    <n v="3.6999999999999998E-2"/>
    <s v="8.1371e-05"/>
    <n v="0.99992000000000003"/>
    <s v="13.32545351685074"/>
    <s v="33.77723858904373"/>
    <s v="62.903360118528006"/>
    <s v="18.99441835173136"/>
    <n v="712608783"/>
    <x v="0"/>
    <n v="1.1406993999999999E-3"/>
    <x v="0"/>
  </r>
  <r>
    <n v="60"/>
    <n v="0"/>
    <n v="1"/>
    <n v="2"/>
    <n v="1"/>
    <n v="1"/>
    <n v="0"/>
    <n v="42"/>
    <n v="5"/>
    <n v="3"/>
    <n v="3"/>
    <n v="5903"/>
    <n v="1335"/>
    <n v="4568"/>
    <n v="0.91400000000000003"/>
    <n v="1137"/>
    <n v="27"/>
    <n v="0.92900000000000005"/>
    <n v="0.22600000000000001"/>
    <n v="2.8394999999999999E-4"/>
    <n v="0.99972000000000005"/>
    <s v="28.48302873318242"/>
    <s v="72.64459905565568"/>
    <s v="34.01787007850557"/>
    <s v="1.4502339721152715"/>
    <n v="817663908"/>
    <x v="0"/>
    <n v="9.8706899999999992E-4"/>
    <x v="0"/>
  </r>
  <r>
    <n v="44"/>
    <n v="0"/>
    <n v="4"/>
    <n v="3"/>
    <n v="2"/>
    <n v="4"/>
    <n v="0"/>
    <n v="36"/>
    <n v="1"/>
    <n v="3"/>
    <n v="3"/>
    <n v="3024"/>
    <n v="0"/>
    <n v="3024"/>
    <n v="0.75"/>
    <n v="4983"/>
    <n v="78"/>
    <n v="0.73299999999999998"/>
    <n v="0"/>
    <n v="3.0842E-4"/>
    <n v="0.99968999999999997"/>
    <s v="3.100832275019057"/>
    <s v="49.805062664232494"/>
    <s v="68.79479128665378"/>
    <s v="7.063643721349254"/>
    <n v="712200033"/>
    <x v="0"/>
    <n v="6.9517245999999998E-4"/>
    <x v="0"/>
  </r>
  <r>
    <n v="46"/>
    <n v="0"/>
    <n v="3"/>
    <n v="0"/>
    <n v="1"/>
    <n v="4"/>
    <n v="0"/>
    <n v="41"/>
    <n v="4"/>
    <n v="1"/>
    <n v="1"/>
    <n v="1489"/>
    <n v="949"/>
    <n v="540"/>
    <n v="0.65"/>
    <n v="4669"/>
    <n v="94"/>
    <n v="0.74099999999999999"/>
    <n v="0.63700000000000001"/>
    <s v="3.3508e-05"/>
    <n v="0.99997000000000003"/>
    <s v="74.66150360070372"/>
    <n v="8.6271390131990202"/>
    <s v="67.01203130908019"/>
    <s v="14.122515013883405"/>
    <n v="808527183"/>
    <x v="0"/>
    <n v="3.9522952000000002E-4"/>
    <x v="0"/>
  </r>
  <r>
    <n v="65"/>
    <n v="0"/>
    <n v="0"/>
    <n v="6"/>
    <n v="2"/>
    <n v="4"/>
    <n v="0"/>
    <n v="56"/>
    <n v="6"/>
    <n v="3"/>
    <n v="3"/>
    <n v="2802"/>
    <n v="2403"/>
    <n v="399"/>
    <n v="0.63600000000000001"/>
    <n v="3887"/>
    <n v="61"/>
    <n v="0.41899999999999998"/>
    <n v="0.85799999999999998"/>
    <n v="2.8535000000000002E-4"/>
    <n v="0.99970999999999999"/>
    <s v="3.3445719001385386"/>
    <s v="32.60375678032104"/>
    <s v="41.87828789430412"/>
    <s v="12.658232002441643"/>
    <n v="713168733"/>
    <x v="0"/>
    <n v="3.9822448000000001E-4"/>
    <x v="0"/>
  </r>
  <r>
    <n v="61"/>
    <n v="0"/>
    <n v="0"/>
    <n v="2"/>
    <n v="2"/>
    <n v="1"/>
    <n v="0"/>
    <n v="56"/>
    <n v="4"/>
    <n v="3"/>
    <n v="5"/>
    <n v="7118"/>
    <n v="813"/>
    <n v="6305"/>
    <n v="0.47499999999999998"/>
    <n v="3964"/>
    <n v="66"/>
    <n v="0.65"/>
    <n v="0.114"/>
    <n v="7.6606999999999999E-4"/>
    <n v="0.99922999999999995"/>
    <s v="18.970919509755216"/>
    <s v="22.65704135621361"/>
    <s v="5.771585759871765"/>
    <s v="12.199208725806548"/>
    <n v="822138333"/>
    <x v="0"/>
    <n v="6.4722274E-4"/>
    <x v="0"/>
  </r>
  <r>
    <n v="45"/>
    <n v="0"/>
    <n v="2"/>
    <n v="1"/>
    <n v="1"/>
    <n v="4"/>
    <n v="0"/>
    <n v="31"/>
    <n v="4"/>
    <n v="3"/>
    <n v="4"/>
    <n v="2704"/>
    <n v="2262"/>
    <n v="442"/>
    <n v="0.87"/>
    <n v="2362"/>
    <n v="39"/>
    <n v="0.44400000000000001"/>
    <n v="0.83699999999999997"/>
    <n v="0.99865999999999999"/>
    <n v="1.33669E-3"/>
    <s v="15.03488903585393"/>
    <s v="16.120485889903577"/>
    <s v="7.459534597201595"/>
    <s v="1.6714835638014238"/>
    <n v="770596458"/>
    <x v="1"/>
    <n v="0.99467503999999995"/>
    <x v="1"/>
  </r>
  <r>
    <n v="45"/>
    <n v="0"/>
    <n v="2"/>
    <n v="5"/>
    <n v="2"/>
    <n v="1"/>
    <n v="0"/>
    <n v="35"/>
    <n v="6"/>
    <n v="3"/>
    <n v="2"/>
    <n v="4505"/>
    <n v="1562"/>
    <n v="2943"/>
    <n v="0.60399999999999998"/>
    <n v="3968"/>
    <n v="68"/>
    <n v="0.61899999999999999"/>
    <n v="0.34699999999999998"/>
    <n v="1.8494E-4"/>
    <n v="0.99982000000000004"/>
    <s v="16.356807477529287"/>
    <s v="6.719748876024094"/>
    <s v="64.85149107554925"/>
    <s v="6.427349020340944"/>
    <n v="789903708"/>
    <x v="0"/>
    <n v="3.2914013999999999E-4"/>
    <x v="0"/>
  </r>
  <r>
    <n v="43"/>
    <n v="0"/>
    <n v="3"/>
    <n v="6"/>
    <n v="2"/>
    <n v="1"/>
    <n v="3"/>
    <n v="36"/>
    <n v="2"/>
    <n v="3"/>
    <n v="4"/>
    <n v="19713"/>
    <n v="531"/>
    <n v="19182"/>
    <n v="0.79200000000000004"/>
    <n v="8301"/>
    <n v="70"/>
    <n v="0.59099999999999997"/>
    <n v="2.7E-2"/>
    <n v="0.99812000000000001"/>
    <n v="1.87593E-3"/>
    <s v="41.53181170166724"/>
    <s v="29.77382913235668"/>
    <s v="59.49090279000883"/>
    <s v="16.82846738290273"/>
    <n v="708821733"/>
    <x v="1"/>
    <n v="0.99407730000000005"/>
    <x v="1"/>
  </r>
  <r>
    <n v="53"/>
    <n v="1"/>
    <n v="3"/>
    <n v="3"/>
    <n v="1"/>
    <n v="2"/>
    <n v="0"/>
    <n v="43"/>
    <n v="5"/>
    <n v="3"/>
    <n v="2"/>
    <n v="5264"/>
    <n v="2169"/>
    <n v="3095"/>
    <n v="0.374"/>
    <n v="1219"/>
    <n v="27"/>
    <n v="0.5"/>
    <n v="0.41199999999999998"/>
    <n v="1.8144999999999999E-4"/>
    <n v="0.99982000000000004"/>
    <s v="5.547144239962916"/>
    <s v="19.608506616561066"/>
    <n v="39.076169577767203"/>
    <s v="27.49800165381729"/>
    <n v="712701333"/>
    <x v="0"/>
    <n v="1.1982243E-3"/>
    <x v="0"/>
  </r>
  <r>
    <n v="45"/>
    <n v="1"/>
    <n v="2"/>
    <n v="0"/>
    <n v="2"/>
    <n v="2"/>
    <n v="0"/>
    <n v="33"/>
    <n v="6"/>
    <n v="3"/>
    <n v="0"/>
    <n v="23218"/>
    <n v="1814"/>
    <n v="21404"/>
    <n v="1.1779999999999999"/>
    <n v="1749"/>
    <n v="37"/>
    <n v="2.0830000000000002"/>
    <n v="7.8E-2"/>
    <s v="6.4511e-05"/>
    <n v="0.99994000000000005"/>
    <s v="3.129796428873552"/>
    <s v="27.23491767698769"/>
    <s v="57.46817069049898"/>
    <s v="14.600169479251296"/>
    <n v="720250158"/>
    <x v="0"/>
    <n v="1.041906E-3"/>
    <x v="0"/>
  </r>
  <r>
    <n v="51"/>
    <n v="1"/>
    <n v="0"/>
    <n v="0"/>
    <n v="2"/>
    <n v="3"/>
    <n v="0"/>
    <n v="33"/>
    <n v="1"/>
    <n v="3"/>
    <n v="1"/>
    <n v="34516"/>
    <n v="1228"/>
    <n v="33288"/>
    <n v="0.747"/>
    <n v="7854"/>
    <n v="89"/>
    <n v="0.64800000000000002"/>
    <n v="3.5999999999999997E-2"/>
    <s v="9.0501e-05"/>
    <n v="0.99990999999999997"/>
    <s v="37.22407897291937"/>
    <s v="17.527093383763862"/>
    <s v="145.79136580619544"/>
    <s v="7.211226863985596"/>
    <n v="710822808"/>
    <x v="0"/>
    <n v="4.2060707000000003E-4"/>
    <x v="0"/>
  </r>
  <r>
    <n v="26"/>
    <n v="1"/>
    <n v="1"/>
    <n v="3"/>
    <n v="2"/>
    <n v="2"/>
    <n v="0"/>
    <n v="15"/>
    <n v="6"/>
    <n v="3"/>
    <n v="3"/>
    <n v="4327"/>
    <n v="0"/>
    <n v="4327"/>
    <n v="0.624"/>
    <n v="2344"/>
    <n v="48"/>
    <n v="0.29699999999999999"/>
    <n v="0"/>
    <n v="2.7604000000000002E-4"/>
    <n v="0.99972000000000005"/>
    <s v="26.694697214339065"/>
    <s v="3.513996918408297"/>
    <s v="25.166165332288628"/>
    <s v="3.676190580978109"/>
    <n v="714697533"/>
    <x v="0"/>
    <n v="5.0474659999999996E-3"/>
    <x v="0"/>
  </r>
  <r>
    <n v="42"/>
    <n v="0"/>
    <n v="3"/>
    <n v="5"/>
    <n v="2"/>
    <n v="4"/>
    <n v="0"/>
    <n v="22"/>
    <n v="4"/>
    <n v="1"/>
    <n v="4"/>
    <n v="1438.3"/>
    <n v="860"/>
    <n v="578.29999999999995"/>
    <n v="0.76100000000000001"/>
    <n v="4754"/>
    <n v="79"/>
    <n v="0.83699999999999997"/>
    <n v="0.59799999999999998"/>
    <n v="1.6861E-4"/>
    <n v="0.99983"/>
    <s v="10.919778827587049"/>
    <s v="14.35566336928347"/>
    <s v="1.9716673697554488"/>
    <s v="23.84755271689553"/>
    <n v="778619358"/>
    <x v="0"/>
    <n v="4.8967317000000001E-4"/>
    <x v="0"/>
  </r>
  <r>
    <n v="46"/>
    <n v="0"/>
    <n v="4"/>
    <n v="5"/>
    <n v="2"/>
    <n v="4"/>
    <n v="0"/>
    <n v="35"/>
    <n v="5"/>
    <n v="2"/>
    <n v="3"/>
    <n v="2722"/>
    <n v="1473"/>
    <n v="1249"/>
    <n v="0.73699999999999999"/>
    <n v="3129"/>
    <n v="69"/>
    <n v="0.68300000000000005"/>
    <n v="0.54100000000000004"/>
    <n v="2.0642999999999999E-4"/>
    <n v="0.99978999999999996"/>
    <s v="5.656804601635892"/>
    <s v="71.73210165129191"/>
    <s v="57.27485679930656"/>
    <s v="28.727454399826925"/>
    <n v="772268058"/>
    <x v="0"/>
    <n v="3.4921730000000002E-4"/>
    <x v="0"/>
  </r>
  <r>
    <n v="51"/>
    <n v="0"/>
    <n v="2"/>
    <n v="2"/>
    <n v="2"/>
    <n v="1"/>
    <n v="0"/>
    <n v="45"/>
    <n v="5"/>
    <n v="1"/>
    <n v="3"/>
    <n v="1438.3"/>
    <n v="869"/>
    <n v="569.29999999999995"/>
    <n v="0.79100000000000004"/>
    <n v="4124"/>
    <n v="59"/>
    <n v="0.96699999999999997"/>
    <n v="0.60399999999999998"/>
    <s v="9.2637e-05"/>
    <n v="0.99990999999999997"/>
    <s v="27.168598647805688"/>
    <s v="6.196993487073821"/>
    <s v="27.677994288290154"/>
    <s v="9.254713402129134"/>
    <n v="802600233"/>
    <x v="0"/>
    <n v="5.1951380000000004E-4"/>
    <x v="0"/>
  </r>
  <r>
    <n v="53"/>
    <n v="0"/>
    <n v="1"/>
    <n v="3"/>
    <n v="1"/>
    <n v="4"/>
    <n v="0"/>
    <n v="48"/>
    <n v="6"/>
    <n v="3"/>
    <n v="2"/>
    <n v="2324"/>
    <n v="1576"/>
    <n v="748"/>
    <n v="0.72799999999999998"/>
    <n v="1272"/>
    <n v="37"/>
    <n v="1.3120000000000001"/>
    <n v="0.67800000000000005"/>
    <n v="1.6412999999999999E-4"/>
    <n v="0.99983999999999995"/>
    <s v="14.69237854296148"/>
    <s v="4.601578739294881"/>
    <n v="59.298066463934198"/>
    <s v="14.879606213719482"/>
    <n v="813814008"/>
    <x v="0"/>
    <n v="9.8706899999999992E-4"/>
    <x v="0"/>
  </r>
  <r>
    <n v="48"/>
    <n v="1"/>
    <n v="3"/>
    <n v="2"/>
    <n v="2"/>
    <n v="3"/>
    <n v="0"/>
    <n v="37"/>
    <n v="3"/>
    <n v="3"/>
    <n v="2"/>
    <n v="3034"/>
    <n v="468"/>
    <n v="2566"/>
    <n v="0.55300000000000005"/>
    <n v="4172"/>
    <n v="66"/>
    <n v="0.78400000000000003"/>
    <n v="0.154"/>
    <n v="1.8665000000000001E-4"/>
    <n v="0.99980999999999998"/>
    <n v="40.506728026116399"/>
    <s v="77.91250048121987"/>
    <s v="27.788944234945863"/>
    <s v="6.866911401149155"/>
    <n v="713320008"/>
    <x v="0"/>
    <n v="6.7355180000000005E-4"/>
    <x v="0"/>
  </r>
  <r>
    <n v="42"/>
    <n v="1"/>
    <n v="2"/>
    <n v="2"/>
    <n v="2"/>
    <n v="2"/>
    <n v="0"/>
    <n v="31"/>
    <n v="3"/>
    <n v="2"/>
    <n v="1"/>
    <n v="5169"/>
    <n v="2296"/>
    <n v="2873"/>
    <n v="0.77300000000000002"/>
    <n v="4656"/>
    <n v="88"/>
    <n v="0.79600000000000004"/>
    <n v="0.44400000000000001"/>
    <s v="6.864e-05"/>
    <n v="0.99992999999999999"/>
    <s v="0.8684711916322662"/>
    <s v="24.94304334770492"/>
    <s v="120.44828242584236"/>
    <s v="3.0451086835015304"/>
    <n v="719606133"/>
    <x v="0"/>
    <n v="3.2101269999999999E-4"/>
    <x v="0"/>
  </r>
  <r>
    <n v="60"/>
    <n v="0"/>
    <n v="1"/>
    <n v="3"/>
    <n v="2"/>
    <n v="4"/>
    <n v="0"/>
    <n v="49"/>
    <n v="5"/>
    <n v="4"/>
    <n v="1"/>
    <n v="2481"/>
    <n v="1925"/>
    <n v="556"/>
    <n v="0.72299999999999998"/>
    <n v="5228"/>
    <n v="73"/>
    <n v="0.78"/>
    <n v="0.77600000000000002"/>
    <n v="1.1962E-4"/>
    <n v="0.99987999999999999"/>
    <s v="11.505643940989325"/>
    <s v="39.81735974910976"/>
    <s v="91.84057972684688"/>
    <s v="4.814245346226268"/>
    <n v="712285908"/>
    <x v="0"/>
    <n v="3.2101269999999999E-4"/>
    <x v="0"/>
  </r>
  <r>
    <n v="51"/>
    <n v="1"/>
    <n v="4"/>
    <n v="6"/>
    <n v="2"/>
    <n v="0"/>
    <n v="3"/>
    <n v="46"/>
    <n v="2"/>
    <n v="3"/>
    <n v="3"/>
    <n v="34516"/>
    <n v="1279"/>
    <n v="33237"/>
    <n v="1.02"/>
    <n v="4615"/>
    <n v="49"/>
    <n v="0.58099999999999996"/>
    <n v="3.6999999999999998E-2"/>
    <n v="0.99683999999999995"/>
    <n v="3.1625899999999998E-3"/>
    <s v="12.696389953358944"/>
    <s v="54.730750645894645"/>
    <s v="5.405048234151465"/>
    <s v="15.335278917068734"/>
    <n v="807393558"/>
    <x v="1"/>
    <n v="0.99446760000000001"/>
    <x v="1"/>
  </r>
  <r>
    <n v="56"/>
    <n v="0"/>
    <n v="0"/>
    <n v="3"/>
    <n v="1"/>
    <n v="5"/>
    <n v="0"/>
    <n v="48"/>
    <n v="4"/>
    <n v="1"/>
    <n v="2"/>
    <n v="4203"/>
    <n v="1965"/>
    <n v="2238"/>
    <n v="0.441"/>
    <n v="1425"/>
    <n v="32"/>
    <n v="0.77800000000000002"/>
    <n v="0.46800000000000003"/>
    <s v="4.5946e-05"/>
    <n v="0.99995000000000001"/>
    <s v="5.724686268265438"/>
    <s v="41.70462455490569"/>
    <s v="102.75724112335529"/>
    <n v="0.91830084218975006"/>
    <n v="712816833"/>
    <x v="0"/>
    <n v="1.0337284E-3"/>
    <x v="0"/>
  </r>
  <r>
    <n v="54"/>
    <n v="0"/>
    <n v="1"/>
    <n v="3"/>
    <n v="1"/>
    <n v="4"/>
    <n v="0"/>
    <n v="44"/>
    <n v="3"/>
    <n v="3"/>
    <n v="3"/>
    <n v="3947"/>
    <n v="1746"/>
    <n v="2201"/>
    <n v="0.47799999999999998"/>
    <n v="1110"/>
    <n v="21"/>
    <n v="0.4"/>
    <n v="0.442"/>
    <n v="2.7604000000000002E-4"/>
    <n v="0.99972000000000005"/>
    <s v="36.77930410095357"/>
    <s v="57.778932577185934"/>
    <n v="119.761034633962"/>
    <s v="3.0846206663773548"/>
    <n v="789886533"/>
    <x v="0"/>
    <n v="1.232702E-3"/>
    <x v="0"/>
  </r>
  <r>
    <n v="58"/>
    <n v="0"/>
    <n v="3"/>
    <n v="2"/>
    <n v="1"/>
    <n v="4"/>
    <n v="0"/>
    <n v="53"/>
    <n v="5"/>
    <n v="3"/>
    <n v="2"/>
    <n v="5798"/>
    <n v="1794"/>
    <n v="4004"/>
    <n v="0.56399999999999995"/>
    <n v="1724"/>
    <n v="45"/>
    <n v="0.45200000000000001"/>
    <n v="0.309"/>
    <n v="1.8665000000000001E-4"/>
    <n v="0.99980999999999998"/>
    <s v="51.31201515490666"/>
    <s v="76.28368140753784"/>
    <s v="60.43810963683569"/>
    <s v="1.236266806064668"/>
    <n v="814995933"/>
    <x v="0"/>
    <n v="1.1982243E-3"/>
    <x v="0"/>
  </r>
  <r>
    <n v="52"/>
    <n v="1"/>
    <n v="3"/>
    <n v="2"/>
    <n v="1"/>
    <n v="0"/>
    <n v="0"/>
    <n v="47"/>
    <n v="5"/>
    <n v="3"/>
    <n v="3"/>
    <n v="11086"/>
    <n v="2207"/>
    <n v="8879"/>
    <n v="0.86899999999999999"/>
    <n v="1523"/>
    <n v="40"/>
    <n v="1.105"/>
    <n v="0.19900000000000001"/>
    <n v="3.1389999999999999E-4"/>
    <n v="0.99968999999999997"/>
    <s v="5.228546320235523"/>
    <s v="47.07223725450683"/>
    <s v="41.69340585247969"/>
    <s v="3.695867878805999"/>
    <n v="805543158"/>
    <x v="0"/>
    <n v="9.8706899999999992E-4"/>
    <x v="0"/>
  </r>
  <r>
    <n v="48"/>
    <n v="1"/>
    <n v="2"/>
    <n v="0"/>
    <n v="0"/>
    <n v="3"/>
    <n v="0"/>
    <n v="40"/>
    <n v="4"/>
    <n v="3"/>
    <n v="3"/>
    <n v="4479"/>
    <n v="0"/>
    <n v="4479"/>
    <n v="0.89"/>
    <n v="4520"/>
    <n v="63"/>
    <n v="0.37"/>
    <n v="0"/>
    <n v="0.99661"/>
    <n v="3.3875699999999999E-3"/>
    <s v="8.682844227375366"/>
    <n v="25.152816262293701"/>
    <s v="81.58158060650553"/>
    <s v="11.867629531344598"/>
    <n v="720006333"/>
    <x v="1"/>
    <n v="0.99310739999999997"/>
    <x v="1"/>
  </r>
  <r>
    <n v="43"/>
    <n v="1"/>
    <n v="3"/>
    <n v="3"/>
    <n v="2"/>
    <n v="2"/>
    <n v="0"/>
    <n v="38"/>
    <n v="2"/>
    <n v="3"/>
    <n v="2"/>
    <n v="12254"/>
    <n v="0"/>
    <n v="12254"/>
    <n v="0.70499999999999996"/>
    <n v="2129"/>
    <n v="42"/>
    <n v="0.35499999999999998"/>
    <n v="0"/>
    <n v="0.99451999999999996"/>
    <n v="5.4799999999999996E-3"/>
    <s v="16.250245059843472"/>
    <s v="22.83618997349958"/>
    <s v="76.39288026508636"/>
    <s v="4.385030386783825"/>
    <n v="812449758"/>
    <x v="1"/>
    <n v="0.99876772999999996"/>
    <x v="1"/>
  </r>
  <r>
    <n v="56"/>
    <n v="1"/>
    <n v="2"/>
    <n v="3"/>
    <n v="2"/>
    <n v="1"/>
    <n v="0"/>
    <n v="40"/>
    <n v="2"/>
    <n v="6"/>
    <n v="4"/>
    <n v="2381"/>
    <n v="651"/>
    <n v="1730"/>
    <n v="0.59199999999999997"/>
    <n v="1920"/>
    <n v="46"/>
    <n v="0.58599999999999997"/>
    <n v="0.27300000000000002"/>
    <n v="0.99748000000000003"/>
    <n v="2.5177699999999999E-3"/>
    <s v="8.386209394955136"/>
    <s v="26.24819121607816"/>
    <s v="97.18132773015574"/>
    <n v="14.608585009178601"/>
    <n v="709413933"/>
    <x v="1"/>
    <n v="0.99752909999999995"/>
    <x v="1"/>
  </r>
  <r>
    <n v="38"/>
    <n v="0"/>
    <n v="2"/>
    <n v="2"/>
    <n v="2"/>
    <n v="1"/>
    <n v="0"/>
    <n v="36"/>
    <n v="6"/>
    <n v="2"/>
    <n v="3"/>
    <n v="2331"/>
    <n v="1709"/>
    <n v="622"/>
    <n v="0.85099999999999998"/>
    <n v="4417"/>
    <n v="69"/>
    <n v="0.81599999999999995"/>
    <n v="0.73299999999999998"/>
    <n v="1.9143E-4"/>
    <n v="0.99980999999999998"/>
    <s v="5.385883721589567"/>
    <s v="43.52750994092799"/>
    <s v="75.14491224006824"/>
    <s v="12.837250599326312"/>
    <n v="710080383"/>
    <x v="0"/>
    <n v="3.2101269999999999E-4"/>
    <x v="0"/>
  </r>
  <r>
    <n v="43"/>
    <n v="0"/>
    <n v="2"/>
    <n v="3"/>
    <n v="2"/>
    <n v="4"/>
    <n v="0"/>
    <n v="36"/>
    <n v="4"/>
    <n v="3"/>
    <n v="2"/>
    <n v="2325"/>
    <n v="1662"/>
    <n v="663"/>
    <n v="0.8"/>
    <n v="4471"/>
    <n v="83"/>
    <n v="0.80400000000000005"/>
    <n v="0.71499999999999997"/>
    <n v="1.7485999999999999E-4"/>
    <n v="0.99983"/>
    <s v="73.83774201495176"/>
    <s v="18.88493738805892"/>
    <s v="78.38559315878044"/>
    <s v="14.879171405463827"/>
    <n v="713345508"/>
    <x v="0"/>
    <n v="3.2101269999999999E-4"/>
    <x v="0"/>
  </r>
  <r>
    <n v="56"/>
    <n v="0"/>
    <n v="2"/>
    <n v="2"/>
    <n v="0"/>
    <n v="4"/>
    <n v="0"/>
    <n v="45"/>
    <n v="4"/>
    <n v="2"/>
    <n v="4"/>
    <n v="1960"/>
    <n v="1690"/>
    <n v="270"/>
    <n v="0.63"/>
    <n v="3870"/>
    <n v="67"/>
    <n v="0.55800000000000005"/>
    <n v="0.86199999999999999"/>
    <n v="3.2655999999999999E-4"/>
    <n v="0.99966999999999995"/>
    <s v="15.532279848232408"/>
    <s v="32.32023402696789"/>
    <s v="26.91477859419706"/>
    <s v="2.0522288393363683"/>
    <n v="708614058"/>
    <x v="0"/>
    <n v="3.2914013999999999E-4"/>
    <x v="0"/>
  </r>
  <r>
    <n v="44"/>
    <n v="1"/>
    <n v="4"/>
    <n v="6"/>
    <n v="1"/>
    <n v="2"/>
    <n v="0"/>
    <n v="32"/>
    <n v="4"/>
    <n v="3"/>
    <n v="3"/>
    <n v="5175"/>
    <n v="0"/>
    <n v="5175"/>
    <n v="0.72"/>
    <n v="14304"/>
    <n v="99"/>
    <n v="0.76800000000000002"/>
    <n v="0"/>
    <n v="3.4872000000000001E-4"/>
    <n v="0.99965000000000004"/>
    <n v="48.988432465817397"/>
    <s v="0.4866640932243505"/>
    <s v="22.538594033045904"/>
    <s v="5.569567343003524"/>
    <n v="719701383"/>
    <x v="0"/>
    <n v="7.5047980000000002E-4"/>
    <x v="0"/>
  </r>
  <r>
    <n v="43"/>
    <n v="0"/>
    <n v="5"/>
    <n v="2"/>
    <n v="2"/>
    <n v="5"/>
    <n v="0"/>
    <n v="34"/>
    <n v="6"/>
    <n v="6"/>
    <n v="3"/>
    <n v="4607"/>
    <n v="2440"/>
    <n v="2167"/>
    <n v="0.64600000000000002"/>
    <n v="4825"/>
    <n v="77"/>
    <n v="0.878"/>
    <n v="0.53"/>
    <n v="2.4655E-4"/>
    <n v="0.99975000000000003"/>
    <s v="9.777763783994429"/>
    <s v="67.36999861498045"/>
    <s v="90.48710353204832"/>
    <s v="5.7546273882747645"/>
    <n v="719592483"/>
    <x v="0"/>
    <n v="3.2101269999999999E-4"/>
    <x v="0"/>
  </r>
  <r>
    <n v="58"/>
    <n v="0"/>
    <n v="0"/>
    <n v="3"/>
    <n v="1"/>
    <n v="4"/>
    <n v="0"/>
    <n v="36"/>
    <n v="3"/>
    <n v="2"/>
    <n v="2"/>
    <n v="7418"/>
    <n v="396"/>
    <n v="7022"/>
    <n v="0.82599999999999996"/>
    <n v="911"/>
    <n v="26"/>
    <n v="1"/>
    <n v="5.2999999999999999E-2"/>
    <n v="0.98958000000000002"/>
    <n v="1.042E-2"/>
    <s v="21.920951134603705"/>
    <n v="25.593735758310601"/>
    <s v="26.28277784378348"/>
    <s v="2.6934668549490066"/>
    <n v="711159108"/>
    <x v="1"/>
    <n v="0.99798929999999997"/>
    <x v="1"/>
  </r>
  <r>
    <n v="50"/>
    <n v="1"/>
    <n v="3"/>
    <n v="5"/>
    <n v="2"/>
    <n v="0"/>
    <n v="0"/>
    <n v="36"/>
    <n v="1"/>
    <n v="2"/>
    <n v="3"/>
    <n v="7970"/>
    <n v="2282"/>
    <n v="5688"/>
    <n v="0.28000000000000003"/>
    <n v="1872"/>
    <n v="41"/>
    <n v="0.20599999999999999"/>
    <n v="0.28599999999999998"/>
    <n v="0.99512999999999996"/>
    <n v="4.8712599999999997E-3"/>
    <s v="16.140229227335517"/>
    <s v="33.69250139879691"/>
    <s v="69.27386130504782"/>
    <s v="14.978436355783044"/>
    <n v="714102183"/>
    <x v="1"/>
    <n v="0.99578226000000003"/>
    <x v="1"/>
  </r>
  <r>
    <n v="54"/>
    <n v="1"/>
    <n v="3"/>
    <n v="4"/>
    <n v="1"/>
    <n v="0"/>
    <n v="0"/>
    <n v="42"/>
    <n v="6"/>
    <n v="3"/>
    <n v="4"/>
    <n v="3092"/>
    <n v="2165"/>
    <n v="927"/>
    <n v="0.67600000000000005"/>
    <n v="1369"/>
    <n v="37"/>
    <n v="0.54200000000000004"/>
    <n v="0.7"/>
    <n v="6.2998000000000004E-4"/>
    <n v="0.99936999999999998"/>
    <s v="51.69922914232615"/>
    <s v="10.695516905790283"/>
    <s v="27.81689264652835"/>
    <s v="1.5226410865025826"/>
    <n v="715859058"/>
    <x v="0"/>
    <n v="1.1247487999999999E-3"/>
    <x v="0"/>
  </r>
  <r>
    <n v="46"/>
    <n v="1"/>
    <n v="2"/>
    <n v="4"/>
    <n v="1"/>
    <n v="3"/>
    <n v="0"/>
    <n v="26"/>
    <n v="1"/>
    <n v="3"/>
    <n v="1"/>
    <n v="34516"/>
    <n v="714"/>
    <n v="33802"/>
    <n v="0.88300000000000001"/>
    <n v="14279"/>
    <n v="97"/>
    <n v="0.76400000000000001"/>
    <n v="2.1000000000000001E-2"/>
    <n v="1.2763999999999999E-4"/>
    <n v="0.99987000000000004"/>
    <s v="18.852204065288188"/>
    <s v="113.81187430008367"/>
    <s v="104.60599102742437"/>
    <s v="0.6183601406560106"/>
    <n v="788766933"/>
    <x v="0"/>
    <n v="6.5472092999999999E-4"/>
    <x v="0"/>
  </r>
  <r>
    <n v="43"/>
    <n v="1"/>
    <n v="3"/>
    <n v="1"/>
    <n v="2"/>
    <n v="1"/>
    <n v="0"/>
    <n v="35"/>
    <n v="2"/>
    <n v="6"/>
    <n v="3"/>
    <n v="4970"/>
    <n v="1588"/>
    <n v="3382"/>
    <n v="0.66900000000000004"/>
    <n v="4436"/>
    <n v="83"/>
    <n v="0.80400000000000005"/>
    <n v="0.32"/>
    <n v="3.5857E-4"/>
    <n v="0.99963999999999997"/>
    <s v="14.359537370556342"/>
    <s v="2.681828513984276"/>
    <s v="52.11133957514481"/>
    <s v="9.577377860832772"/>
    <n v="788290383"/>
    <x v="0"/>
    <n v="3.2101269999999999E-4"/>
    <x v="0"/>
  </r>
  <r>
    <n v="49"/>
    <n v="0"/>
    <n v="2"/>
    <n v="0"/>
    <n v="1"/>
    <n v="4"/>
    <n v="0"/>
    <n v="40"/>
    <n v="1"/>
    <n v="2"/>
    <n v="1"/>
    <n v="2096"/>
    <n v="1276"/>
    <n v="820"/>
    <n v="0.6"/>
    <n v="4926"/>
    <n v="82"/>
    <n v="0.745"/>
    <n v="0.60899999999999999"/>
    <s v="6.6734e-05"/>
    <n v="0.99992999999999999"/>
    <n v="3.3196874658043201"/>
    <s v="21.401579273729983"/>
    <s v="2.830097497438529"/>
    <s v="13.069465608962457"/>
    <n v="789492558"/>
    <x v="0"/>
    <n v="3.2101269999999999E-4"/>
    <x v="0"/>
  </r>
  <r>
    <n v="53"/>
    <n v="1"/>
    <n v="3"/>
    <n v="4"/>
    <n v="1"/>
    <n v="3"/>
    <n v="0"/>
    <n v="47"/>
    <n v="5"/>
    <n v="2"/>
    <n v="1"/>
    <n v="9106"/>
    <n v="975"/>
    <n v="8131"/>
    <n v="0.58799999999999997"/>
    <n v="3863"/>
    <n v="74"/>
    <n v="0.64400000000000002"/>
    <n v="0.107"/>
    <s v="8.381e-05"/>
    <n v="0.99992000000000003"/>
    <s v="16.39496404985212"/>
    <s v="8.773277085469926"/>
    <s v="14.584792620219403"/>
    <s v="4.1114208913887325"/>
    <n v="794967408"/>
    <x v="0"/>
    <n v="3.9241477000000001E-4"/>
    <x v="0"/>
  </r>
  <r>
    <n v="39"/>
    <n v="1"/>
    <n v="3"/>
    <n v="6"/>
    <n v="2"/>
    <n v="1"/>
    <n v="0"/>
    <n v="24"/>
    <n v="3"/>
    <n v="1"/>
    <n v="4"/>
    <n v="4562"/>
    <n v="1721"/>
    <n v="2841"/>
    <n v="0.89600000000000002"/>
    <n v="1896"/>
    <n v="50"/>
    <n v="1.5"/>
    <n v="0.377"/>
    <n v="1.8024999999999999E-4"/>
    <n v="0.99982000000000004"/>
    <s v="3.626179895457548"/>
    <s v="55.50879864912588"/>
    <s v="58.62320236174339"/>
    <s v="1.329616309748057"/>
    <n v="712940508"/>
    <x v="0"/>
    <n v="9.0978643999999997E-4"/>
    <x v="0"/>
  </r>
  <r>
    <n v="52"/>
    <n v="0"/>
    <n v="3"/>
    <n v="3"/>
    <n v="1"/>
    <n v="1"/>
    <n v="0"/>
    <n v="47"/>
    <n v="2"/>
    <n v="2"/>
    <n v="3"/>
    <n v="8018"/>
    <n v="134"/>
    <n v="7884"/>
    <n v="0.71699999999999997"/>
    <n v="2409"/>
    <n v="38"/>
    <n v="0.31"/>
    <n v="1.7000000000000001E-2"/>
    <n v="0.99485000000000001"/>
    <n v="5.1500000000000001E-3"/>
    <s v="21.43451800620471"/>
    <s v="28.028921019932486"/>
    <s v="16.025057711296128"/>
    <s v="3.912951862524232"/>
    <n v="805313808"/>
    <x v="1"/>
    <n v="0.99876772999999996"/>
    <x v="1"/>
  </r>
  <r>
    <n v="36"/>
    <n v="0"/>
    <n v="0"/>
    <n v="6"/>
    <n v="1"/>
    <n v="4"/>
    <n v="0"/>
    <n v="24"/>
    <n v="4"/>
    <n v="3"/>
    <n v="2"/>
    <n v="2570"/>
    <n v="2230"/>
    <n v="340"/>
    <n v="0.68600000000000005"/>
    <n v="1755"/>
    <n v="42"/>
    <n v="0.44800000000000001"/>
    <n v="0.86799999999999999"/>
    <n v="1.6966E-4"/>
    <n v="0.99983"/>
    <n v="9.3890105578731795"/>
    <s v="5.907257477413279"/>
    <n v="70.494338285628999"/>
    <s v="5.4408427440978935"/>
    <n v="787504158"/>
    <x v="0"/>
    <n v="1.2315542E-3"/>
    <x v="0"/>
  </r>
  <r>
    <n v="50"/>
    <n v="0"/>
    <n v="0"/>
    <n v="2"/>
    <n v="1"/>
    <n v="4"/>
    <n v="0"/>
    <n v="36"/>
    <n v="3"/>
    <n v="3"/>
    <n v="3"/>
    <n v="1438.3"/>
    <n v="0"/>
    <n v="1438.3"/>
    <n v="0.71799999999999997"/>
    <n v="3800"/>
    <n v="69"/>
    <n v="0.53300000000000003"/>
    <n v="0"/>
    <n v="2.5960000000000002E-4"/>
    <n v="0.99973999999999996"/>
    <s v="15.685430814106867"/>
    <s v="51.20131894417947"/>
    <s v="4.353348541866369"/>
    <s v="4.852816927810146"/>
    <n v="715941633"/>
    <x v="0"/>
    <n v="7.9661230000000003E-4"/>
    <x v="0"/>
  </r>
  <r>
    <n v="57"/>
    <n v="1"/>
    <n v="2"/>
    <n v="6"/>
    <n v="1"/>
    <n v="0"/>
    <n v="0"/>
    <n v="45"/>
    <n v="5"/>
    <n v="3"/>
    <n v="3"/>
    <n v="5266"/>
    <n v="0"/>
    <n v="5266"/>
    <n v="1.702"/>
    <n v="1516"/>
    <n v="29"/>
    <n v="1.6359999999999999"/>
    <n v="0"/>
    <n v="3.3251E-4"/>
    <n v="0.99966999999999995"/>
    <s v="11.682457125051505"/>
    <n v="85.954590700847007"/>
    <s v="34.516153061822955"/>
    <s v="15.135687268930376"/>
    <n v="778992108"/>
    <x v="0"/>
    <n v="3.1488503E-3"/>
    <x v="0"/>
  </r>
  <r>
    <n v="35"/>
    <n v="0"/>
    <n v="3"/>
    <n v="2"/>
    <n v="1"/>
    <n v="4"/>
    <n v="0"/>
    <n v="27"/>
    <n v="6"/>
    <n v="2"/>
    <n v="4"/>
    <n v="2926"/>
    <n v="1346"/>
    <n v="1580"/>
    <n v="0.83399999999999996"/>
    <n v="1851"/>
    <n v="48"/>
    <n v="0.45500000000000002"/>
    <n v="0.46"/>
    <n v="3.3886000000000002E-4"/>
    <n v="0.99965999999999999"/>
    <s v="7.750426897741914"/>
    <n v="36.8945243312901"/>
    <s v="31.218239935176992"/>
    <s v="13.465109914734716"/>
    <n v="714772758"/>
    <x v="0"/>
    <n v="1.1982243E-3"/>
    <x v="0"/>
  </r>
  <r>
    <n v="60"/>
    <n v="1"/>
    <n v="0"/>
    <n v="5"/>
    <n v="1"/>
    <n v="2"/>
    <n v="0"/>
    <n v="55"/>
    <n v="6"/>
    <n v="1"/>
    <n v="2"/>
    <n v="6479"/>
    <n v="1393"/>
    <n v="5086"/>
    <n v="0.46800000000000003"/>
    <n v="1618"/>
    <n v="47"/>
    <n v="0.95799999999999996"/>
    <n v="0.215"/>
    <s v="4.8595e-05"/>
    <n v="0.99995000000000001"/>
    <s v="3.7523036326538417"/>
    <s v="13.374010396240852"/>
    <n v="70.045366998245399"/>
    <s v="10.745531600198646"/>
    <n v="814497483"/>
    <x v="0"/>
    <n v="9.8706899999999992E-4"/>
    <x v="0"/>
  </r>
  <r>
    <n v="43"/>
    <n v="1"/>
    <n v="4"/>
    <n v="3"/>
    <n v="1"/>
    <n v="3"/>
    <n v="0"/>
    <n v="35"/>
    <n v="2"/>
    <n v="3"/>
    <n v="2"/>
    <n v="10588"/>
    <n v="503"/>
    <n v="10085"/>
    <n v="0.91800000000000004"/>
    <n v="7886"/>
    <n v="70"/>
    <n v="0.75"/>
    <n v="4.8000000000000001E-2"/>
    <n v="0.99458000000000002"/>
    <n v="5.4200000000000003E-3"/>
    <s v="43.38137874225922"/>
    <s v="39.38801632265136"/>
    <s v="137.28582465172272"/>
    <s v="15.00021267723531"/>
    <n v="713632983"/>
    <x v="1"/>
    <n v="0.9954307"/>
    <x v="1"/>
  </r>
  <r>
    <n v="38"/>
    <n v="0"/>
    <n v="3"/>
    <n v="3"/>
    <n v="2"/>
    <n v="4"/>
    <n v="0"/>
    <n v="26"/>
    <n v="2"/>
    <n v="3"/>
    <n v="0"/>
    <n v="2920"/>
    <n v="2426"/>
    <n v="494"/>
    <n v="0.98299999999999998"/>
    <n v="2750"/>
    <n v="41"/>
    <n v="0.36699999999999999"/>
    <n v="0.83099999999999996"/>
    <n v="0.98528000000000004"/>
    <n v="1.472E-2"/>
    <s v="43.88613991986841"/>
    <s v="86.00152732365974"/>
    <s v="53.54706191123873"/>
    <s v="3.225942281099853"/>
    <n v="708190158"/>
    <x v="1"/>
    <n v="0.99631893999999999"/>
    <x v="1"/>
  </r>
  <r>
    <n v="55"/>
    <n v="1"/>
    <n v="1"/>
    <n v="0"/>
    <n v="2"/>
    <n v="0"/>
    <n v="0"/>
    <n v="42"/>
    <n v="6"/>
    <n v="2"/>
    <n v="3"/>
    <n v="3515"/>
    <n v="2517"/>
    <n v="998"/>
    <n v="1.0509999999999999"/>
    <n v="4313"/>
    <n v="72"/>
    <n v="0.8"/>
    <n v="0.71599999999999997"/>
    <n v="1.7469999999999999E-4"/>
    <n v="0.99983"/>
    <s v="8.323567133381367"/>
    <s v="36.06272120345862"/>
    <s v="73.88489269023395"/>
    <s v="21.76023597598889"/>
    <n v="719491233"/>
    <x v="0"/>
    <n v="3.4813132000000003E-4"/>
    <x v="0"/>
  </r>
  <r>
    <n v="50"/>
    <n v="1"/>
    <n v="3"/>
    <n v="0"/>
    <n v="2"/>
    <n v="1"/>
    <n v="0"/>
    <n v="36"/>
    <n v="3"/>
    <n v="2"/>
    <n v="2"/>
    <n v="3069"/>
    <n v="1881"/>
    <n v="1188"/>
    <n v="1.111"/>
    <n v="2909"/>
    <n v="58"/>
    <n v="1.522"/>
    <n v="0.61299999999999999"/>
    <n v="1.1483E-4"/>
    <n v="0.99988999999999995"/>
    <s v="0.7962633696229227"/>
    <s v="29.23696911470804"/>
    <s v="82.68398697221853"/>
    <s v="7.027685864760132"/>
    <n v="718350033"/>
    <x v="0"/>
    <n v="4.1188046E-4"/>
    <x v="0"/>
  </r>
  <r>
    <n v="52"/>
    <n v="0"/>
    <n v="1"/>
    <n v="2"/>
    <n v="2"/>
    <n v="4"/>
    <n v="0"/>
    <n v="47"/>
    <n v="3"/>
    <n v="3"/>
    <n v="4"/>
    <n v="1842"/>
    <n v="625"/>
    <n v="1217"/>
    <n v="0.72899999999999998"/>
    <n v="2650"/>
    <n v="43"/>
    <n v="0.48299999999999998"/>
    <n v="0.33900000000000002"/>
    <n v="0.99794000000000005"/>
    <n v="2.05937E-3"/>
    <s v="49.276247200023285"/>
    <s v="36.27491805991834"/>
    <s v="18.466476817824137"/>
    <s v="4.739340735150986"/>
    <n v="809565183"/>
    <x v="1"/>
    <n v="0.99757450000000003"/>
    <x v="1"/>
  </r>
  <r>
    <n v="44"/>
    <n v="1"/>
    <n v="3"/>
    <n v="4"/>
    <n v="1"/>
    <n v="1"/>
    <n v="0"/>
    <n v="36"/>
    <n v="5"/>
    <n v="2"/>
    <n v="2"/>
    <n v="11366"/>
    <n v="2109"/>
    <n v="9257"/>
    <n v="0.99299999999999999"/>
    <n v="3495"/>
    <n v="70"/>
    <n v="0.79500000000000004"/>
    <n v="0.186"/>
    <n v="1.3897000000000001E-4"/>
    <n v="0.99985999999999997"/>
    <s v="44.24974138791462"/>
    <s v="21.073397122335766"/>
    <s v="66.16628951598814"/>
    <s v="9.926471028381329"/>
    <n v="721268133"/>
    <x v="0"/>
    <n v="3.3750932000000002E-4"/>
    <x v="0"/>
  </r>
  <r>
    <n v="38"/>
    <n v="0"/>
    <n v="3"/>
    <n v="6"/>
    <n v="2"/>
    <n v="4"/>
    <n v="0"/>
    <n v="30"/>
    <n v="6"/>
    <n v="2"/>
    <n v="2"/>
    <n v="3730"/>
    <n v="2517"/>
    <n v="1213"/>
    <n v="0.85299999999999998"/>
    <n v="858"/>
    <n v="22"/>
    <n v="0.46700000000000003"/>
    <n v="0.67500000000000004"/>
    <n v="0.99236000000000002"/>
    <n v="7.6400000000000001E-3"/>
    <s v="23.269740297504036"/>
    <s v="15.407114793755946"/>
    <s v="14.17766627385132"/>
    <s v="12.51168223156392"/>
    <n v="712240083"/>
    <x v="1"/>
    <n v="0.99519159999999995"/>
    <x v="1"/>
  </r>
  <r>
    <n v="55"/>
    <n v="0"/>
    <n v="3"/>
    <n v="2"/>
    <n v="2"/>
    <n v="1"/>
    <n v="0"/>
    <n v="37"/>
    <n v="5"/>
    <n v="1"/>
    <n v="2"/>
    <n v="3187"/>
    <n v="1437"/>
    <n v="1750"/>
    <n v="0.79"/>
    <n v="4511"/>
    <n v="82"/>
    <n v="0.82199999999999995"/>
    <n v="0.45100000000000001"/>
    <s v="5.7151e-05"/>
    <n v="0.99994000000000005"/>
    <s v="3.014334378622008"/>
    <s v="7.055246876884159"/>
    <s v="15.738220041808445"/>
    <s v="14.759401347836391"/>
    <n v="779122908"/>
    <x v="0"/>
    <n v="3.2101269999999999E-4"/>
    <x v="0"/>
  </r>
  <r>
    <n v="46"/>
    <n v="1"/>
    <n v="5"/>
    <n v="0"/>
    <n v="1"/>
    <n v="1"/>
    <n v="0"/>
    <n v="41"/>
    <n v="1"/>
    <n v="3"/>
    <n v="2"/>
    <n v="3914"/>
    <n v="1683"/>
    <n v="2231"/>
    <n v="0.63600000000000001"/>
    <n v="4242"/>
    <n v="64"/>
    <n v="0.73"/>
    <n v="0.43"/>
    <n v="1.8054E-4"/>
    <n v="0.99982000000000004"/>
    <s v="39.39257473867377"/>
    <s v="5.616993363449538"/>
    <s v="38.95638620448452"/>
    <s v="8.870155075034505"/>
    <n v="814181433"/>
    <x v="0"/>
    <n v="3.3750320000000002E-4"/>
    <x v="0"/>
  </r>
  <r>
    <n v="47"/>
    <n v="1"/>
    <n v="3"/>
    <n v="6"/>
    <n v="2"/>
    <n v="3"/>
    <n v="0"/>
    <n v="37"/>
    <n v="3"/>
    <n v="1"/>
    <n v="5"/>
    <n v="24580"/>
    <n v="2517"/>
    <n v="22063"/>
    <n v="0.50900000000000001"/>
    <n v="3069"/>
    <n v="62"/>
    <n v="0.77100000000000002"/>
    <n v="0.10199999999999999"/>
    <n v="3.1189E-4"/>
    <n v="0.99968999999999997"/>
    <s v="7.672997965525783"/>
    <s v="11.798493912677154"/>
    <s v="16.166437636314647"/>
    <s v="22.33706166884405"/>
    <n v="714670533"/>
    <x v="0"/>
    <n v="4.0903274000000001E-4"/>
    <x v="0"/>
  </r>
  <r>
    <n v="53"/>
    <n v="0"/>
    <n v="3"/>
    <n v="2"/>
    <n v="2"/>
    <n v="1"/>
    <n v="0"/>
    <n v="40"/>
    <n v="6"/>
    <n v="3"/>
    <n v="2"/>
    <n v="1625"/>
    <n v="0"/>
    <n v="1625"/>
    <n v="0.68899999999999995"/>
    <n v="2314"/>
    <n v="43"/>
    <n v="0.433"/>
    <n v="0"/>
    <n v="0.99467000000000005"/>
    <n v="5.3299999999999997E-3"/>
    <s v="21.740130089862134"/>
    <s v="32.56360650746627"/>
    <s v="2.5299162749869737"/>
    <s v="10.222528493751124"/>
    <n v="771342183"/>
    <x v="1"/>
    <n v="0.99873226999999998"/>
    <x v="1"/>
  </r>
  <r>
    <n v="63"/>
    <n v="0"/>
    <n v="0"/>
    <n v="0"/>
    <n v="2"/>
    <n v="5"/>
    <n v="0"/>
    <n v="55"/>
    <n v="5"/>
    <n v="1"/>
    <n v="2"/>
    <n v="14963"/>
    <n v="1616"/>
    <n v="13347"/>
    <n v="0.755"/>
    <n v="3242"/>
    <n v="58"/>
    <n v="1"/>
    <n v="0.108"/>
    <s v="4.595e-05"/>
    <n v="0.99995000000000001"/>
    <s v="35.95139721121939"/>
    <s v="43.19788702875765"/>
    <s v="14.809639861438235"/>
    <s v="5.374306788542763"/>
    <n v="710915358"/>
    <x v="0"/>
    <n v="3.9187474999999999E-4"/>
    <x v="0"/>
  </r>
  <r>
    <n v="40"/>
    <n v="0"/>
    <n v="2"/>
    <n v="3"/>
    <n v="2"/>
    <n v="5"/>
    <n v="0"/>
    <n v="30"/>
    <n v="6"/>
    <n v="3"/>
    <n v="4"/>
    <n v="6479"/>
    <n v="0"/>
    <n v="6479"/>
    <n v="0.94599999999999995"/>
    <n v="2539"/>
    <n v="42"/>
    <n v="0.5"/>
    <n v="0"/>
    <n v="0.99800999999999995"/>
    <n v="1.9885300000000001E-3"/>
    <s v="46.55351664142697"/>
    <s v="8.989734805339323"/>
    <s v="58.75373039322789"/>
    <s v="11.242722463842789"/>
    <n v="710729358"/>
    <x v="1"/>
    <n v="0.99837339999999997"/>
    <x v="1"/>
  </r>
  <r>
    <n v="53"/>
    <n v="0"/>
    <n v="2"/>
    <n v="0"/>
    <n v="1"/>
    <n v="4"/>
    <n v="0"/>
    <n v="43"/>
    <n v="2"/>
    <n v="1"/>
    <n v="3"/>
    <n v="2160"/>
    <n v="2057"/>
    <n v="103"/>
    <n v="0.85799999999999998"/>
    <n v="4518"/>
    <n v="93"/>
    <n v="0.78800000000000003"/>
    <n v="0.95199999999999996"/>
    <s v="9.0064e-05"/>
    <n v="0.99990999999999997"/>
    <s v="62.55815851020475"/>
    <s v="31.88611351329887"/>
    <n v="88.188756071699999"/>
    <s v="27.078527922813336"/>
    <n v="710742408"/>
    <x v="0"/>
    <n v="3.2101269999999999E-4"/>
    <x v="0"/>
  </r>
  <r>
    <n v="43"/>
    <n v="0"/>
    <n v="3"/>
    <n v="0"/>
    <n v="1"/>
    <n v="4"/>
    <n v="0"/>
    <n v="36"/>
    <n v="3"/>
    <n v="2"/>
    <n v="4"/>
    <n v="2227"/>
    <n v="1394"/>
    <n v="833"/>
    <n v="1.4810000000000001"/>
    <n v="1972"/>
    <n v="41"/>
    <n v="0.86399999999999999"/>
    <n v="0.626"/>
    <n v="3.2945000000000001E-4"/>
    <n v="0.99966999999999995"/>
    <s v="14.944585531116791"/>
    <s v="17.709719059661293"/>
    <s v="158.42837613208937"/>
    <s v="25.812414724327013"/>
    <n v="709366458"/>
    <x v="0"/>
    <n v="1.0255767000000001E-3"/>
    <x v="0"/>
  </r>
  <r>
    <n v="35"/>
    <n v="0"/>
    <n v="3"/>
    <n v="2"/>
    <n v="2"/>
    <n v="1"/>
    <n v="0"/>
    <n v="28"/>
    <n v="5"/>
    <n v="6"/>
    <n v="2"/>
    <n v="3250"/>
    <n v="1560"/>
    <n v="1690"/>
    <n v="0.63400000000000001"/>
    <n v="4673"/>
    <n v="73"/>
    <n v="0.69799999999999995"/>
    <n v="0.48"/>
    <n v="1.4734000000000001E-4"/>
    <n v="0.99985000000000002"/>
    <s v="32.53699567915342"/>
    <s v="15.359784904920048"/>
    <s v="29.00079178184956"/>
    <s v="4.7291792397139485"/>
    <n v="757761033"/>
    <x v="0"/>
    <n v="3.2101269999999999E-4"/>
    <x v="0"/>
  </r>
  <r>
    <n v="60"/>
    <n v="0"/>
    <n v="0"/>
    <n v="5"/>
    <n v="2"/>
    <n v="4"/>
    <n v="0"/>
    <n v="48"/>
    <n v="3"/>
    <n v="2"/>
    <n v="3"/>
    <n v="3302"/>
    <n v="2517"/>
    <n v="785"/>
    <n v="0.78500000000000003"/>
    <n v="4613"/>
    <n v="85"/>
    <n v="0.93200000000000005"/>
    <n v="0.76200000000000001"/>
    <n v="1.6891000000000001E-4"/>
    <n v="0.99983"/>
    <s v="25.831842823552297"/>
    <s v="11.80045778830204"/>
    <s v="147.1951702085754"/>
    <s v="12.842487373879283"/>
    <n v="717822108"/>
    <x v="0"/>
    <n v="3.4692350000000002E-4"/>
    <x v="0"/>
  </r>
  <r>
    <n v="31"/>
    <n v="1"/>
    <n v="0"/>
    <n v="2"/>
    <n v="2"/>
    <n v="1"/>
    <n v="0"/>
    <n v="24"/>
    <n v="3"/>
    <n v="1"/>
    <n v="4"/>
    <n v="12050"/>
    <n v="1732"/>
    <n v="10318"/>
    <n v="0.80400000000000005"/>
    <n v="2015"/>
    <n v="46"/>
    <n v="0.70399999999999996"/>
    <n v="0.14399999999999999"/>
    <n v="1.3562000000000001E-4"/>
    <n v="0.99985999999999997"/>
    <s v="68.97299855841122"/>
    <s v="6.612958589878746"/>
    <s v="141.6571775813609"/>
    <s v="1.7999496495950698"/>
    <n v="716089983"/>
    <x v="0"/>
    <n v="1.2402305999999999E-3"/>
    <x v="0"/>
  </r>
  <r>
    <n v="26"/>
    <n v="0"/>
    <n v="1"/>
    <n v="6"/>
    <n v="2"/>
    <n v="1"/>
    <n v="0"/>
    <n v="14"/>
    <n v="4"/>
    <n v="2"/>
    <n v="4"/>
    <n v="5645"/>
    <n v="2324"/>
    <n v="3321"/>
    <n v="0.65500000000000003"/>
    <n v="2482"/>
    <n v="57"/>
    <n v="0.72699999999999998"/>
    <n v="0.41199999999999998"/>
    <n v="3.3691999999999999E-4"/>
    <n v="0.99965999999999999"/>
    <s v="1.7728547678083255"/>
    <s v="26.50699208381439"/>
    <n v="4.6161409422046296"/>
    <s v="10.294731315261592"/>
    <n v="708173433"/>
    <x v="0"/>
    <n v="5.4921950000000005E-4"/>
    <x v="0"/>
  </r>
  <r>
    <n v="53"/>
    <n v="1"/>
    <n v="2"/>
    <n v="6"/>
    <n v="0"/>
    <n v="3"/>
    <n v="0"/>
    <n v="48"/>
    <n v="2"/>
    <n v="1"/>
    <n v="2"/>
    <n v="15594"/>
    <n v="1590"/>
    <n v="14004"/>
    <n v="0.67900000000000005"/>
    <n v="13016"/>
    <n v="118"/>
    <n v="0.61599999999999999"/>
    <n v="0.10199999999999999"/>
    <s v="6.054e-05"/>
    <n v="0.99994000000000005"/>
    <s v="20.672372934450657"/>
    <s v="132.91212196548707"/>
    <s v="111.0501845905982"/>
    <n v="8.5565767781516602"/>
    <n v="818239983"/>
    <x v="0"/>
    <n v="3.5533762999999998E-4"/>
    <x v="0"/>
  </r>
  <r>
    <n v="49"/>
    <n v="1"/>
    <n v="5"/>
    <n v="1"/>
    <n v="2"/>
    <n v="1"/>
    <n v="0"/>
    <n v="43"/>
    <n v="3"/>
    <n v="1"/>
    <n v="1"/>
    <n v="4951"/>
    <n v="2002"/>
    <n v="2949"/>
    <n v="0.68400000000000005"/>
    <n v="4192"/>
    <n v="62"/>
    <n v="0.55000000000000004"/>
    <n v="0.40400000000000003"/>
    <s v="4.9622e-05"/>
    <n v="0.99995000000000001"/>
    <s v="4.654481527990741"/>
    <s v="29.436720707116077"/>
    <s v="44.46672955300237"/>
    <n v="4.3973727025039304"/>
    <n v="714575208"/>
    <x v="0"/>
    <n v="3.5672840999999999E-4"/>
    <x v="0"/>
  </r>
  <r>
    <n v="40"/>
    <n v="0"/>
    <n v="4"/>
    <n v="6"/>
    <n v="2"/>
    <n v="4"/>
    <n v="0"/>
    <n v="32"/>
    <n v="6"/>
    <n v="1"/>
    <n v="1"/>
    <n v="2594"/>
    <n v="2159"/>
    <n v="435"/>
    <n v="0.79200000000000004"/>
    <n v="3872"/>
    <n v="71"/>
    <n v="0.51100000000000001"/>
    <n v="0.83199999999999996"/>
    <s v="3.8289e-05"/>
    <n v="0.99995999999999996"/>
    <s v="35.28001568351577"/>
    <s v="43.97921463959607"/>
    <s v="58.344514472705846"/>
    <s v="4.232112409191192"/>
    <n v="714146208"/>
    <x v="0"/>
    <n v="3.4439339999999999E-4"/>
    <x v="0"/>
  </r>
  <r>
    <n v="46"/>
    <n v="1"/>
    <n v="4"/>
    <n v="3"/>
    <n v="1"/>
    <n v="3"/>
    <n v="0"/>
    <n v="36"/>
    <n v="2"/>
    <n v="2"/>
    <n v="1"/>
    <n v="32949"/>
    <n v="1190"/>
    <n v="31759"/>
    <n v="0.66400000000000003"/>
    <n v="14892"/>
    <n v="113"/>
    <n v="0.63800000000000001"/>
    <n v="3.5999999999999997E-2"/>
    <s v="6.9982e-05"/>
    <n v="0.99992999999999999"/>
    <s v="25.402088553819816"/>
    <s v="63.85729644557895"/>
    <s v="69.43774094266513"/>
    <s v="5.746378579066101"/>
    <n v="710845308"/>
    <x v="0"/>
    <n v="3.9550033E-4"/>
    <x v="0"/>
  </r>
  <r>
    <n v="39"/>
    <n v="0"/>
    <n v="2"/>
    <n v="5"/>
    <n v="1"/>
    <n v="4"/>
    <n v="0"/>
    <n v="26"/>
    <n v="4"/>
    <n v="2"/>
    <n v="5"/>
    <n v="5484"/>
    <n v="2517"/>
    <n v="2967"/>
    <n v="0.48899999999999999"/>
    <n v="2025"/>
    <n v="51"/>
    <n v="0.378"/>
    <n v="0.45900000000000002"/>
    <n v="5.8091000000000002E-4"/>
    <n v="0.99941999999999998"/>
    <s v="7.231572182549745"/>
    <n v="2.6014166992740302"/>
    <s v="51.63561544077905"/>
    <s v="13.26417197354043"/>
    <n v="709334658"/>
    <x v="0"/>
    <n v="1.1852566E-3"/>
    <x v="0"/>
  </r>
  <r>
    <n v="55"/>
    <n v="1"/>
    <n v="2"/>
    <n v="6"/>
    <n v="0"/>
    <n v="0"/>
    <n v="0"/>
    <n v="50"/>
    <n v="5"/>
    <n v="4"/>
    <n v="3"/>
    <n v="24250"/>
    <n v="278"/>
    <n v="23972"/>
    <n v="0.64700000000000002"/>
    <n v="2153"/>
    <n v="41"/>
    <n v="0.57699999999999996"/>
    <n v="1.0999999999999999E-2"/>
    <n v="0.99751999999999996"/>
    <n v="2.48146E-3"/>
    <n v="4.5930463290986498"/>
    <s v="89.31319562192175"/>
    <s v="9.970911352553674"/>
    <s v="4.679263063338775"/>
    <n v="814191333"/>
    <x v="1"/>
    <n v="0.99873226999999998"/>
    <x v="1"/>
  </r>
  <r>
    <n v="43"/>
    <n v="1"/>
    <n v="3"/>
    <n v="2"/>
    <n v="2"/>
    <n v="3"/>
    <n v="0"/>
    <n v="31"/>
    <n v="6"/>
    <n v="2"/>
    <n v="4"/>
    <n v="12165"/>
    <n v="0"/>
    <n v="12165"/>
    <n v="1.1599999999999999"/>
    <n v="4066"/>
    <n v="74"/>
    <n v="0.68200000000000005"/>
    <n v="0"/>
    <n v="3.3886000000000002E-4"/>
    <n v="0.99965999999999999"/>
    <s v="20.857236008837187"/>
    <s v="33.28633357359483"/>
    <s v="48.39183141997742"/>
    <s v="2.4006617812659754"/>
    <n v="715759458"/>
    <x v="0"/>
    <n v="7.4699510000000001E-4"/>
    <x v="0"/>
  </r>
  <r>
    <n v="38"/>
    <n v="1"/>
    <n v="2"/>
    <n v="2"/>
    <n v="1"/>
    <n v="3"/>
    <n v="0"/>
    <n v="33"/>
    <n v="4"/>
    <n v="3"/>
    <n v="2"/>
    <n v="16059"/>
    <n v="618"/>
    <n v="15441"/>
    <n v="0.82399999999999995"/>
    <n v="1357"/>
    <n v="26"/>
    <n v="1"/>
    <n v="3.7999999999999999E-2"/>
    <n v="1.7987E-4"/>
    <n v="0.99982000000000004"/>
    <s v="14.172869386140626"/>
    <s v="4.696282877735914"/>
    <s v="37.922096223297984"/>
    <s v="3.875561951397973"/>
    <n v="813247083"/>
    <x v="0"/>
    <n v="2.3098576E-3"/>
    <x v="0"/>
  </r>
  <r>
    <n v="44"/>
    <n v="0"/>
    <n v="3"/>
    <n v="6"/>
    <n v="2"/>
    <n v="5"/>
    <n v="0"/>
    <n v="34"/>
    <n v="2"/>
    <n v="3"/>
    <n v="3"/>
    <n v="26021"/>
    <n v="0"/>
    <n v="26021"/>
    <n v="1.04"/>
    <n v="8898"/>
    <n v="60"/>
    <n v="0.53800000000000003"/>
    <n v="0"/>
    <n v="0.99711000000000005"/>
    <n v="2.8889200000000001E-3"/>
    <s v="6.980209383249152"/>
    <s v="84.54611919761851"/>
    <s v="38.11704221473985"/>
    <n v="4.8346496701729897"/>
    <n v="715150983"/>
    <x v="1"/>
    <n v="0.99549109999999996"/>
    <x v="1"/>
  </r>
  <r>
    <n v="48"/>
    <n v="1"/>
    <n v="4"/>
    <n v="5"/>
    <n v="2"/>
    <n v="1"/>
    <n v="0"/>
    <n v="37"/>
    <n v="1"/>
    <n v="3"/>
    <n v="4"/>
    <n v="5268"/>
    <n v="2191"/>
    <n v="3077"/>
    <n v="0.622"/>
    <n v="2138"/>
    <n v="40"/>
    <n v="0.42899999999999999"/>
    <n v="0.41599999999999998"/>
    <n v="0.99821000000000004"/>
    <n v="1.7930400000000001E-3"/>
    <s v="17.303206209853943"/>
    <s v="31.28166121926511"/>
    <s v="14.329201455833482"/>
    <s v="15.54376184627543"/>
    <n v="772273983"/>
    <x v="1"/>
    <n v="0.99543000000000004"/>
    <x v="1"/>
  </r>
  <r>
    <n v="52"/>
    <n v="1"/>
    <n v="1"/>
    <n v="2"/>
    <n v="2"/>
    <n v="3"/>
    <n v="0"/>
    <n v="44"/>
    <n v="3"/>
    <n v="3"/>
    <n v="1"/>
    <n v="34516"/>
    <n v="0"/>
    <n v="34516"/>
    <n v="0.55100000000000005"/>
    <n v="1737"/>
    <n v="38"/>
    <n v="0.9"/>
    <n v="0"/>
    <n v="1.0182E-4"/>
    <n v="0.99990000000000001"/>
    <s v="60.30088872263372"/>
    <s v="30.86642317695349"/>
    <s v="34.20549837435412"/>
    <n v="0.81890641273902998"/>
    <n v="717669483"/>
    <x v="0"/>
    <n v="3.5265972999999999E-3"/>
    <x v="0"/>
  </r>
  <r>
    <n v="41"/>
    <n v="1"/>
    <n v="4"/>
    <n v="5"/>
    <n v="1"/>
    <n v="3"/>
    <n v="0"/>
    <n v="37"/>
    <n v="1"/>
    <n v="2"/>
    <n v="2"/>
    <n v="23250"/>
    <n v="0"/>
    <n v="23250"/>
    <n v="0.56399999999999995"/>
    <n v="2205"/>
    <n v="43"/>
    <n v="0.65400000000000003"/>
    <n v="0"/>
    <n v="0.99192000000000002"/>
    <n v="8.0800000000000004E-3"/>
    <s v="1.8817782948316328"/>
    <s v="15.453674935673387"/>
    <n v="4.4911974751205701"/>
    <s v="24.691927852185717"/>
    <n v="822132858"/>
    <x v="1"/>
    <n v="0.9985098"/>
    <x v="1"/>
  </r>
  <r>
    <n v="47"/>
    <n v="1"/>
    <n v="2"/>
    <n v="5"/>
    <n v="2"/>
    <n v="0"/>
    <n v="0"/>
    <n v="29"/>
    <n v="2"/>
    <n v="3"/>
    <n v="2"/>
    <n v="28852"/>
    <n v="1974"/>
    <n v="26878"/>
    <n v="0.71299999999999997"/>
    <n v="7432"/>
    <n v="90"/>
    <n v="0.60699999999999998"/>
    <n v="6.8000000000000005E-2"/>
    <n v="1.8494E-4"/>
    <n v="0.99982000000000004"/>
    <s v="3.666205954804971"/>
    <s v="16.208041774081256"/>
    <s v="33.32602076041319"/>
    <s v="3.638498389863386"/>
    <n v="779257233"/>
    <x v="0"/>
    <n v="4.2060707000000003E-4"/>
    <x v="0"/>
  </r>
  <r>
    <n v="54"/>
    <n v="1"/>
    <n v="2"/>
    <n v="2"/>
    <n v="0"/>
    <n v="3"/>
    <n v="0"/>
    <n v="48"/>
    <n v="2"/>
    <n v="3"/>
    <n v="2"/>
    <n v="29974"/>
    <n v="2114"/>
    <n v="27860"/>
    <n v="0.92500000000000004"/>
    <n v="15190"/>
    <n v="115"/>
    <n v="0.85499999999999998"/>
    <n v="7.0999999999999994E-2"/>
    <n v="1.7987E-4"/>
    <n v="0.99982000000000004"/>
    <s v="16.18387016394142"/>
    <n v="90.202705988332198"/>
    <s v="37.15904720961459"/>
    <s v="27.23095089366214"/>
    <n v="793449333"/>
    <x v="0"/>
    <n v="4.0555582000000002E-4"/>
    <x v="0"/>
  </r>
  <r>
    <n v="40"/>
    <n v="1"/>
    <n v="2"/>
    <n v="5"/>
    <n v="1"/>
    <n v="3"/>
    <n v="0"/>
    <n v="30"/>
    <n v="6"/>
    <n v="2"/>
    <n v="3"/>
    <n v="20798"/>
    <n v="1059"/>
    <n v="19739"/>
    <n v="1.0489999999999999"/>
    <n v="8038"/>
    <n v="90"/>
    <n v="0.83699999999999997"/>
    <n v="5.0999999999999997E-2"/>
    <n v="0.99495"/>
    <n v="5.0499999999999998E-3"/>
    <s v="61.10153823068488"/>
    <s v="12.691725176653948"/>
    <s v="21.44979135703533"/>
    <s v="6.389540580996859"/>
    <n v="708301683"/>
    <x v="1"/>
    <n v="0.98529564999999997"/>
    <x v="1"/>
  </r>
  <r>
    <n v="49"/>
    <n v="0"/>
    <n v="2"/>
    <n v="0"/>
    <n v="1"/>
    <n v="4"/>
    <n v="0"/>
    <n v="36"/>
    <n v="4"/>
    <n v="3"/>
    <n v="3"/>
    <n v="2154"/>
    <n v="1490"/>
    <n v="664"/>
    <n v="0.72699999999999998"/>
    <n v="3664"/>
    <n v="63"/>
    <n v="0.85299999999999998"/>
    <n v="0.69199999999999995"/>
    <n v="2.9410999999999999E-4"/>
    <n v="0.99970999999999999"/>
    <s v="7.390910010656088"/>
    <s v="71.25157011525086"/>
    <s v="14.05193481604372"/>
    <s v="10.360880823767522"/>
    <n v="717093858"/>
    <x v="0"/>
    <n v="3.479205E-4"/>
    <x v="0"/>
  </r>
  <r>
    <n v="47"/>
    <n v="0"/>
    <n v="5"/>
    <n v="4"/>
    <n v="2"/>
    <n v="4"/>
    <n v="0"/>
    <n v="37"/>
    <n v="2"/>
    <n v="3"/>
    <n v="3"/>
    <n v="9430"/>
    <n v="0"/>
    <n v="9430"/>
    <n v="0.68"/>
    <n v="4115"/>
    <n v="75"/>
    <n v="0.92300000000000004"/>
    <n v="0"/>
    <n v="3.6747E-4"/>
    <n v="0.99963000000000002"/>
    <s v="86.22917104775844"/>
    <s v="33.85805029171107"/>
    <s v="58.29949671679945"/>
    <s v="3.925237295346151"/>
    <n v="779218233"/>
    <x v="0"/>
    <n v="6.9517245999999998E-4"/>
    <x v="0"/>
  </r>
  <r>
    <n v="50"/>
    <n v="1"/>
    <n v="0"/>
    <n v="2"/>
    <n v="2"/>
    <n v="3"/>
    <n v="0"/>
    <n v="45"/>
    <n v="3"/>
    <n v="2"/>
    <n v="2"/>
    <n v="2135"/>
    <n v="1506"/>
    <n v="629"/>
    <n v="0.88300000000000001"/>
    <n v="4821"/>
    <n v="77"/>
    <n v="0.71099999999999997"/>
    <n v="0.70499999999999996"/>
    <s v="9.7673e-05"/>
    <n v="0.99990000000000001"/>
    <s v="66.93674689394408"/>
    <s v="36.38082985425957"/>
    <s v="15.556938983940576"/>
    <s v="5.334117851640971"/>
    <n v="804661083"/>
    <x v="0"/>
    <n v="3.2101269999999999E-4"/>
    <x v="0"/>
  </r>
  <r>
    <n v="40"/>
    <n v="1"/>
    <n v="1"/>
    <n v="6"/>
    <n v="1"/>
    <n v="2"/>
    <n v="0"/>
    <n v="27"/>
    <n v="1"/>
    <n v="3"/>
    <n v="3"/>
    <n v="2276"/>
    <n v="1372"/>
    <n v="904"/>
    <n v="0.56399999999999995"/>
    <n v="4159"/>
    <n v="67"/>
    <n v="0.71799999999999997"/>
    <n v="0.60299999999999998"/>
    <n v="3.1210999999999999E-4"/>
    <n v="0.99968999999999997"/>
    <s v="23.669003333072244"/>
    <s v="20.37869801103229"/>
    <s v="90.41178494744604"/>
    <s v="3.5928788748699434"/>
    <n v="710566533"/>
    <x v="0"/>
    <n v="3.2101269999999999E-4"/>
    <x v="0"/>
  </r>
  <r>
    <n v="57"/>
    <n v="0"/>
    <n v="3"/>
    <n v="2"/>
    <n v="1"/>
    <n v="4"/>
    <n v="0"/>
    <n v="47"/>
    <n v="4"/>
    <n v="2"/>
    <n v="3"/>
    <n v="6347"/>
    <n v="1594"/>
    <n v="4753"/>
    <n v="0.89600000000000002"/>
    <n v="1771"/>
    <n v="37"/>
    <n v="0.76200000000000001"/>
    <n v="0.251"/>
    <n v="1.9864000000000001E-4"/>
    <n v="0.99980000000000002"/>
    <s v="82.88895128484326"/>
    <s v="19.61884834708766"/>
    <s v="0.3144094380279146"/>
    <s v="10.939459574447502"/>
    <n v="714454758"/>
    <x v="0"/>
    <n v="1.0337284E-3"/>
    <x v="0"/>
  </r>
  <r>
    <n v="58"/>
    <n v="1"/>
    <n v="1"/>
    <n v="0"/>
    <n v="2"/>
    <n v="0"/>
    <n v="3"/>
    <n v="45"/>
    <n v="1"/>
    <n v="3"/>
    <n v="2"/>
    <n v="34516"/>
    <n v="0"/>
    <n v="34516"/>
    <n v="0.96399999999999997"/>
    <n v="4864"/>
    <n v="48"/>
    <n v="0.54800000000000004"/>
    <n v="0"/>
    <n v="0.99329999999999996"/>
    <n v="6.7000000000000002E-3"/>
    <s v="30.855340146664503"/>
    <s v="17.509966038987887"/>
    <s v="89.41536487166881"/>
    <s v="15.96694222598714"/>
    <n v="780450708"/>
    <x v="1"/>
    <n v="0.99845609999999996"/>
    <x v="1"/>
  </r>
  <r>
    <n v="39"/>
    <n v="0"/>
    <n v="5"/>
    <n v="6"/>
    <n v="1"/>
    <n v="1"/>
    <n v="0"/>
    <n v="31"/>
    <n v="3"/>
    <n v="3"/>
    <n v="6"/>
    <n v="3333"/>
    <n v="1867"/>
    <n v="1466"/>
    <n v="0.94699999999999995"/>
    <n v="3348"/>
    <n v="50"/>
    <n v="0.28199999999999997"/>
    <n v="0.56000000000000005"/>
    <n v="0.99944"/>
    <n v="5.6159999999999999E-4"/>
    <s v="10.642871115651625"/>
    <s v="26.58661321287785"/>
    <n v="9.8093912086874404"/>
    <s v="3.7203778578597975"/>
    <n v="716099958"/>
    <x v="1"/>
    <n v="0.99067735999999995"/>
    <x v="1"/>
  </r>
  <r>
    <n v="55"/>
    <n v="0"/>
    <n v="1"/>
    <n v="4"/>
    <n v="1"/>
    <n v="5"/>
    <n v="0"/>
    <n v="42"/>
    <n v="1"/>
    <n v="3"/>
    <n v="3"/>
    <n v="2953"/>
    <n v="1896"/>
    <n v="1057"/>
    <n v="0.81"/>
    <n v="4644"/>
    <n v="79"/>
    <n v="0.61199999999999999"/>
    <n v="0.64200000000000002"/>
    <n v="3.3410999999999998E-4"/>
    <n v="0.99966999999999995"/>
    <s v="30.696345634023405"/>
    <s v="71.99130821568376"/>
    <s v="82.11442435317387"/>
    <s v="3.171316927509872"/>
    <n v="713700258"/>
    <x v="0"/>
    <n v="3.2914013999999999E-4"/>
    <x v="0"/>
  </r>
  <r>
    <n v="44"/>
    <n v="1"/>
    <n v="4"/>
    <n v="2"/>
    <n v="2"/>
    <n v="2"/>
    <n v="0"/>
    <n v="39"/>
    <n v="2"/>
    <n v="2"/>
    <n v="3"/>
    <n v="9682"/>
    <n v="1727"/>
    <n v="7955"/>
    <n v="0.88"/>
    <n v="14991"/>
    <n v="95"/>
    <n v="0.9"/>
    <n v="0.17799999999999999"/>
    <n v="2.0076999999999999E-4"/>
    <n v="0.99980000000000002"/>
    <s v="2.6464329350523226"/>
    <s v="13.54895088642548"/>
    <s v="11.978430003126135"/>
    <s v="5.678640190466928"/>
    <n v="810261633"/>
    <x v="0"/>
    <n v="3.4656386999999997E-4"/>
    <x v="0"/>
  </r>
  <r>
    <n v="35"/>
    <n v="0"/>
    <n v="1"/>
    <n v="5"/>
    <n v="1"/>
    <n v="4"/>
    <n v="0"/>
    <n v="36"/>
    <n v="3"/>
    <n v="2"/>
    <n v="3"/>
    <n v="1438.3"/>
    <n v="670"/>
    <n v="768.3"/>
    <n v="0.90900000000000003"/>
    <n v="4321"/>
    <n v="83"/>
    <n v="0.80400000000000005"/>
    <n v="0.46600000000000003"/>
    <n v="1.8474999999999999E-4"/>
    <n v="0.99982000000000004"/>
    <s v="37.66275090970223"/>
    <s v="77.06107488109367"/>
    <s v="13.149917715413428"/>
    <s v="5.861354448142938"/>
    <n v="713629533"/>
    <x v="0"/>
    <n v="5.4678856000000002E-4"/>
    <x v="0"/>
  </r>
  <r>
    <n v="39"/>
    <n v="1"/>
    <n v="3"/>
    <n v="2"/>
    <n v="1"/>
    <n v="2"/>
    <n v="0"/>
    <n v="36"/>
    <n v="6"/>
    <n v="3"/>
    <n v="4"/>
    <n v="13049"/>
    <n v="943"/>
    <n v="12106"/>
    <n v="0.68600000000000005"/>
    <n v="3944"/>
    <n v="72"/>
    <n v="0.67400000000000004"/>
    <n v="7.1999999999999995E-2"/>
    <n v="5.3543000000000004E-4"/>
    <n v="0.99946000000000002"/>
    <s v="22.921435500895253"/>
    <s v="24.13962032220927"/>
    <s v="58.40865208702398"/>
    <s v="1.5789938199754925"/>
    <n v="716546283"/>
    <x v="0"/>
    <n v="4.3989909999999998E-4"/>
    <x v="0"/>
  </r>
  <r>
    <n v="39"/>
    <n v="0"/>
    <n v="2"/>
    <n v="6"/>
    <n v="2"/>
    <n v="4"/>
    <n v="0"/>
    <n v="25"/>
    <n v="4"/>
    <n v="2"/>
    <n v="1"/>
    <n v="1781"/>
    <n v="935"/>
    <n v="846"/>
    <n v="0.86799999999999999"/>
    <n v="5093"/>
    <n v="77"/>
    <n v="0.97399999999999998"/>
    <n v="0.52500000000000002"/>
    <s v="7.5449e-05"/>
    <n v="0.99992000000000003"/>
    <s v="3.000070587849492"/>
    <n v="38.649513920695"/>
    <s v="10.769100289098294"/>
    <s v="1.700408032613985"/>
    <n v="717954333"/>
    <x v="0"/>
    <n v="3.9522952000000002E-4"/>
    <x v="0"/>
  </r>
  <r>
    <n v="36"/>
    <n v="1"/>
    <n v="4"/>
    <n v="0"/>
    <n v="2"/>
    <n v="0"/>
    <n v="0"/>
    <n v="36"/>
    <n v="5"/>
    <n v="3"/>
    <n v="3"/>
    <n v="28200"/>
    <n v="765"/>
    <n v="27435"/>
    <n v="0.68"/>
    <n v="2507"/>
    <n v="64"/>
    <n v="0.64100000000000001"/>
    <n v="2.7E-2"/>
    <n v="3.0844999999999999E-4"/>
    <n v="0.99968999999999997"/>
    <s v="3.188074550251922"/>
    <s v="30.740979714266796"/>
    <s v="145.4556658017867"/>
    <s v="6.398975295969518"/>
    <n v="710509758"/>
    <x v="0"/>
    <n v="7.750268E-4"/>
    <x v="0"/>
  </r>
  <r>
    <n v="56"/>
    <n v="0"/>
    <n v="5"/>
    <n v="2"/>
    <n v="2"/>
    <n v="1"/>
    <n v="0"/>
    <n v="37"/>
    <n v="4"/>
    <n v="2"/>
    <n v="1"/>
    <n v="2607"/>
    <n v="1702"/>
    <n v="905"/>
    <n v="0.80200000000000005"/>
    <n v="4949"/>
    <n v="74"/>
    <n v="0.76200000000000001"/>
    <n v="0.65300000000000002"/>
    <s v="7.0865e-05"/>
    <n v="0.99992999999999999"/>
    <s v="47.68140316661683"/>
    <s v="17.670871995533123"/>
    <s v="2.2867708883665974"/>
    <n v="19.851637663322599"/>
    <n v="709071408"/>
    <x v="0"/>
    <n v="3.2101269999999999E-4"/>
    <x v="0"/>
  </r>
  <r>
    <n v="44"/>
    <n v="0"/>
    <n v="1"/>
    <n v="6"/>
    <n v="2"/>
    <n v="4"/>
    <n v="0"/>
    <n v="33"/>
    <n v="1"/>
    <n v="3"/>
    <n v="1"/>
    <n v="2211"/>
    <n v="768"/>
    <n v="1443"/>
    <n v="0.745"/>
    <n v="7527"/>
    <n v="88"/>
    <n v="0.66"/>
    <n v="0.34699999999999998"/>
    <n v="1.1192E-4"/>
    <n v="0.99988999999999995"/>
    <s v="1.0314080997361477"/>
    <s v="6.159164639932178"/>
    <s v="86.02894904777054"/>
    <s v="14.379017112643988"/>
    <n v="712918083"/>
    <x v="0"/>
    <n v="6.0351663999999995E-4"/>
    <x v="0"/>
  </r>
  <r>
    <n v="44"/>
    <n v="1"/>
    <n v="4"/>
    <n v="2"/>
    <n v="2"/>
    <n v="0"/>
    <n v="3"/>
    <n v="36"/>
    <n v="2"/>
    <n v="2"/>
    <n v="1"/>
    <n v="34516"/>
    <n v="1635"/>
    <n v="32881"/>
    <n v="0.76800000000000002"/>
    <n v="7219"/>
    <n v="86"/>
    <n v="0.56399999999999995"/>
    <n v="4.7E-2"/>
    <s v="6.5045e-05"/>
    <n v="0.99992999999999999"/>
    <n v="70.759582115459807"/>
    <s v="43.804006662085214"/>
    <s v="69.78057940672981"/>
    <s v="0.9234993505819756"/>
    <n v="711152658"/>
    <x v="0"/>
    <n v="4.2060707000000003E-4"/>
    <x v="0"/>
  </r>
  <r>
    <n v="37"/>
    <n v="0"/>
    <n v="3"/>
    <n v="6"/>
    <n v="2"/>
    <n v="5"/>
    <n v="0"/>
    <n v="29"/>
    <n v="3"/>
    <n v="2"/>
    <n v="2"/>
    <n v="8318"/>
    <n v="1945"/>
    <n v="6373"/>
    <n v="1.4870000000000001"/>
    <n v="3676"/>
    <n v="77"/>
    <n v="1.139"/>
    <n v="0.23400000000000001"/>
    <n v="1.2982E-4"/>
    <n v="0.99987000000000004"/>
    <s v="25.02440797099095"/>
    <s v="33.35831924707465"/>
    <s v="137.80367669876443"/>
    <s v="5.471084356831698"/>
    <n v="719963433"/>
    <x v="0"/>
    <n v="3.3750932000000002E-4"/>
    <x v="0"/>
  </r>
  <r>
    <n v="47"/>
    <n v="0"/>
    <n v="3"/>
    <n v="4"/>
    <n v="1"/>
    <n v="4"/>
    <n v="0"/>
    <n v="29"/>
    <n v="4"/>
    <n v="2"/>
    <n v="2"/>
    <n v="2897"/>
    <n v="638"/>
    <n v="2259"/>
    <n v="1.0409999999999999"/>
    <n v="4491"/>
    <n v="75"/>
    <n v="0.78600000000000003"/>
    <n v="0.22"/>
    <n v="1.3897000000000001E-4"/>
    <n v="0.99985999999999997"/>
    <s v="20.87363887641145"/>
    <n v="77.729591953975799"/>
    <s v="44.96685194732712"/>
    <s v="1.2574385644809682"/>
    <n v="710792733"/>
    <x v="0"/>
    <n v="5.4678856000000002E-4"/>
    <x v="0"/>
  </r>
  <r>
    <n v="52"/>
    <n v="0"/>
    <n v="3"/>
    <n v="3"/>
    <n v="1"/>
    <n v="4"/>
    <n v="0"/>
    <n v="48"/>
    <n v="4"/>
    <n v="2"/>
    <n v="2"/>
    <n v="3136"/>
    <n v="1103"/>
    <n v="2033"/>
    <n v="0.81200000000000006"/>
    <n v="4528"/>
    <n v="81"/>
    <n v="0.88400000000000001"/>
    <n v="0.35199999999999998"/>
    <n v="1.1482E-4"/>
    <n v="0.99988999999999995"/>
    <s v="42.881004836161424"/>
    <s v="20.48377736113856"/>
    <n v="51.574614402026498"/>
    <s v="6.404450291847115"/>
    <n v="825831933"/>
    <x v="0"/>
    <n v="3.2101269999999999E-4"/>
    <x v="0"/>
  </r>
  <r>
    <n v="42"/>
    <n v="1"/>
    <n v="4"/>
    <n v="2"/>
    <n v="2"/>
    <n v="1"/>
    <n v="0"/>
    <n v="36"/>
    <n v="1"/>
    <n v="1"/>
    <n v="2"/>
    <n v="6128"/>
    <n v="2239"/>
    <n v="3889"/>
    <n v="0.76800000000000002"/>
    <n v="13505"/>
    <n v="116"/>
    <n v="0.68100000000000005"/>
    <n v="0.36499999999999999"/>
    <s v="5.7762e-05"/>
    <n v="0.99994000000000005"/>
    <s v="20.57414843771103"/>
    <s v="50.24998145847479"/>
    <s v="23.63145059653661"/>
    <s v="10.433808858576672"/>
    <n v="708285108"/>
    <x v="0"/>
    <n v="3.4656386999999997E-4"/>
    <x v="0"/>
  </r>
  <r>
    <n v="44"/>
    <n v="0"/>
    <n v="3"/>
    <n v="5"/>
    <n v="1"/>
    <n v="4"/>
    <n v="0"/>
    <n v="36"/>
    <n v="2"/>
    <n v="3"/>
    <n v="3"/>
    <n v="6680"/>
    <n v="1839"/>
    <n v="4841"/>
    <n v="0.61699999999999999"/>
    <n v="7632"/>
    <n v="95"/>
    <n v="0.53200000000000003"/>
    <n v="0.27500000000000002"/>
    <n v="3.2275000000000001E-4"/>
    <n v="0.99968000000000001"/>
    <s v="47.68984573158879"/>
    <s v="40.58377692484535"/>
    <s v="13.519519452907048"/>
    <s v="12.971389903031202"/>
    <n v="708472008"/>
    <x v="0"/>
    <n v="3.7789578000000003E-4"/>
    <x v="0"/>
  </r>
  <r>
    <n v="50"/>
    <n v="0"/>
    <n v="3"/>
    <n v="1"/>
    <n v="2"/>
    <n v="1"/>
    <n v="0"/>
    <n v="42"/>
    <n v="4"/>
    <n v="3"/>
    <n v="3"/>
    <n v="3743"/>
    <n v="881"/>
    <n v="2862"/>
    <n v="0.77"/>
    <n v="4621"/>
    <n v="71"/>
    <n v="0.82099999999999995"/>
    <n v="0.23499999999999999"/>
    <n v="4.5419999999999998E-4"/>
    <n v="0.99955000000000005"/>
    <s v="23.574495083896387"/>
    <s v="8.392260481459095"/>
    <s v="157.3398935695557"/>
    <s v="7.495484383850128"/>
    <n v="711131958"/>
    <x v="0"/>
    <n v="4.2162873000000002E-4"/>
    <x v="0"/>
  </r>
  <r>
    <n v="35"/>
    <n v="1"/>
    <n v="2"/>
    <n v="5"/>
    <n v="1"/>
    <n v="4"/>
    <n v="0"/>
    <n v="36"/>
    <n v="4"/>
    <n v="3"/>
    <n v="3"/>
    <n v="3131"/>
    <n v="629"/>
    <n v="2502"/>
    <n v="0.749"/>
    <n v="1483"/>
    <n v="31"/>
    <n v="0.63200000000000001"/>
    <n v="0.20100000000000001"/>
    <n v="3.1104E-4"/>
    <n v="0.99968999999999997"/>
    <s v="5.689876447061263"/>
    <s v="61.76661711602021"/>
    <s v="2.3352598895630545"/>
    <s v="12.423257848266474"/>
    <n v="708134283"/>
    <x v="0"/>
    <n v="2.2286314000000002E-3"/>
    <x v="0"/>
  </r>
  <r>
    <n v="47"/>
    <n v="0"/>
    <n v="3"/>
    <n v="2"/>
    <n v="1"/>
    <n v="1"/>
    <n v="0"/>
    <n v="31"/>
    <n v="6"/>
    <n v="3"/>
    <n v="6"/>
    <n v="5496"/>
    <n v="0"/>
    <n v="5496"/>
    <n v="0.54800000000000004"/>
    <n v="1913"/>
    <n v="34"/>
    <n v="0.308"/>
    <n v="0"/>
    <n v="0.99939"/>
    <n v="6.1414E-4"/>
    <s v="41.30028430993751"/>
    <s v="16.48556277700237"/>
    <s v="62.663445808409904"/>
    <s v="8.517455237697089"/>
    <n v="794560833"/>
    <x v="1"/>
    <n v="0.99788460000000001"/>
    <x v="1"/>
  </r>
  <r>
    <n v="45"/>
    <n v="0"/>
    <n v="3"/>
    <n v="2"/>
    <n v="1"/>
    <n v="4"/>
    <n v="0"/>
    <n v="35"/>
    <n v="1"/>
    <n v="2"/>
    <n v="2"/>
    <n v="1438.3"/>
    <n v="834"/>
    <n v="604.29999999999995"/>
    <n v="0.63500000000000001"/>
    <n v="4976"/>
    <n v="70"/>
    <n v="0.84199999999999997"/>
    <n v="0.57999999999999996"/>
    <n v="1.1811000000000001E-4"/>
    <n v="0.99987999999999999"/>
    <s v="25.16130402960128"/>
    <s v="27.710251284031628"/>
    <s v="62.99258794499155"/>
    <s v="21.15568359927125"/>
    <n v="789373683"/>
    <x v="0"/>
    <n v="4.8967317000000001E-4"/>
    <x v="0"/>
  </r>
  <r>
    <n v="47"/>
    <n v="0"/>
    <n v="2"/>
    <n v="4"/>
    <n v="0"/>
    <n v="1"/>
    <n v="0"/>
    <n v="33"/>
    <n v="6"/>
    <n v="2"/>
    <n v="3"/>
    <n v="5624"/>
    <n v="1216"/>
    <n v="4408"/>
    <n v="0.69099999999999995"/>
    <n v="3843"/>
    <n v="66"/>
    <n v="1"/>
    <n v="0.216"/>
    <n v="2.2525E-4"/>
    <n v="0.99977000000000005"/>
    <s v="35.499386528216355"/>
    <s v="0.7698722691122004"/>
    <s v="27.156963064289624"/>
    <s v="1.890584151041454"/>
    <n v="721276383"/>
    <x v="0"/>
    <n v="3.2101269999999999E-4"/>
    <x v="0"/>
  </r>
  <r>
    <n v="41"/>
    <n v="0"/>
    <n v="2"/>
    <n v="5"/>
    <n v="2"/>
    <n v="4"/>
    <n v="0"/>
    <n v="31"/>
    <n v="5"/>
    <n v="3"/>
    <n v="3"/>
    <n v="2450"/>
    <n v="1490"/>
    <n v="960"/>
    <n v="0.747"/>
    <n v="3778"/>
    <n v="64"/>
    <n v="0.68400000000000005"/>
    <n v="0.60799999999999998"/>
    <n v="3.1104E-4"/>
    <n v="0.99968999999999997"/>
    <s v="18.65198740939445"/>
    <s v="68.40713136448562"/>
    <s v="40.60872062578309"/>
    <s v="0.3545259695900303"/>
    <n v="789367083"/>
    <x v="0"/>
    <n v="3.3750320000000002E-4"/>
    <x v="0"/>
  </r>
  <r>
    <n v="46"/>
    <n v="0"/>
    <n v="3"/>
    <n v="2"/>
    <n v="2"/>
    <n v="4"/>
    <n v="0"/>
    <n v="41"/>
    <n v="5"/>
    <n v="3"/>
    <n v="3"/>
    <n v="3913"/>
    <n v="0"/>
    <n v="3913"/>
    <n v="0.72199999999999998"/>
    <n v="5170"/>
    <n v="93"/>
    <n v="0.86"/>
    <n v="0"/>
    <n v="3.1389999999999999E-4"/>
    <n v="0.99968999999999997"/>
    <s v="50.560298225954895"/>
    <s v="53.46218926738044"/>
    <s v="98.53705564252292"/>
    <s v="22.16847710513368"/>
    <n v="719539458"/>
    <x v="0"/>
    <n v="6.9517245999999998E-4"/>
    <x v="0"/>
  </r>
  <r>
    <n v="36"/>
    <n v="0"/>
    <n v="1"/>
    <n v="3"/>
    <n v="2"/>
    <n v="4"/>
    <n v="0"/>
    <n v="36"/>
    <n v="5"/>
    <n v="3"/>
    <n v="4"/>
    <n v="5257"/>
    <n v="1572"/>
    <n v="3685"/>
    <n v="0.73199999999999998"/>
    <n v="2822"/>
    <n v="73"/>
    <n v="0.65900000000000003"/>
    <n v="0.29899999999999999"/>
    <n v="4.7085999999999997E-4"/>
    <n v="0.99953000000000003"/>
    <s v="1.6160430740151506"/>
    <s v="11.577620485925566"/>
    <s v="27.30667260867794"/>
    <n v="3.79390990771339"/>
    <n v="717978033"/>
    <x v="0"/>
    <n v="3.8193256000000001E-4"/>
    <x v="0"/>
  </r>
  <r>
    <n v="46"/>
    <n v="1"/>
    <n v="5"/>
    <n v="3"/>
    <n v="2"/>
    <n v="1"/>
    <n v="0"/>
    <n v="37"/>
    <n v="3"/>
    <n v="2"/>
    <n v="3"/>
    <n v="6340"/>
    <n v="1985"/>
    <n v="4355"/>
    <n v="0.40300000000000002"/>
    <n v="3536"/>
    <n v="61"/>
    <n v="0.41899999999999998"/>
    <n v="0.313"/>
    <n v="1.9212999999999999E-4"/>
    <n v="0.99980999999999998"/>
    <s v="36.390809015171854"/>
    <s v="64.51729525257215"/>
    <s v="32.16527207397148"/>
    <s v="14.119195153873292"/>
    <n v="712949733"/>
    <x v="0"/>
    <n v="3.8743845999999999E-4"/>
    <x v="0"/>
  </r>
  <r>
    <n v="55"/>
    <n v="0"/>
    <n v="2"/>
    <n v="2"/>
    <n v="2"/>
    <n v="4"/>
    <n v="0"/>
    <n v="42"/>
    <n v="4"/>
    <n v="3"/>
    <n v="3"/>
    <n v="1724"/>
    <n v="0"/>
    <n v="1724"/>
    <n v="0.93600000000000005"/>
    <n v="4434"/>
    <n v="67"/>
    <n v="0.81100000000000005"/>
    <n v="0"/>
    <n v="3.0250999999999998E-4"/>
    <n v="0.99970000000000003"/>
    <s v="6.626424048202527"/>
    <s v="29.527443252065623"/>
    <s v="27.382310179728503"/>
    <s v="6.511003141090365"/>
    <n v="771092433"/>
    <x v="0"/>
    <n v="7.6884776000000002E-4"/>
    <x v="0"/>
  </r>
  <r>
    <n v="55"/>
    <n v="0"/>
    <n v="1"/>
    <n v="0"/>
    <n v="2"/>
    <n v="4"/>
    <n v="3"/>
    <n v="36"/>
    <n v="3"/>
    <n v="1"/>
    <n v="3"/>
    <n v="12633"/>
    <n v="1661"/>
    <n v="10972"/>
    <n v="0.71799999999999997"/>
    <n v="14378"/>
    <n v="98"/>
    <n v="0.69"/>
    <n v="0.13100000000000001"/>
    <s v="7.6385e-05"/>
    <n v="0.99992000000000003"/>
    <s v="91.93103979793815"/>
    <s v="15.752553976462533"/>
    <s v="0.6797930184441168"/>
    <s v="3.8821919599031647"/>
    <n v="716457783"/>
    <x v="0"/>
    <n v="3.4656386999999997E-4"/>
    <x v="0"/>
  </r>
  <r>
    <n v="38"/>
    <n v="1"/>
    <n v="3"/>
    <n v="0"/>
    <n v="1"/>
    <n v="3"/>
    <n v="0"/>
    <n v="30"/>
    <n v="5"/>
    <n v="3"/>
    <n v="2"/>
    <n v="3976"/>
    <n v="1667"/>
    <n v="2309"/>
    <n v="0.92900000000000005"/>
    <n v="4372"/>
    <n v="69"/>
    <n v="0.68300000000000005"/>
    <n v="0.41899999999999998"/>
    <n v="1.8145999999999999E-4"/>
    <n v="0.99982000000000004"/>
    <s v="65.60709478884438"/>
    <n v="4.7982235314074604"/>
    <s v="77.85475872753244"/>
    <s v="2.378888073174792"/>
    <n v="713121408"/>
    <x v="0"/>
    <n v="3.221314E-4"/>
    <x v="0"/>
  </r>
  <r>
    <n v="52"/>
    <n v="1"/>
    <n v="3"/>
    <n v="5"/>
    <n v="1"/>
    <n v="3"/>
    <n v="0"/>
    <n v="40"/>
    <n v="4"/>
    <n v="1"/>
    <n v="3"/>
    <n v="21877"/>
    <n v="1073"/>
    <n v="20804"/>
    <n v="0.90800000000000003"/>
    <n v="3283"/>
    <n v="56"/>
    <n v="1"/>
    <n v="4.9000000000000002E-2"/>
    <s v="9.8837e-05"/>
    <n v="0.99990000000000001"/>
    <s v="33.632334782375544"/>
    <s v="6.238597064865376"/>
    <s v="38.02960844035899"/>
    <s v="23.28051827428993"/>
    <n v="710088483"/>
    <x v="0"/>
    <n v="5.1395403000000005E-4"/>
    <x v="0"/>
  </r>
  <r>
    <n v="29"/>
    <n v="1"/>
    <n v="1"/>
    <n v="6"/>
    <n v="2"/>
    <n v="2"/>
    <n v="0"/>
    <n v="19"/>
    <n v="3"/>
    <n v="1"/>
    <n v="2"/>
    <n v="23507"/>
    <n v="1990"/>
    <n v="21517"/>
    <n v="0.63100000000000001"/>
    <n v="2650"/>
    <n v="65"/>
    <n v="0.91200000000000003"/>
    <n v="8.5000000000000006E-2"/>
    <s v="5.6825e-05"/>
    <n v="0.99994000000000005"/>
    <s v="11.332797931895811"/>
    <s v="15.347983039797056"/>
    <n v="5.3924387383606804"/>
    <s v="7.151192906037709"/>
    <n v="774172158"/>
    <x v="0"/>
    <n v="4.1580259999999999E-4"/>
    <x v="0"/>
  </r>
  <r>
    <n v="35"/>
    <n v="0"/>
    <n v="4"/>
    <n v="3"/>
    <n v="3"/>
    <n v="5"/>
    <n v="0"/>
    <n v="26"/>
    <n v="2"/>
    <n v="1"/>
    <n v="2"/>
    <n v="16950"/>
    <n v="0"/>
    <n v="16950"/>
    <n v="0.625"/>
    <n v="7821"/>
    <n v="97"/>
    <n v="0.67200000000000004"/>
    <n v="0"/>
    <s v="5.6153e-05"/>
    <n v="0.99994000000000005"/>
    <s v="11.89182543036765"/>
    <s v="7.091686952112074"/>
    <n v="67.883735903369399"/>
    <s v="0.2798325790641289"/>
    <n v="715459158"/>
    <x v="0"/>
    <n v="7.9810305E-4"/>
    <x v="0"/>
  </r>
  <r>
    <n v="57"/>
    <n v="1"/>
    <n v="2"/>
    <n v="6"/>
    <n v="1"/>
    <n v="0"/>
    <n v="0"/>
    <n v="36"/>
    <n v="3"/>
    <n v="2"/>
    <n v="2"/>
    <n v="23700"/>
    <n v="1314"/>
    <n v="22386"/>
    <n v="1.4870000000000001"/>
    <n v="1644"/>
    <n v="28"/>
    <n v="0.64700000000000002"/>
    <n v="5.5E-2"/>
    <n v="1.2511E-4"/>
    <n v="0.99987000000000004"/>
    <s v="1.2372817114495276"/>
    <s v="39.05041286642129"/>
    <s v="10.46038289456185"/>
    <s v="0.3170329221061814"/>
    <n v="710784333"/>
    <x v="0"/>
    <n v="1.2135226000000001E-3"/>
    <x v="0"/>
  </r>
  <r>
    <n v="45"/>
    <n v="0"/>
    <n v="4"/>
    <n v="1"/>
    <n v="1"/>
    <n v="4"/>
    <n v="0"/>
    <n v="27"/>
    <n v="3"/>
    <n v="2"/>
    <n v="2"/>
    <n v="1438.3"/>
    <n v="0"/>
    <n v="1438.3"/>
    <n v="0.68"/>
    <n v="2429"/>
    <n v="38"/>
    <n v="0.65200000000000002"/>
    <n v="0"/>
    <n v="0.99424999999999997"/>
    <n v="5.7499999999999999E-3"/>
    <s v="17.851668679409126"/>
    <s v="8.205350317098322"/>
    <s v="97.53066334518653"/>
    <s v="8.508912829616484"/>
    <n v="718890933"/>
    <x v="1"/>
    <n v="0.9985098"/>
    <x v="1"/>
  </r>
  <r>
    <n v="38"/>
    <n v="1"/>
    <n v="1"/>
    <n v="6"/>
    <n v="2"/>
    <n v="2"/>
    <n v="0"/>
    <n v="29"/>
    <n v="5"/>
    <n v="2"/>
    <n v="1"/>
    <n v="14596"/>
    <n v="2192"/>
    <n v="12404"/>
    <n v="0.89800000000000002"/>
    <n v="1300"/>
    <n v="25"/>
    <n v="1.083"/>
    <n v="0.15"/>
    <s v="7.0819e-05"/>
    <n v="0.99992999999999999"/>
    <s v="34.38044914868966"/>
    <n v="5.4060538532023799"/>
    <s v="51.91120719097957"/>
    <s v="0.1315654457903894"/>
    <n v="803366358"/>
    <x v="0"/>
    <n v="9.8706899999999992E-4"/>
    <x v="0"/>
  </r>
  <r>
    <n v="56"/>
    <n v="1"/>
    <n v="1"/>
    <n v="1"/>
    <n v="1"/>
    <n v="2"/>
    <n v="0"/>
    <n v="46"/>
    <n v="5"/>
    <n v="2"/>
    <n v="4"/>
    <n v="5248"/>
    <n v="1816"/>
    <n v="3432"/>
    <n v="0.69599999999999995"/>
    <n v="2305"/>
    <n v="45"/>
    <n v="0.73099999999999998"/>
    <n v="0.34599999999999997"/>
    <n v="4.4352999999999998E-4"/>
    <n v="0.99956"/>
    <s v="4.563457212935829"/>
    <s v="59.08263404712291"/>
    <n v="65.221990334033407"/>
    <s v="0.7773151961855197"/>
    <n v="709426608"/>
    <x v="0"/>
    <n v="1.294005E-3"/>
    <x v="0"/>
  </r>
  <r>
    <n v="53"/>
    <n v="1"/>
    <n v="1"/>
    <n v="2"/>
    <n v="1"/>
    <n v="0"/>
    <n v="0"/>
    <n v="41"/>
    <n v="6"/>
    <n v="3"/>
    <n v="2"/>
    <n v="1612"/>
    <n v="744"/>
    <n v="868"/>
    <n v="0.63600000000000001"/>
    <n v="1564"/>
    <n v="33"/>
    <n v="0.5"/>
    <n v="0.46200000000000002"/>
    <n v="1.6882999999999999E-4"/>
    <n v="0.99983"/>
    <s v="13.97126816880598"/>
    <s v="29.489326266594208"/>
    <s v="112.2769796074324"/>
    <s v="6.898420475180182"/>
    <n v="713303733"/>
    <x v="0"/>
    <n v="2.0992573999999999E-3"/>
    <x v="0"/>
  </r>
  <r>
    <n v="54"/>
    <n v="0"/>
    <n v="1"/>
    <n v="5"/>
    <n v="1"/>
    <n v="4"/>
    <n v="0"/>
    <n v="40"/>
    <n v="5"/>
    <n v="2"/>
    <n v="4"/>
    <n v="2178"/>
    <n v="1144"/>
    <n v="1034"/>
    <n v="1.585"/>
    <n v="1724"/>
    <n v="47"/>
    <n v="1.0429999999999999"/>
    <n v="0.52500000000000002"/>
    <n v="3.1516999999999998E-4"/>
    <n v="0.99968000000000001"/>
    <s v="17.591862756602694"/>
    <s v="5.743543006804178"/>
    <n v="47.675715742337999"/>
    <s v="4.967693322783585"/>
    <n v="720148983"/>
    <x v="0"/>
    <n v="9.8706899999999992E-4"/>
    <x v="0"/>
  </r>
  <r>
    <n v="42"/>
    <n v="0"/>
    <n v="3"/>
    <n v="6"/>
    <n v="1"/>
    <n v="4"/>
    <n v="0"/>
    <n v="31"/>
    <n v="2"/>
    <n v="3"/>
    <n v="2"/>
    <n v="2940"/>
    <n v="0"/>
    <n v="2940"/>
    <n v="0.96199999999999997"/>
    <n v="14792"/>
    <n v="120"/>
    <n v="0.875"/>
    <n v="0"/>
    <n v="2.0515999999999999E-4"/>
    <n v="0.99978999999999996"/>
    <s v="6.394971842199761"/>
    <s v="51.70469549210364"/>
    <s v="13.75147214454279"/>
    <s v="19.40689196157812"/>
    <n v="771769383"/>
    <x v="0"/>
    <n v="8.064217E-4"/>
    <x v="0"/>
  </r>
  <r>
    <n v="49"/>
    <n v="0"/>
    <n v="2"/>
    <n v="2"/>
    <n v="1"/>
    <n v="4"/>
    <n v="0"/>
    <n v="39"/>
    <n v="3"/>
    <n v="3"/>
    <n v="1"/>
    <n v="2212"/>
    <n v="0"/>
    <n v="2212"/>
    <n v="0.94199999999999995"/>
    <n v="2394"/>
    <n v="55"/>
    <n v="0.89700000000000002"/>
    <n v="0"/>
    <n v="0.99087000000000003"/>
    <n v="9.1299999999999992E-3"/>
    <n v="15.598701486387499"/>
    <s v="36.423211611321264"/>
    <s v="122.25751449320126"/>
    <s v="0.2274213180262219"/>
    <n v="710785383"/>
    <x v="1"/>
    <n v="0.99630015999999999"/>
    <x v="1"/>
  </r>
  <r>
    <n v="48"/>
    <n v="0"/>
    <n v="4"/>
    <n v="2"/>
    <n v="2"/>
    <n v="5"/>
    <n v="0"/>
    <n v="40"/>
    <n v="3"/>
    <n v="3"/>
    <n v="3"/>
    <n v="2300"/>
    <n v="1906"/>
    <n v="394"/>
    <n v="0.80300000000000005"/>
    <n v="4538"/>
    <n v="71"/>
    <n v="0.86799999999999999"/>
    <n v="0.82899999999999996"/>
    <n v="3.1725999999999998E-4"/>
    <n v="0.99968000000000001"/>
    <s v="39.17470296720987"/>
    <s v="31.595574550405125"/>
    <s v="78.58485658730415"/>
    <s v="4.618190154270754"/>
    <n v="710637183"/>
    <x v="0"/>
    <n v="3.2101269999999999E-4"/>
    <x v="0"/>
  </r>
  <r>
    <n v="54"/>
    <n v="0"/>
    <n v="1"/>
    <n v="2"/>
    <n v="2"/>
    <n v="4"/>
    <n v="0"/>
    <n v="34"/>
    <n v="5"/>
    <n v="2"/>
    <n v="2"/>
    <n v="2939"/>
    <n v="2152"/>
    <n v="787"/>
    <n v="0.55500000000000005"/>
    <n v="2476"/>
    <n v="42"/>
    <n v="0.35499999999999998"/>
    <n v="0.73199999999999998"/>
    <n v="0.99073"/>
    <n v="9.2700000000000005E-3"/>
    <s v="12.277343719522232"/>
    <s v="1.0650303202962137"/>
    <s v="13.582634351492676"/>
    <n v="9.7756573246084404"/>
    <n v="778378983"/>
    <x v="1"/>
    <n v="0.99573140000000004"/>
    <x v="1"/>
  </r>
  <r>
    <n v="60"/>
    <n v="1"/>
    <n v="1"/>
    <n v="5"/>
    <n v="1"/>
    <n v="4"/>
    <n v="0"/>
    <n v="36"/>
    <n v="1"/>
    <n v="3"/>
    <n v="4"/>
    <n v="3316"/>
    <n v="0"/>
    <n v="3316"/>
    <n v="0.372"/>
    <n v="1684"/>
    <n v="19"/>
    <n v="0.188"/>
    <n v="0"/>
    <n v="0.998"/>
    <n v="2.003E-3"/>
    <n v="46.381689018749199"/>
    <s v="24.79052908729449"/>
    <s v="82.70025456472297"/>
    <s v="10.656076969152863"/>
    <n v="709199358"/>
    <x v="1"/>
    <n v="0.99830662999999997"/>
    <x v="1"/>
  </r>
  <r>
    <n v="48"/>
    <n v="1"/>
    <n v="3"/>
    <n v="3"/>
    <n v="3"/>
    <n v="4"/>
    <n v="0"/>
    <n v="38"/>
    <n v="4"/>
    <n v="3"/>
    <n v="3"/>
    <n v="8892"/>
    <n v="889"/>
    <n v="8003"/>
    <n v="0.67"/>
    <n v="4900"/>
    <n v="89"/>
    <n v="0.745"/>
    <n v="0.1"/>
    <n v="3.0516000000000001E-4"/>
    <n v="0.99968999999999997"/>
    <s v="2.5287216509002106"/>
    <s v="3.362256520890553"/>
    <s v="5.841758617927922"/>
    <n v="0.61430040685314102"/>
    <n v="719343633"/>
    <x v="0"/>
    <n v="4.2162873000000002E-4"/>
    <x v="0"/>
  </r>
  <r>
    <n v="62"/>
    <n v="1"/>
    <n v="0"/>
    <n v="6"/>
    <n v="1"/>
    <n v="1"/>
    <n v="0"/>
    <n v="48"/>
    <n v="4"/>
    <n v="1"/>
    <n v="2"/>
    <n v="1438.3"/>
    <n v="0"/>
    <n v="1438.3"/>
    <n v="0.42499999999999999"/>
    <n v="1406"/>
    <n v="27"/>
    <n v="0.5"/>
    <n v="0"/>
    <s v="5.1951e-05"/>
    <n v="0.99995000000000001"/>
    <s v="15.637893481313856"/>
    <s v="11.034125158936234"/>
    <s v="59.957898491701386"/>
    <s v="6.394344616022464"/>
    <n v="771073908"/>
    <x v="0"/>
    <n v="4.459518E-3"/>
    <x v="0"/>
  </r>
  <r>
    <n v="33"/>
    <n v="1"/>
    <n v="3"/>
    <n v="2"/>
    <n v="2"/>
    <n v="2"/>
    <n v="0"/>
    <n v="27"/>
    <n v="6"/>
    <n v="2"/>
    <n v="3"/>
    <n v="2043"/>
    <n v="1725"/>
    <n v="318"/>
    <n v="0.68600000000000005"/>
    <n v="5212"/>
    <n v="79"/>
    <n v="0.64600000000000002"/>
    <n v="0.84399999999999997"/>
    <n v="1.9864000000000001E-4"/>
    <n v="0.99980000000000002"/>
    <s v="10.69138734208999"/>
    <s v="47.96080073260858"/>
    <n v="85.600705379942298"/>
    <s v="6.393861972772108"/>
    <n v="710094108"/>
    <x v="0"/>
    <n v="3.2914013999999999E-4"/>
    <x v="0"/>
  </r>
  <r>
    <n v="44"/>
    <n v="0"/>
    <n v="3"/>
    <n v="5"/>
    <n v="1"/>
    <n v="4"/>
    <n v="0"/>
    <n v="36"/>
    <n v="2"/>
    <n v="3"/>
    <n v="1"/>
    <n v="3675"/>
    <n v="2517"/>
    <n v="1158"/>
    <n v="0.76600000000000001"/>
    <n v="1913"/>
    <n v="35"/>
    <n v="0.66700000000000004"/>
    <n v="0.68500000000000005"/>
    <n v="0.99143000000000003"/>
    <n v="8.5699999999999995E-3"/>
    <s v="6.200784723885203"/>
    <n v="21.952843137736998"/>
    <s v="102.59047097888944"/>
    <s v="4.190854208294962"/>
    <n v="716977758"/>
    <x v="1"/>
    <n v="0.99563449999999998"/>
    <x v="1"/>
  </r>
  <r>
    <n v="42"/>
    <n v="0"/>
    <n v="3"/>
    <n v="2"/>
    <n v="2"/>
    <n v="1"/>
    <n v="3"/>
    <n v="26"/>
    <n v="6"/>
    <n v="2"/>
    <n v="2"/>
    <n v="15104"/>
    <n v="1204"/>
    <n v="13900"/>
    <n v="0.82399999999999995"/>
    <n v="4259"/>
    <n v="79"/>
    <n v="0.57999999999999996"/>
    <n v="0.08"/>
    <n v="1.0671999999999999E-4"/>
    <n v="0.99988999999999995"/>
    <s v="55.636479993824565"/>
    <s v="48.027393340647286"/>
    <n v="8.8318228938125198"/>
    <s v="11.238689657949926"/>
    <n v="780045708"/>
    <x v="0"/>
    <n v="3.4743935000000002E-4"/>
    <x v="0"/>
  </r>
  <r>
    <n v="45"/>
    <n v="1"/>
    <n v="5"/>
    <n v="2"/>
    <n v="1"/>
    <n v="2"/>
    <n v="0"/>
    <n v="38"/>
    <n v="5"/>
    <n v="1"/>
    <n v="4"/>
    <n v="8983"/>
    <n v="0"/>
    <n v="8983"/>
    <n v="0.71299999999999997"/>
    <n v="15163"/>
    <n v="124"/>
    <n v="0.746"/>
    <n v="0"/>
    <n v="1.6316E-4"/>
    <n v="0.99983999999999995"/>
    <s v="10.51593812650838"/>
    <s v="14.59290704476947"/>
    <s v="173.93001378289225"/>
    <s v="5.329754435961703"/>
    <n v="755305683"/>
    <x v="0"/>
    <n v="7.5047980000000002E-4"/>
    <x v="0"/>
  </r>
  <r>
    <n v="39"/>
    <n v="1"/>
    <n v="2"/>
    <n v="5"/>
    <n v="1"/>
    <n v="2"/>
    <n v="0"/>
    <n v="28"/>
    <n v="6"/>
    <n v="3"/>
    <n v="5"/>
    <n v="3257"/>
    <n v="2517"/>
    <n v="740"/>
    <n v="0.53900000000000003"/>
    <n v="1534"/>
    <n v="35"/>
    <n v="0.59099999999999997"/>
    <n v="0.77300000000000002"/>
    <n v="9.1777000000000004E-4"/>
    <n v="0.99907999999999997"/>
    <s v="0.6588804741474251"/>
    <s v="37.261810388699246"/>
    <s v="13.670086669615037"/>
    <s v="14.433242005716576"/>
    <n v="780662133"/>
    <x v="0"/>
    <n v="8.0870226000000003E-2"/>
    <x v="0"/>
  </r>
  <r>
    <n v="40"/>
    <n v="1"/>
    <n v="4"/>
    <n v="2"/>
    <n v="1"/>
    <n v="4"/>
    <n v="0"/>
    <n v="34"/>
    <n v="3"/>
    <n v="1"/>
    <n v="2"/>
    <n v="2577"/>
    <n v="1812"/>
    <n v="765"/>
    <n v="0.66600000000000004"/>
    <n v="4134"/>
    <n v="62"/>
    <n v="0.82399999999999995"/>
    <n v="0.70299999999999996"/>
    <s v="5.7762e-05"/>
    <n v="0.99994000000000005"/>
    <s v="39.230600046904094"/>
    <s v="36.61603752384399"/>
    <s v="70.02280333869047"/>
    <s v="9.128921727837517"/>
    <n v="798687258"/>
    <x v="0"/>
    <n v="3.479205E-4"/>
    <x v="0"/>
  </r>
  <r>
    <n v="44"/>
    <n v="1"/>
    <n v="4"/>
    <n v="6"/>
    <n v="1"/>
    <n v="2"/>
    <n v="0"/>
    <n v="38"/>
    <n v="3"/>
    <n v="1"/>
    <n v="3"/>
    <n v="2440"/>
    <n v="1501"/>
    <n v="939"/>
    <n v="0.74399999999999999"/>
    <n v="4382"/>
    <n v="88"/>
    <n v="0.66"/>
    <n v="0.61499999999999999"/>
    <n v="1.0679E-4"/>
    <n v="0.99988999999999995"/>
    <s v="3.7081107299202816"/>
    <s v="66.94395610949107"/>
    <s v="43.71049377637133"/>
    <n v="7.2339758287337901"/>
    <n v="793412958"/>
    <x v="0"/>
    <n v="3.2101269999999999E-4"/>
    <x v="0"/>
  </r>
  <r>
    <n v="36"/>
    <n v="0"/>
    <n v="2"/>
    <n v="4"/>
    <n v="0"/>
    <n v="4"/>
    <n v="0"/>
    <n v="25"/>
    <n v="5"/>
    <n v="2"/>
    <n v="4"/>
    <n v="8917"/>
    <n v="1091"/>
    <n v="7826"/>
    <n v="1.1519999999999999"/>
    <n v="3327"/>
    <n v="80"/>
    <n v="0.86"/>
    <n v="0.122"/>
    <n v="3.8423999999999999E-4"/>
    <n v="0.99961999999999995"/>
    <s v="69.04526880619377"/>
    <s v="35.40273124966158"/>
    <s v="40.05114574473755"/>
    <s v="19.196436939877263"/>
    <n v="718843608"/>
    <x v="0"/>
    <n v="3.3750932000000002E-4"/>
    <x v="0"/>
  </r>
  <r>
    <n v="44"/>
    <n v="1"/>
    <n v="3"/>
    <n v="3"/>
    <n v="3"/>
    <n v="2"/>
    <n v="0"/>
    <n v="25"/>
    <n v="3"/>
    <n v="3"/>
    <n v="0"/>
    <n v="1862"/>
    <n v="0"/>
    <n v="1862"/>
    <n v="0.88300000000000001"/>
    <n v="1226"/>
    <n v="34"/>
    <n v="0.78900000000000003"/>
    <n v="0"/>
    <s v="6.6935e-05"/>
    <n v="0.99992999999999999"/>
    <s v="38.71127727948273"/>
    <s v="22.48228598108964"/>
    <s v="161.06664492572497"/>
    <s v="0.6533425153177901"/>
    <n v="713572683"/>
    <x v="0"/>
    <n v="3.7388220000000002E-3"/>
    <x v="0"/>
  </r>
  <r>
    <n v="54"/>
    <n v="0"/>
    <n v="1"/>
    <n v="0"/>
    <n v="3"/>
    <n v="4"/>
    <n v="3"/>
    <n v="43"/>
    <n v="6"/>
    <n v="3"/>
    <n v="4"/>
    <n v="10797"/>
    <n v="1252"/>
    <n v="9545"/>
    <n v="0.48899999999999999"/>
    <n v="1739"/>
    <n v="38"/>
    <n v="0.22600000000000001"/>
    <n v="0.11600000000000001"/>
    <n v="0.99765999999999999"/>
    <n v="2.3436199999999998E-3"/>
    <s v="6.496611390949365"/>
    <s v="72.49922435376139"/>
    <s v="52.772986590078204"/>
    <s v="16.424015598339306"/>
    <n v="721273008"/>
    <x v="1"/>
    <n v="0.99315730000000002"/>
    <x v="1"/>
  </r>
  <r>
    <n v="59"/>
    <n v="0"/>
    <n v="0"/>
    <n v="0"/>
    <n v="2"/>
    <n v="4"/>
    <n v="0"/>
    <n v="40"/>
    <n v="1"/>
    <n v="3"/>
    <n v="3"/>
    <n v="3297"/>
    <n v="0"/>
    <n v="3297"/>
    <n v="0.86099999999999999"/>
    <n v="4783"/>
    <n v="91"/>
    <n v="0.68500000000000005"/>
    <n v="0"/>
    <n v="2.5239000000000001E-4"/>
    <n v="0.99975000000000003"/>
    <n v="5.9050429246320499"/>
    <s v="60.64390663285981"/>
    <s v="85.75445091667031"/>
    <s v="2.118031553507056"/>
    <n v="778853358"/>
    <x v="0"/>
    <n v="7.1049936000000004E-4"/>
    <x v="0"/>
  </r>
  <r>
    <n v="59"/>
    <n v="0"/>
    <n v="1"/>
    <n v="4"/>
    <n v="2"/>
    <n v="4"/>
    <n v="0"/>
    <n v="36"/>
    <n v="6"/>
    <n v="2"/>
    <n v="2"/>
    <n v="2759"/>
    <n v="2481"/>
    <n v="278"/>
    <n v="0.58799999999999997"/>
    <n v="5037"/>
    <n v="84"/>
    <n v="0.68"/>
    <n v="0.89900000000000002"/>
    <n v="1.2570999999999999E-4"/>
    <n v="0.99987000000000004"/>
    <s v="34.28279283995547"/>
    <s v="35.35786183326482"/>
    <s v="144.38840497205484"/>
    <s v="8.438299461220458"/>
    <n v="716310633"/>
    <x v="0"/>
    <n v="3.4692350000000002E-4"/>
    <x v="0"/>
  </r>
  <r>
    <n v="42"/>
    <n v="0"/>
    <n v="2"/>
    <n v="6"/>
    <n v="2"/>
    <n v="4"/>
    <n v="0"/>
    <n v="36"/>
    <n v="5"/>
    <n v="3"/>
    <n v="4"/>
    <n v="1696"/>
    <n v="0"/>
    <n v="1696"/>
    <n v="0.66600000000000004"/>
    <n v="4397"/>
    <n v="70"/>
    <n v="0.628"/>
    <n v="0"/>
    <n v="5.6716000000000004E-4"/>
    <n v="0.99943000000000004"/>
    <s v="6.7692672107680005"/>
    <s v="34.43139200957416"/>
    <s v="61.07504752736051"/>
    <n v="9.5736056643803007"/>
    <n v="716915133"/>
    <x v="0"/>
    <n v="7.686247E-4"/>
    <x v="0"/>
  </r>
  <r>
    <n v="44"/>
    <n v="0"/>
    <n v="3"/>
    <n v="2"/>
    <n v="1"/>
    <n v="4"/>
    <n v="0"/>
    <n v="36"/>
    <n v="6"/>
    <n v="5"/>
    <n v="3"/>
    <n v="2420"/>
    <n v="1223"/>
    <n v="1197"/>
    <n v="0.71799999999999997"/>
    <n v="4954"/>
    <n v="82"/>
    <n v="0.78300000000000003"/>
    <n v="0.505"/>
    <n v="3.5060000000000001E-4"/>
    <n v="0.99965000000000004"/>
    <s v="4.068070410341255"/>
    <s v="22.87839621465973"/>
    <s v="142.22801676920594"/>
    <s v="23.394004302959196"/>
    <n v="716369208"/>
    <x v="0"/>
    <n v="3.2101269999999999E-4"/>
    <x v="0"/>
  </r>
  <r>
    <n v="45"/>
    <n v="1"/>
    <n v="3"/>
    <n v="3"/>
    <n v="1"/>
    <n v="2"/>
    <n v="0"/>
    <n v="39"/>
    <n v="5"/>
    <n v="1"/>
    <n v="3"/>
    <n v="12691"/>
    <n v="777"/>
    <n v="11914"/>
    <n v="1.335"/>
    <n v="1144"/>
    <n v="42"/>
    <n v="1.625"/>
    <n v="6.0999999999999999E-2"/>
    <s v="9.3448e-05"/>
    <n v="0.99990999999999997"/>
    <s v="27.932461330271767"/>
    <s v="29.37335380449029"/>
    <n v="73.957105380110605"/>
    <s v="13.76434403800094"/>
    <n v="768805383"/>
    <x v="0"/>
    <n v="1.8569706000000001E-3"/>
    <x v="0"/>
  </r>
  <r>
    <n v="45"/>
    <n v="0"/>
    <n v="5"/>
    <n v="2"/>
    <n v="0"/>
    <n v="4"/>
    <n v="0"/>
    <n v="26"/>
    <n v="3"/>
    <n v="5"/>
    <n v="2"/>
    <n v="1438.3"/>
    <n v="1226"/>
    <n v="212.3"/>
    <n v="0.63800000000000001"/>
    <n v="3889"/>
    <n v="60"/>
    <n v="0.81799999999999995"/>
    <n v="0.85199999999999998"/>
    <n v="2.0740999999999999E-4"/>
    <n v="0.99978999999999996"/>
    <s v="14.099617651350826"/>
    <n v="45.044176351410002"/>
    <s v="42.99155182723496"/>
    <s v="0.2125559802951582"/>
    <n v="778905033"/>
    <x v="0"/>
    <n v="3.6248067000000002E-4"/>
    <x v="0"/>
  </r>
  <r>
    <n v="45"/>
    <n v="1"/>
    <n v="2"/>
    <n v="2"/>
    <n v="2"/>
    <n v="2"/>
    <n v="0"/>
    <n v="36"/>
    <n v="1"/>
    <n v="1"/>
    <n v="2"/>
    <n v="3401"/>
    <n v="0"/>
    <n v="3401"/>
    <n v="0.89800000000000002"/>
    <n v="744"/>
    <n v="18"/>
    <n v="1"/>
    <n v="0"/>
    <n v="0.98216999999999999"/>
    <n v="1.7829999999999999E-2"/>
    <s v="18.311031883678957"/>
    <s v="2.622957570030686"/>
    <s v="57.93230261211209"/>
    <s v="11.519579227160454"/>
    <n v="719211558"/>
    <x v="1"/>
    <n v="0.99828510000000004"/>
    <x v="1"/>
  </r>
  <r>
    <n v="52"/>
    <n v="1"/>
    <n v="1"/>
    <n v="5"/>
    <n v="2"/>
    <n v="0"/>
    <n v="0"/>
    <n v="41"/>
    <n v="1"/>
    <n v="1"/>
    <n v="3"/>
    <n v="12764"/>
    <n v="0"/>
    <n v="12764"/>
    <n v="0.71"/>
    <n v="3332"/>
    <n v="64"/>
    <n v="0.88200000000000001"/>
    <n v="0"/>
    <s v="8.9404e-05"/>
    <n v="0.99990999999999997"/>
    <s v="19.308903716993203"/>
    <s v="18.85838706331945"/>
    <s v="73.90163101416294"/>
    <s v="2.2474971492656373"/>
    <n v="721479108"/>
    <x v="0"/>
    <n v="7.8814493999999999E-4"/>
    <x v="0"/>
  </r>
  <r>
    <n v="48"/>
    <n v="1"/>
    <n v="3"/>
    <n v="3"/>
    <n v="2"/>
    <n v="2"/>
    <n v="0"/>
    <n v="44"/>
    <n v="5"/>
    <n v="1"/>
    <n v="1"/>
    <n v="19272"/>
    <n v="1519"/>
    <n v="17753"/>
    <n v="0.55700000000000005"/>
    <n v="3398"/>
    <n v="67"/>
    <n v="0.76300000000000001"/>
    <n v="7.9000000000000001E-2"/>
    <s v="3.3505e-05"/>
    <n v="0.99997000000000003"/>
    <s v="34.587093532070085"/>
    <s v="48.02363809509663"/>
    <s v="21.15102859175335"/>
    <s v="7.770806579932458"/>
    <n v="821815458"/>
    <x v="0"/>
    <n v="3.3885973999999997E-4"/>
    <x v="0"/>
  </r>
  <r>
    <n v="54"/>
    <n v="0"/>
    <n v="2"/>
    <n v="5"/>
    <n v="1"/>
    <n v="4"/>
    <n v="0"/>
    <n v="44"/>
    <n v="3"/>
    <n v="1"/>
    <n v="3"/>
    <n v="5413"/>
    <n v="1836"/>
    <n v="3577"/>
    <n v="0.76600000000000001"/>
    <n v="1164"/>
    <n v="43"/>
    <n v="0.59299999999999997"/>
    <n v="0.33900000000000002"/>
    <s v="9.5249e-05"/>
    <n v="0.99990000000000001"/>
    <s v="32.48310103902401"/>
    <n v="4.8514581535304204"/>
    <s v="24.37759086941375"/>
    <s v="10.847598370435469"/>
    <n v="712440483"/>
    <x v="0"/>
    <n v="1.0903810999999999E-3"/>
    <x v="0"/>
  </r>
  <r>
    <n v="40"/>
    <n v="1"/>
    <n v="4"/>
    <n v="5"/>
    <n v="2"/>
    <n v="3"/>
    <n v="0"/>
    <n v="36"/>
    <n v="6"/>
    <n v="3"/>
    <n v="2"/>
    <n v="34516"/>
    <n v="572"/>
    <n v="33944"/>
    <n v="1.05"/>
    <n v="8659"/>
    <n v="81"/>
    <n v="1.077"/>
    <n v="1.7000000000000001E-2"/>
    <n v="0.99487000000000003"/>
    <n v="5.13E-3"/>
    <s v="2.5034645744404704"/>
    <s v="44.15602791877098"/>
    <s v="47.42884875166246"/>
    <s v="35.91158511319206"/>
    <n v="712895733"/>
    <x v="1"/>
    <n v="0.99455450000000001"/>
    <x v="1"/>
  </r>
  <r>
    <n v="51"/>
    <n v="1"/>
    <n v="3"/>
    <n v="0"/>
    <n v="1"/>
    <n v="0"/>
    <n v="0"/>
    <n v="40"/>
    <n v="3"/>
    <n v="3"/>
    <n v="2"/>
    <n v="34516"/>
    <n v="1476"/>
    <n v="33040"/>
    <n v="0.76300000000000001"/>
    <n v="14145"/>
    <n v="119"/>
    <n v="0.77600000000000002"/>
    <n v="4.2999999999999997E-2"/>
    <n v="1.8145999999999999E-4"/>
    <n v="0.99982000000000004"/>
    <s v="56.19698432312032"/>
    <s v="72.87598606459737"/>
    <s v="20.022535949581137"/>
    <s v="20.35705462101085"/>
    <n v="719430483"/>
    <x v="0"/>
    <n v="3.8573547000000003E-4"/>
    <x v="0"/>
  </r>
  <r>
    <n v="59"/>
    <n v="0"/>
    <n v="1"/>
    <n v="0"/>
    <n v="2"/>
    <n v="5"/>
    <n v="0"/>
    <n v="36"/>
    <n v="2"/>
    <n v="3"/>
    <n v="3"/>
    <n v="4224"/>
    <n v="1305"/>
    <n v="2919"/>
    <n v="0.85199999999999998"/>
    <n v="1152"/>
    <n v="31"/>
    <n v="0.82399999999999995"/>
    <n v="0.309"/>
    <n v="2.7607E-4"/>
    <n v="0.99972000000000005"/>
    <s v="5.627444758668188"/>
    <s v="2.9593185262762485"/>
    <s v="33.466895440342434"/>
    <s v="1.6457073539845573"/>
    <n v="714133158"/>
    <x v="0"/>
    <n v="1.2280571000000001E-3"/>
    <x v="0"/>
  </r>
  <r>
    <n v="39"/>
    <n v="1"/>
    <n v="1"/>
    <n v="5"/>
    <n v="1"/>
    <n v="4"/>
    <n v="0"/>
    <n v="36"/>
    <n v="3"/>
    <n v="3"/>
    <n v="3"/>
    <n v="4247"/>
    <n v="0"/>
    <n v="4247"/>
    <n v="0.40500000000000003"/>
    <n v="847"/>
    <n v="17"/>
    <n v="0.13300000000000001"/>
    <n v="0"/>
    <n v="0.99658999999999998"/>
    <n v="3.4124899999999998E-3"/>
    <s v="0.2764835393109882"/>
    <s v="29.70179337349157"/>
    <s v="72.02236527665275"/>
    <n v="8.2169662978036992"/>
    <n v="712551258"/>
    <x v="1"/>
    <n v="0.99870884000000004"/>
    <x v="1"/>
  </r>
  <r>
    <n v="39"/>
    <n v="0"/>
    <n v="4"/>
    <n v="0"/>
    <n v="1"/>
    <n v="4"/>
    <n v="0"/>
    <n v="31"/>
    <n v="4"/>
    <n v="3"/>
    <n v="3"/>
    <n v="1888"/>
    <n v="1292"/>
    <n v="596"/>
    <n v="0.77200000000000002"/>
    <n v="1517"/>
    <n v="33"/>
    <n v="1.357"/>
    <n v="0.68400000000000005"/>
    <n v="3.0844999999999999E-4"/>
    <n v="0.99968999999999997"/>
    <s v="16.652485816449463"/>
    <s v="8.672019347793496"/>
    <n v="27.419331130027299"/>
    <s v="34.94720244778593"/>
    <n v="710370483"/>
    <x v="0"/>
    <n v="9.8706899999999992E-4"/>
    <x v="0"/>
  </r>
  <r>
    <n v="48"/>
    <n v="0"/>
    <n v="2"/>
    <n v="3"/>
    <n v="2"/>
    <n v="4"/>
    <n v="0"/>
    <n v="35"/>
    <n v="4"/>
    <n v="6"/>
    <n v="1"/>
    <n v="1686"/>
    <n v="1271"/>
    <n v="415"/>
    <n v="1.087"/>
    <n v="3445"/>
    <n v="64"/>
    <n v="0.73"/>
    <n v="0.754"/>
    <s v="8.3245e-05"/>
    <n v="0.99992000000000003"/>
    <s v="6.424882592711736"/>
    <s v="5.188067997290643"/>
    <s v="3.967916619907815"/>
    <s v="7.086168820613345"/>
    <n v="716039433"/>
    <x v="0"/>
    <n v="3.3055364999999998E-4"/>
    <x v="0"/>
  </r>
  <r>
    <n v="47"/>
    <n v="0"/>
    <n v="3"/>
    <n v="2"/>
    <n v="1"/>
    <n v="4"/>
    <n v="0"/>
    <n v="36"/>
    <n v="5"/>
    <n v="2"/>
    <n v="2"/>
    <n v="7051"/>
    <n v="0"/>
    <n v="7051"/>
    <n v="0.52700000000000002"/>
    <n v="1451"/>
    <n v="37"/>
    <n v="0.19400000000000001"/>
    <n v="0"/>
    <n v="1.1811000000000001E-4"/>
    <n v="0.99987999999999999"/>
    <s v="42.63725364491449"/>
    <s v="51.81444541593754"/>
    <s v="4.469740773623611"/>
    <s v="5.543896681103804"/>
    <n v="715168983"/>
    <x v="0"/>
    <n v="4.459518E-3"/>
    <x v="0"/>
  </r>
  <r>
    <n v="65"/>
    <n v="1"/>
    <n v="1"/>
    <n v="0"/>
    <n v="1"/>
    <n v="4"/>
    <n v="0"/>
    <n v="56"/>
    <n v="5"/>
    <n v="3"/>
    <n v="2"/>
    <n v="4189"/>
    <n v="0"/>
    <n v="4189"/>
    <n v="0.71499999999999997"/>
    <n v="1597"/>
    <n v="31"/>
    <n v="0.72199999999999998"/>
    <n v="0"/>
    <n v="1.6415000000000001E-4"/>
    <n v="0.99983999999999995"/>
    <s v="12.223594651703507"/>
    <n v="56.415799372144299"/>
    <s v="38.18592814510412"/>
    <s v="2.9890293050869747"/>
    <n v="713536158"/>
    <x v="0"/>
    <n v="3.6896945E-3"/>
    <x v="0"/>
  </r>
  <r>
    <n v="58"/>
    <n v="0"/>
    <n v="1"/>
    <n v="2"/>
    <n v="1"/>
    <n v="5"/>
    <n v="0"/>
    <n v="48"/>
    <n v="2"/>
    <n v="3"/>
    <n v="1"/>
    <n v="9926"/>
    <n v="2216"/>
    <n v="7710"/>
    <n v="0.52400000000000002"/>
    <n v="4937"/>
    <n v="73"/>
    <n v="0.55300000000000005"/>
    <n v="0.223"/>
    <n v="1.0182E-4"/>
    <n v="0.99990000000000001"/>
    <s v="60.06898128812594"/>
    <s v="12.408643776058332"/>
    <s v="33.99506454042248"/>
    <s v="13.414149384839677"/>
    <n v="720783558"/>
    <x v="0"/>
    <n v="3.2914013999999999E-4"/>
    <x v="0"/>
  </r>
  <r>
    <n v="51"/>
    <n v="1"/>
    <n v="2"/>
    <n v="5"/>
    <n v="1"/>
    <n v="0"/>
    <n v="0"/>
    <n v="40"/>
    <n v="1"/>
    <n v="3"/>
    <n v="1"/>
    <n v="10984"/>
    <n v="1429"/>
    <n v="9555"/>
    <n v="0.751"/>
    <n v="7850"/>
    <n v="85"/>
    <n v="0.63500000000000001"/>
    <n v="0.13"/>
    <n v="1.1153E-4"/>
    <n v="0.99988999999999995"/>
    <s v="22.59367057338812"/>
    <s v="23.82500319311249"/>
    <s v="39.51064588885493"/>
    <s v="14.955868457064945"/>
    <n v="719157933"/>
    <x v="0"/>
    <n v="3.7789578000000003E-4"/>
    <x v="0"/>
  </r>
  <r>
    <n v="57"/>
    <n v="0"/>
    <n v="2"/>
    <n v="2"/>
    <n v="1"/>
    <n v="4"/>
    <n v="0"/>
    <n v="45"/>
    <n v="6"/>
    <n v="2"/>
    <n v="2"/>
    <n v="1438.3"/>
    <n v="740"/>
    <n v="698.3"/>
    <n v="0.69799999999999995"/>
    <n v="4970"/>
    <n v="87"/>
    <n v="0.93300000000000005"/>
    <n v="0.51400000000000001"/>
    <n v="1.1382E-4"/>
    <n v="0.99988999999999995"/>
    <s v="5.145658191163692"/>
    <s v="38.45474781509618"/>
    <s v="90.19944359230207"/>
    <s v="14.614771531056014"/>
    <n v="717797658"/>
    <x v="0"/>
    <n v="5.4489190000000002E-4"/>
    <x v="0"/>
  </r>
  <r>
    <n v="41"/>
    <n v="1"/>
    <n v="3"/>
    <n v="2"/>
    <n v="2"/>
    <n v="3"/>
    <n v="0"/>
    <n v="26"/>
    <n v="4"/>
    <n v="3"/>
    <n v="2"/>
    <n v="11806"/>
    <n v="1811"/>
    <n v="9995"/>
    <n v="0.754"/>
    <n v="1465"/>
    <n v="31"/>
    <n v="0.47599999999999998"/>
    <n v="0.153"/>
    <n v="1.8665000000000001E-4"/>
    <n v="0.99980999999999998"/>
    <s v="24.959986158161723"/>
    <s v="74.02414066738527"/>
    <s v="30.39722015289252"/>
    <s v="0.8345117378581135"/>
    <n v="720916683"/>
    <x v="0"/>
    <n v="1.1982243E-3"/>
    <x v="0"/>
  </r>
  <r>
    <n v="51"/>
    <n v="1"/>
    <n v="3"/>
    <n v="3"/>
    <n v="2"/>
    <n v="0"/>
    <n v="0"/>
    <n v="36"/>
    <n v="5"/>
    <n v="1"/>
    <n v="4"/>
    <n v="20741"/>
    <n v="2504"/>
    <n v="18237"/>
    <n v="0.8"/>
    <n v="1818"/>
    <n v="51"/>
    <n v="1.04"/>
    <n v="0.121"/>
    <n v="1.5941999999999999E-4"/>
    <n v="0.99983999999999995"/>
    <s v="16.133599929202624"/>
    <s v="3.1019706894867136"/>
    <s v="114.67447209865588"/>
    <s v="10.293468328603954"/>
    <n v="713075283"/>
    <x v="0"/>
    <n v="8.4624549999999998E-4"/>
    <x v="0"/>
  </r>
  <r>
    <n v="44"/>
    <n v="0"/>
    <n v="2"/>
    <n v="0"/>
    <n v="2"/>
    <n v="1"/>
    <n v="0"/>
    <n v="33"/>
    <n v="4"/>
    <n v="2"/>
    <n v="3"/>
    <n v="4589"/>
    <n v="1240"/>
    <n v="3349"/>
    <n v="0.85599999999999998"/>
    <n v="1637"/>
    <n v="61"/>
    <n v="0.90600000000000003"/>
    <n v="0.27"/>
    <n v="1.8611999999999999E-4"/>
    <n v="0.99980999999999998"/>
    <s v="27.44374876234076"/>
    <s v="26.76470059470856"/>
    <s v="107.71952652176503"/>
    <s v="19.954214437183765"/>
    <n v="772139433"/>
    <x v="0"/>
    <n v="3.943474E-4"/>
    <x v="0"/>
  </r>
  <r>
    <n v="37"/>
    <n v="1"/>
    <n v="2"/>
    <n v="3"/>
    <n v="1"/>
    <n v="3"/>
    <n v="0"/>
    <n v="31"/>
    <n v="3"/>
    <n v="2"/>
    <n v="4"/>
    <n v="7304"/>
    <n v="0"/>
    <n v="7304"/>
    <n v="1.1439999999999999"/>
    <n v="2717"/>
    <n v="63"/>
    <n v="0.70299999999999996"/>
    <n v="0"/>
    <n v="3.1745999999999999E-4"/>
    <n v="0.99968000000000001"/>
    <s v="43.91813951117275"/>
    <s v="11.795705002744302"/>
    <s v="76.00379143209112"/>
    <s v="1.8338088160985373"/>
    <n v="768928833"/>
    <x v="0"/>
    <n v="9.7070320000000002E-4"/>
    <x v="0"/>
  </r>
  <r>
    <n v="50"/>
    <n v="0"/>
    <n v="3"/>
    <n v="2"/>
    <n v="1"/>
    <n v="1"/>
    <n v="0"/>
    <n v="41"/>
    <n v="2"/>
    <n v="3"/>
    <n v="1"/>
    <n v="4755"/>
    <n v="0"/>
    <n v="4755"/>
    <n v="0.77600000000000002"/>
    <n v="15999"/>
    <n v="109"/>
    <n v="0.73"/>
    <n v="0"/>
    <n v="1.1256000000000001E-4"/>
    <n v="0.99988999999999995"/>
    <n v="18.7377954629344"/>
    <s v="5.764782207988939"/>
    <s v="98.31393937652076"/>
    <s v="3.738491965055245"/>
    <n v="714577233"/>
    <x v="0"/>
    <n v="7.5047980000000002E-4"/>
    <x v="0"/>
  </r>
  <r>
    <n v="46"/>
    <n v="1"/>
    <n v="3"/>
    <n v="3"/>
    <n v="1"/>
    <n v="3"/>
    <n v="0"/>
    <n v="40"/>
    <n v="4"/>
    <n v="3"/>
    <n v="3"/>
    <n v="19458"/>
    <n v="1435"/>
    <n v="18023"/>
    <n v="0.78700000000000003"/>
    <n v="1217"/>
    <n v="27"/>
    <n v="0.8"/>
    <n v="7.3999999999999996E-2"/>
    <n v="3.0516000000000001E-4"/>
    <n v="0.99968999999999997"/>
    <s v="8.484919797247208"/>
    <s v="76.54573838875501"/>
    <s v="63.35325159742833"/>
    <s v="16.594235267499357"/>
    <n v="799723908"/>
    <x v="0"/>
    <n v="1.0684258000000001E-3"/>
    <x v="0"/>
  </r>
  <r>
    <n v="51"/>
    <n v="1"/>
    <n v="2"/>
    <n v="2"/>
    <n v="1"/>
    <n v="3"/>
    <n v="0"/>
    <n v="36"/>
    <n v="4"/>
    <n v="3"/>
    <n v="2"/>
    <n v="19262"/>
    <n v="1480"/>
    <n v="17782"/>
    <n v="0.64900000000000002"/>
    <n v="4812"/>
    <n v="85"/>
    <n v="0.77100000000000002"/>
    <n v="7.6999999999999999E-2"/>
    <n v="1.7987E-4"/>
    <n v="0.99982000000000004"/>
    <s v="8.392543849045058"/>
    <s v="54.19223989230358"/>
    <s v="15.458775837426826"/>
    <s v="3.927471754336492"/>
    <n v="710650608"/>
    <x v="0"/>
    <n v="3.3885973999999997E-4"/>
    <x v="0"/>
  </r>
  <r>
    <n v="43"/>
    <n v="0"/>
    <n v="3"/>
    <n v="6"/>
    <n v="3"/>
    <n v="4"/>
    <n v="0"/>
    <n v="24"/>
    <n v="6"/>
    <n v="1"/>
    <n v="4"/>
    <n v="5544"/>
    <n v="1095"/>
    <n v="4449"/>
    <n v="0.57199999999999995"/>
    <n v="3829"/>
    <n v="55"/>
    <n v="0.96399999999999997"/>
    <n v="0.19800000000000001"/>
    <n v="1.8024999999999999E-4"/>
    <n v="0.99982000000000004"/>
    <s v="22.132377609998056"/>
    <s v="108.96174661864517"/>
    <s v="19.162384328498984"/>
    <s v="3.735981542910117"/>
    <n v="709039533"/>
    <x v="0"/>
    <n v="4.6176806999999998E-4"/>
    <x v="0"/>
  </r>
  <r>
    <n v="42"/>
    <n v="0"/>
    <n v="4"/>
    <n v="2"/>
    <n v="2"/>
    <n v="4"/>
    <n v="0"/>
    <n v="33"/>
    <n v="4"/>
    <n v="2"/>
    <n v="2"/>
    <n v="2899"/>
    <n v="1952"/>
    <n v="947"/>
    <n v="0.66700000000000004"/>
    <n v="4906"/>
    <n v="94"/>
    <n v="0.67900000000000005"/>
    <n v="0.67300000000000004"/>
    <n v="1.1937E-4"/>
    <n v="0.99987999999999999"/>
    <s v="41.36138363107172"/>
    <s v="17.726480070388476"/>
    <s v="67.54175789219637"/>
    <s v="18.09842281228487"/>
    <n v="713713983"/>
    <x v="0"/>
    <n v="3.2101269999999999E-4"/>
    <x v="0"/>
  </r>
  <r>
    <n v="42"/>
    <n v="1"/>
    <n v="4"/>
    <n v="1"/>
    <n v="1"/>
    <n v="3"/>
    <n v="0"/>
    <n v="27"/>
    <n v="5"/>
    <n v="3"/>
    <n v="4"/>
    <n v="31864"/>
    <n v="0"/>
    <n v="31864"/>
    <n v="1.0089999999999999"/>
    <n v="1591"/>
    <n v="35"/>
    <n v="0.75"/>
    <n v="0"/>
    <n v="7.8293999999999998E-4"/>
    <n v="0.99922"/>
    <s v="14.08338824800005"/>
    <s v="44.08072264869873"/>
    <s v="24.49073737365861"/>
    <s v="24.740617065405555"/>
    <n v="716529258"/>
    <x v="0"/>
    <n v="4.7783119999999998E-3"/>
    <x v="0"/>
  </r>
  <r>
    <n v="41"/>
    <n v="0"/>
    <n v="2"/>
    <n v="3"/>
    <n v="1"/>
    <n v="4"/>
    <n v="0"/>
    <n v="36"/>
    <n v="6"/>
    <n v="2"/>
    <n v="2"/>
    <n v="4953"/>
    <n v="991"/>
    <n v="3962"/>
    <n v="0.34200000000000003"/>
    <n v="4183"/>
    <n v="67"/>
    <n v="0.48899999999999999"/>
    <n v="0.2"/>
    <n v="1.1065000000000001E-4"/>
    <n v="0.99988999999999995"/>
    <s v="43.448677310036885"/>
    <s v="1.9744690945220404"/>
    <s v="84.05402622617802"/>
    <s v="1.6440070933000142"/>
    <n v="713082708"/>
    <x v="0"/>
    <n v="3.5747702000000001E-4"/>
    <x v="0"/>
  </r>
  <r>
    <n v="46"/>
    <n v="1"/>
    <n v="5"/>
    <n v="6"/>
    <n v="1"/>
    <n v="2"/>
    <n v="0"/>
    <n v="35"/>
    <n v="3"/>
    <n v="3"/>
    <n v="3"/>
    <n v="1790"/>
    <n v="796"/>
    <n v="994"/>
    <n v="0.72199999999999998"/>
    <n v="3539"/>
    <n v="57"/>
    <n v="0.96599999999999997"/>
    <n v="0.44500000000000001"/>
    <n v="3.4328000000000001E-4"/>
    <n v="0.99965999999999999"/>
    <s v="20.35615635894663"/>
    <s v="79.40905460378619"/>
    <s v="107.16222773649102"/>
    <s v="1.6901625861248288"/>
    <n v="715423233"/>
    <x v="0"/>
    <n v="7.2555000000000004E-4"/>
    <x v="0"/>
  </r>
  <r>
    <n v="38"/>
    <n v="0"/>
    <n v="2"/>
    <n v="3"/>
    <n v="1"/>
    <n v="5"/>
    <n v="0"/>
    <n v="27"/>
    <n v="5"/>
    <n v="2"/>
    <n v="1"/>
    <n v="14831"/>
    <n v="1302"/>
    <n v="13529"/>
    <n v="0.91600000000000004"/>
    <n v="4467"/>
    <n v="73"/>
    <n v="0.69799999999999995"/>
    <n v="8.7999999999999995E-2"/>
    <s v="6.6728e-05"/>
    <n v="0.99992999999999999"/>
    <s v="18.628011008935868"/>
    <s v="33.41189749533365"/>
    <s v="31.30781281237788"/>
    <s v="21.97640263950121"/>
    <n v="713166333"/>
    <x v="0"/>
    <n v="3.4719318999999998E-4"/>
    <x v="0"/>
  </r>
  <r>
    <n v="38"/>
    <n v="1"/>
    <n v="2"/>
    <n v="3"/>
    <n v="1"/>
    <n v="1"/>
    <n v="0"/>
    <n v="32"/>
    <n v="3"/>
    <n v="2"/>
    <n v="2"/>
    <n v="1438.3"/>
    <n v="0"/>
    <n v="1438.3"/>
    <n v="0.84599999999999997"/>
    <n v="1999"/>
    <n v="39"/>
    <n v="0.56000000000000005"/>
    <n v="0"/>
    <n v="1.1065000000000001E-4"/>
    <n v="0.99988999999999995"/>
    <s v="13.176038597246524"/>
    <n v="8.7601647195738792"/>
    <s v="4.117756584565434"/>
    <n v="9.2458322686529293"/>
    <n v="784798683"/>
    <x v="0"/>
    <n v="4.9330885999999997E-3"/>
    <x v="0"/>
  </r>
  <r>
    <n v="34"/>
    <n v="1"/>
    <n v="2"/>
    <n v="3"/>
    <n v="2"/>
    <n v="2"/>
    <n v="0"/>
    <n v="36"/>
    <n v="2"/>
    <n v="3"/>
    <n v="2"/>
    <n v="9719"/>
    <n v="2517"/>
    <n v="7202"/>
    <n v="0.90600000000000003"/>
    <n v="9183"/>
    <n v="51"/>
    <n v="0.7"/>
    <n v="0.25900000000000001"/>
    <n v="0.99431000000000003"/>
    <n v="5.6899999999999997E-3"/>
    <s v="4.285184957301542"/>
    <s v="43.934838267522295"/>
    <s v="106.78210292758185"/>
    <s v="9.636848840568211"/>
    <n v="715051608"/>
    <x v="1"/>
    <n v="0.99449120000000002"/>
    <x v="1"/>
  </r>
  <r>
    <n v="44"/>
    <n v="0"/>
    <n v="1"/>
    <n v="6"/>
    <n v="0"/>
    <n v="4"/>
    <n v="3"/>
    <n v="34"/>
    <n v="1"/>
    <n v="1"/>
    <n v="3"/>
    <n v="13259"/>
    <n v="866"/>
    <n v="12393"/>
    <n v="0.81"/>
    <n v="8998"/>
    <n v="102"/>
    <n v="0.67200000000000004"/>
    <n v="6.5000000000000002E-2"/>
    <s v="8.636e-05"/>
    <n v="0.99990999999999997"/>
    <s v="31.862540420003803"/>
    <s v="27.963183175999816"/>
    <s v="21.62047248583665"/>
    <s v="16.309294117528978"/>
    <n v="719740983"/>
    <x v="0"/>
    <n v="5.5329339999999998E-4"/>
    <x v="0"/>
  </r>
  <r>
    <n v="41"/>
    <n v="0"/>
    <n v="2"/>
    <n v="6"/>
    <n v="2"/>
    <n v="4"/>
    <n v="0"/>
    <n v="36"/>
    <n v="3"/>
    <n v="2"/>
    <n v="2"/>
    <n v="1438.3"/>
    <n v="834"/>
    <n v="604.29999999999995"/>
    <n v="0.40699999999999997"/>
    <n v="1890"/>
    <n v="43"/>
    <n v="0.38700000000000001"/>
    <n v="0.57999999999999996"/>
    <n v="0.99207000000000001"/>
    <n v="7.9299999999999995E-3"/>
    <s v="33.01584945224885"/>
    <s v="3.3380501109692844"/>
    <s v="90.48688933092735"/>
    <s v="3.725691787064068"/>
    <n v="713891133"/>
    <x v="1"/>
    <n v="0.99693142999999995"/>
    <x v="1"/>
  </r>
  <r>
    <n v="57"/>
    <n v="1"/>
    <n v="3"/>
    <n v="1"/>
    <n v="1"/>
    <n v="3"/>
    <n v="0"/>
    <n v="50"/>
    <n v="3"/>
    <n v="2"/>
    <n v="3"/>
    <n v="4522"/>
    <n v="1861"/>
    <n v="2661"/>
    <n v="0.95699999999999996"/>
    <n v="1806"/>
    <n v="38"/>
    <n v="0.72699999999999998"/>
    <n v="0.41199999999999998"/>
    <n v="2.8744000000000003E-4"/>
    <n v="0.99970999999999999"/>
    <s v="17.912324844215018"/>
    <s v="53.35614608406031"/>
    <s v="187.4026727738041"/>
    <s v="1.834197851731648"/>
    <n v="756013833"/>
    <x v="0"/>
    <n v="1.0634780000000001E-3"/>
    <x v="0"/>
  </r>
  <r>
    <n v="49"/>
    <n v="1"/>
    <n v="3"/>
    <n v="2"/>
    <n v="2"/>
    <n v="3"/>
    <n v="0"/>
    <n v="36"/>
    <n v="3"/>
    <n v="2"/>
    <n v="1"/>
    <n v="3261"/>
    <n v="0"/>
    <n v="3261"/>
    <n v="1.012"/>
    <n v="3081"/>
    <n v="50"/>
    <n v="0.66700000000000004"/>
    <n v="0"/>
    <n v="0.98616000000000004"/>
    <n v="1.384E-2"/>
    <s v="4.038868228769556"/>
    <s v="11.09893648512316"/>
    <s v="45.150955728898325"/>
    <s v="0.5293276226649782"/>
    <n v="715987758"/>
    <x v="1"/>
    <n v="0.99796534000000003"/>
    <x v="1"/>
  </r>
  <r>
    <n v="49"/>
    <n v="1"/>
    <n v="3"/>
    <n v="4"/>
    <n v="2"/>
    <n v="0"/>
    <n v="3"/>
    <n v="36"/>
    <n v="6"/>
    <n v="1"/>
    <n v="5"/>
    <n v="34516"/>
    <n v="1323"/>
    <n v="33193"/>
    <n v="0.93400000000000005"/>
    <n v="3422"/>
    <n v="78"/>
    <n v="0.52900000000000003"/>
    <n v="3.7999999999999999E-2"/>
    <n v="3.0168000000000003E-4"/>
    <n v="0.99970000000000003"/>
    <s v="27.88128893097739"/>
    <s v="3.850330410347697"/>
    <s v="107.53651050035306"/>
    <s v="7.424749883799826"/>
    <n v="720132258"/>
    <x v="0"/>
    <n v="3.8516849999999998E-4"/>
    <x v="0"/>
  </r>
  <r>
    <n v="47"/>
    <n v="0"/>
    <n v="1"/>
    <n v="2"/>
    <n v="1"/>
    <n v="1"/>
    <n v="0"/>
    <n v="35"/>
    <n v="3"/>
    <n v="3"/>
    <n v="5"/>
    <n v="1438.3"/>
    <n v="0"/>
    <n v="1438.3"/>
    <n v="0.80900000000000005"/>
    <n v="2276"/>
    <n v="40"/>
    <n v="0.53800000000000003"/>
    <n v="0"/>
    <n v="0.99880999999999998"/>
    <n v="1.1910600000000001E-3"/>
    <n v="25.470133916413399"/>
    <s v="12.769731510635053"/>
    <s v="89.28837395898688"/>
    <n v="11.853508205288801"/>
    <n v="771733608"/>
    <x v="1"/>
    <n v="0.99804663999999998"/>
    <x v="1"/>
  </r>
  <r>
    <n v="51"/>
    <n v="0"/>
    <n v="2"/>
    <n v="2"/>
    <n v="2"/>
    <n v="1"/>
    <n v="0"/>
    <n v="36"/>
    <n v="3"/>
    <n v="1"/>
    <n v="4"/>
    <n v="1495"/>
    <n v="0"/>
    <n v="1495"/>
    <n v="0.52800000000000002"/>
    <n v="2220"/>
    <n v="50"/>
    <n v="0.56200000000000006"/>
    <n v="0"/>
    <n v="0.99370999999999998"/>
    <n v="6.2899999999999996E-3"/>
    <s v="28.81497503214856"/>
    <s v="17.675342163949598"/>
    <s v="17.413375994793114"/>
    <s v="23.960412875730405"/>
    <n v="714346608"/>
    <x v="1"/>
    <n v="0.99808430000000004"/>
    <x v="1"/>
  </r>
  <r>
    <n v="50"/>
    <n v="1"/>
    <n v="3"/>
    <n v="0"/>
    <n v="3"/>
    <n v="2"/>
    <n v="0"/>
    <n v="42"/>
    <n v="1"/>
    <n v="2"/>
    <n v="3"/>
    <n v="12889"/>
    <n v="1822"/>
    <n v="11067"/>
    <n v="0.88"/>
    <n v="8272"/>
    <n v="79"/>
    <n v="0.83699999999999997"/>
    <n v="0.14099999999999999"/>
    <n v="1.9312999999999999E-4"/>
    <n v="0.99980999999999998"/>
    <n v="57.636275096566997"/>
    <s v="57.02824055348278"/>
    <s v="142.4766319800872"/>
    <s v="15.829351133040152"/>
    <n v="714054408"/>
    <x v="0"/>
    <n v="5.0494296000000004E-4"/>
    <x v="0"/>
  </r>
  <r>
    <n v="59"/>
    <n v="0"/>
    <n v="1"/>
    <n v="2"/>
    <n v="2"/>
    <n v="4"/>
    <n v="0"/>
    <n v="36"/>
    <n v="3"/>
    <n v="2"/>
    <n v="3"/>
    <n v="6335"/>
    <n v="1128"/>
    <n v="5207"/>
    <n v="0.39700000000000002"/>
    <n v="1217"/>
    <n v="20"/>
    <n v="0.66700000000000004"/>
    <n v="0.17799999999999999"/>
    <n v="1.7969000000000001E-4"/>
    <n v="0.99982000000000004"/>
    <s v="9.816818328719425"/>
    <s v="55.80215974476189"/>
    <s v="85.17663916504905"/>
    <s v="21.149088208588225"/>
    <n v="718744008"/>
    <x v="0"/>
    <n v="1.0634780000000001E-3"/>
    <x v="0"/>
  </r>
  <r>
    <n v="46"/>
    <n v="1"/>
    <n v="3"/>
    <n v="0"/>
    <n v="1"/>
    <n v="3"/>
    <n v="0"/>
    <n v="41"/>
    <n v="4"/>
    <n v="3"/>
    <n v="1"/>
    <n v="18927"/>
    <n v="887"/>
    <n v="18040"/>
    <n v="1.0649999999999999"/>
    <n v="3101"/>
    <n v="54"/>
    <n v="1"/>
    <n v="4.7E-2"/>
    <n v="1.0944E-4"/>
    <n v="0.99988999999999995"/>
    <s v="24.48872531537884"/>
    <s v="17.86367679768123"/>
    <s v="38.69573474851999"/>
    <s v="3.566689668563233"/>
    <n v="815308683"/>
    <x v="0"/>
    <n v="6.8742059999999999E-4"/>
    <x v="0"/>
  </r>
  <r>
    <n v="48"/>
    <n v="1"/>
    <n v="3"/>
    <n v="4"/>
    <n v="0"/>
    <n v="2"/>
    <n v="0"/>
    <n v="36"/>
    <n v="3"/>
    <n v="3"/>
    <n v="4"/>
    <n v="2648"/>
    <n v="0"/>
    <n v="2648"/>
    <n v="0.71499999999999997"/>
    <n v="3880"/>
    <n v="74"/>
    <n v="0.72099999999999997"/>
    <n v="0"/>
    <n v="6.2998000000000004E-4"/>
    <n v="0.99936999999999998"/>
    <s v="37.09443230280447"/>
    <s v="12.82443707657848"/>
    <s v="21.92314818553225"/>
    <s v="28.225833153422982"/>
    <n v="718243533"/>
    <x v="0"/>
    <n v="7.3773605999999999E-4"/>
    <x v="0"/>
  </r>
  <r>
    <n v="42"/>
    <n v="1"/>
    <n v="4"/>
    <n v="2"/>
    <n v="1"/>
    <n v="2"/>
    <n v="3"/>
    <n v="28"/>
    <n v="5"/>
    <n v="1"/>
    <n v="2"/>
    <n v="28202"/>
    <n v="843"/>
    <n v="27359"/>
    <n v="0.63700000000000001"/>
    <n v="1629"/>
    <n v="38"/>
    <n v="0.72699999999999998"/>
    <n v="0.03"/>
    <s v="5.2192e-05"/>
    <n v="0.99995000000000001"/>
    <s v="4.366957266278781"/>
    <s v="15.325614057497916"/>
    <s v="10.20988755407772"/>
    <n v="8.8896810857570596"/>
    <n v="721144383"/>
    <x v="0"/>
    <n v="1.8116848999999999E-3"/>
    <x v="0"/>
  </r>
  <r>
    <n v="48"/>
    <n v="1"/>
    <n v="2"/>
    <n v="1"/>
    <n v="2"/>
    <n v="0"/>
    <n v="0"/>
    <n v="41"/>
    <n v="5"/>
    <n v="2"/>
    <n v="1"/>
    <n v="20148"/>
    <n v="1084"/>
    <n v="19064"/>
    <n v="0.79"/>
    <n v="3921"/>
    <n v="74"/>
    <n v="0.54200000000000004"/>
    <n v="5.3999999999999999E-2"/>
    <s v="9.933e-05"/>
    <n v="0.99990000000000001"/>
    <n v="30.577497402315601"/>
    <s v="19.71154306160952"/>
    <s v="90.80342451081032"/>
    <s v="12.726716554357504"/>
    <n v="778148283"/>
    <x v="0"/>
    <n v="3.6634394000000002E-4"/>
    <x v="0"/>
  </r>
  <r>
    <n v="56"/>
    <n v="1"/>
    <n v="4"/>
    <n v="3"/>
    <n v="2"/>
    <n v="3"/>
    <n v="0"/>
    <n v="40"/>
    <n v="4"/>
    <n v="3"/>
    <n v="3"/>
    <n v="34516"/>
    <n v="0"/>
    <n v="34516"/>
    <n v="0.84599999999999997"/>
    <n v="4714"/>
    <n v="82"/>
    <n v="0.745"/>
    <n v="0"/>
    <n v="3.0842E-4"/>
    <n v="0.99968999999999997"/>
    <s v="56.160018655711376"/>
    <s v="1.2694473288452144"/>
    <s v="89.69524386627269"/>
    <n v="5.0336690235898702"/>
    <n v="779954658"/>
    <x v="0"/>
    <n v="7.1049936000000004E-4"/>
    <x v="0"/>
  </r>
  <r>
    <n v="44"/>
    <n v="0"/>
    <n v="3"/>
    <n v="5"/>
    <n v="2"/>
    <n v="1"/>
    <n v="0"/>
    <n v="34"/>
    <n v="3"/>
    <n v="3"/>
    <n v="3"/>
    <n v="2245"/>
    <n v="1342"/>
    <n v="903"/>
    <n v="0.68700000000000006"/>
    <n v="4624"/>
    <n v="87"/>
    <n v="0.70599999999999996"/>
    <n v="0.59799999999999998"/>
    <n v="3.2275000000000001E-4"/>
    <n v="0.99968000000000001"/>
    <s v="0.8628586176685107"/>
    <s v="17.46990602701598"/>
    <s v="58.89405817845196"/>
    <s v="10.526264872843347"/>
    <n v="716466483"/>
    <x v="0"/>
    <n v="3.2101269999999999E-4"/>
    <x v="0"/>
  </r>
  <r>
    <n v="52"/>
    <n v="0"/>
    <n v="3"/>
    <n v="5"/>
    <n v="3"/>
    <n v="1"/>
    <n v="0"/>
    <n v="36"/>
    <n v="5"/>
    <n v="2"/>
    <n v="2"/>
    <n v="2498"/>
    <n v="1650"/>
    <n v="848"/>
    <n v="0.67300000000000004"/>
    <n v="4434"/>
    <n v="79"/>
    <n v="0.83699999999999997"/>
    <n v="0.66100000000000003"/>
    <n v="1.2144E-4"/>
    <n v="0.99987999999999999"/>
    <s v="39.74234377302432"/>
    <n v="49.579090356805999"/>
    <s v="37.92788667973395"/>
    <n v="5.2737875853868603"/>
    <n v="711020358"/>
    <x v="0"/>
    <n v="3.2101269999999999E-4"/>
    <x v="0"/>
  </r>
  <r>
    <n v="44"/>
    <n v="0"/>
    <n v="5"/>
    <n v="2"/>
    <n v="3"/>
    <n v="4"/>
    <n v="0"/>
    <n v="39"/>
    <n v="6"/>
    <n v="3"/>
    <n v="2"/>
    <n v="1545"/>
    <n v="0"/>
    <n v="1545"/>
    <n v="0.749"/>
    <n v="2646"/>
    <n v="39"/>
    <n v="0.44400000000000001"/>
    <n v="0"/>
    <n v="0.99463999999999997"/>
    <n v="5.3600000000000002E-3"/>
    <s v="12.928366952497877"/>
    <s v="16.450080202313757"/>
    <n v="64.473878817097102"/>
    <s v="1.2787501080046113"/>
    <n v="819688458"/>
    <x v="1"/>
    <n v="0.99873226999999998"/>
    <x v="1"/>
  </r>
  <r>
    <n v="38"/>
    <n v="0"/>
    <n v="3"/>
    <n v="5"/>
    <n v="1"/>
    <n v="1"/>
    <n v="0"/>
    <n v="36"/>
    <n v="5"/>
    <n v="5"/>
    <n v="3"/>
    <n v="5293"/>
    <n v="1030"/>
    <n v="4263"/>
    <n v="0.86299999999999999"/>
    <n v="4377"/>
    <n v="62"/>
    <n v="0.879"/>
    <n v="0.19500000000000001"/>
    <n v="3.6047999999999999E-4"/>
    <n v="0.99963999999999997"/>
    <s v="20.52176550163522"/>
    <s v="85.44291738628971"/>
    <s v="87.72851012072508"/>
    <s v="13.01228686634744"/>
    <n v="721122258"/>
    <x v="0"/>
    <n v="3.479205E-4"/>
    <x v="0"/>
  </r>
  <r>
    <n v="42"/>
    <n v="1"/>
    <n v="4"/>
    <n v="2"/>
    <n v="0"/>
    <n v="3"/>
    <n v="0"/>
    <n v="35"/>
    <n v="3"/>
    <n v="2"/>
    <n v="2"/>
    <n v="18274"/>
    <n v="1623"/>
    <n v="16651"/>
    <n v="0.68100000000000005"/>
    <n v="3886"/>
    <n v="81"/>
    <n v="0.8"/>
    <n v="8.8999999999999996E-2"/>
    <n v="1.1937E-4"/>
    <n v="0.99987999999999999"/>
    <s v="5.711426353023351"/>
    <s v="6.281481182762343"/>
    <s v="45.28976789758711"/>
    <s v="21.846771088946788"/>
    <n v="711925608"/>
    <x v="0"/>
    <n v="3.3022385E-4"/>
    <x v="0"/>
  </r>
  <r>
    <n v="31"/>
    <n v="0"/>
    <n v="0"/>
    <n v="5"/>
    <n v="2"/>
    <n v="4"/>
    <n v="0"/>
    <n v="20"/>
    <n v="4"/>
    <n v="3"/>
    <n v="4"/>
    <n v="4712"/>
    <n v="955"/>
    <n v="3757"/>
    <n v="0.85499999999999998"/>
    <n v="2568"/>
    <n v="62"/>
    <n v="0.59"/>
    <n v="0.20300000000000001"/>
    <n v="4.5531E-4"/>
    <n v="0.99953999999999998"/>
    <s v="45.92787226827918"/>
    <n v="4.7385962175332903"/>
    <s v="5.236979092652724"/>
    <s v="1.174272065161972"/>
    <n v="715533108"/>
    <x v="0"/>
    <n v="5.3973705999999996E-4"/>
    <x v="0"/>
  </r>
  <r>
    <n v="51"/>
    <n v="0"/>
    <n v="2"/>
    <n v="5"/>
    <n v="2"/>
    <n v="4"/>
    <n v="0"/>
    <n v="44"/>
    <n v="6"/>
    <n v="1"/>
    <n v="4"/>
    <n v="1438.3"/>
    <n v="0"/>
    <n v="1438.3"/>
    <n v="0.82699999999999996"/>
    <n v="4488"/>
    <n v="84"/>
    <n v="0.82599999999999996"/>
    <n v="0"/>
    <n v="1.6249E-4"/>
    <n v="0.99983999999999995"/>
    <s v="27.329085592479608"/>
    <s v="17.947356231168488"/>
    <n v="60.906769114815603"/>
    <s v="24.18956297250012"/>
    <n v="718685358"/>
    <x v="0"/>
    <n v="6.9517245999999998E-4"/>
    <x v="0"/>
  </r>
  <r>
    <n v="48"/>
    <n v="0"/>
    <n v="3"/>
    <n v="6"/>
    <n v="3"/>
    <n v="1"/>
    <n v="0"/>
    <n v="42"/>
    <n v="2"/>
    <n v="1"/>
    <n v="1"/>
    <n v="9742"/>
    <n v="2517"/>
    <n v="7225"/>
    <n v="0.69199999999999995"/>
    <n v="13082"/>
    <n v="92"/>
    <n v="0.80400000000000005"/>
    <n v="0.25800000000000001"/>
    <s v="3.7884e-05"/>
    <n v="0.99995999999999996"/>
    <s v="28.359206280072687"/>
    <s v="6.671527137715871"/>
    <s v="94.78977542387295"/>
    <s v="6.135932797467151"/>
    <n v="798783858"/>
    <x v="0"/>
    <n v="3.7453471999999999E-4"/>
    <x v="0"/>
  </r>
  <r>
    <n v="45"/>
    <n v="1"/>
    <n v="3"/>
    <n v="2"/>
    <n v="0"/>
    <n v="2"/>
    <n v="3"/>
    <n v="31"/>
    <n v="2"/>
    <n v="1"/>
    <n v="3"/>
    <n v="34516"/>
    <n v="1509"/>
    <n v="33007"/>
    <n v="0.72799999999999998"/>
    <n v="7167"/>
    <n v="91"/>
    <n v="0.625"/>
    <n v="4.3999999999999997E-2"/>
    <s v="8.6856e-05"/>
    <n v="0.99990999999999997"/>
    <n v="1.1735530227947999"/>
    <s v="18.337273182359663"/>
    <s v="33.74727256967299"/>
    <s v="24.651128565971533"/>
    <n v="709838508"/>
    <x v="0"/>
    <n v="4.2060707000000003E-4"/>
    <x v="0"/>
  </r>
  <r>
    <n v="59"/>
    <n v="1"/>
    <n v="0"/>
    <n v="3"/>
    <n v="2"/>
    <n v="1"/>
    <n v="0"/>
    <n v="48"/>
    <n v="2"/>
    <n v="4"/>
    <n v="3"/>
    <n v="3616"/>
    <n v="1054"/>
    <n v="2562"/>
    <n v="0.61599999999999999"/>
    <n v="687"/>
    <n v="17"/>
    <n v="0.54500000000000004"/>
    <n v="0.29099999999999998"/>
    <n v="0.99673"/>
    <n v="3.26713E-3"/>
    <s v="17.44632425760799"/>
    <s v="48.05002030856514"/>
    <s v="4.9721232775305895"/>
    <s v="22.732425990201417"/>
    <n v="772390908"/>
    <x v="1"/>
    <n v="0.99546623000000001"/>
    <x v="1"/>
  </r>
  <r>
    <n v="41"/>
    <n v="0"/>
    <n v="2"/>
    <n v="5"/>
    <n v="1"/>
    <n v="4"/>
    <n v="0"/>
    <n v="36"/>
    <n v="3"/>
    <n v="2"/>
    <n v="2"/>
    <n v="1755"/>
    <n v="0"/>
    <n v="1755"/>
    <n v="0.77"/>
    <n v="4786"/>
    <n v="73"/>
    <n v="0.55300000000000005"/>
    <n v="0"/>
    <n v="1.1703E-4"/>
    <n v="0.99987999999999999"/>
    <s v="18.869067308913472"/>
    <s v="23.287272763488076"/>
    <s v="60.741057782263546"/>
    <s v="5.531555425924333"/>
    <n v="710862258"/>
    <x v="0"/>
    <n v="7.387203E-4"/>
    <x v="0"/>
  </r>
  <r>
    <n v="40"/>
    <n v="0"/>
    <n v="3"/>
    <n v="5"/>
    <n v="0"/>
    <n v="1"/>
    <n v="0"/>
    <n v="32"/>
    <n v="3"/>
    <n v="1"/>
    <n v="2"/>
    <n v="1956"/>
    <n v="958"/>
    <n v="998"/>
    <n v="0.78900000000000003"/>
    <n v="4977"/>
    <n v="76"/>
    <n v="0.85399999999999998"/>
    <n v="0.49"/>
    <s v="5.8763e-05"/>
    <n v="0.99994000000000005"/>
    <s v="27.024186468435836"/>
    <n v="10.579771596587699"/>
    <s v="83.79252880145663"/>
    <s v="26.47956973955793"/>
    <n v="718829358"/>
    <x v="0"/>
    <n v="3.9522952000000002E-4"/>
    <x v="0"/>
  </r>
  <r>
    <n v="48"/>
    <n v="1"/>
    <n v="2"/>
    <n v="0"/>
    <n v="2"/>
    <n v="4"/>
    <n v="0"/>
    <n v="36"/>
    <n v="3"/>
    <n v="2"/>
    <n v="3"/>
    <n v="2571"/>
    <n v="1955"/>
    <n v="616"/>
    <n v="0.53100000000000003"/>
    <n v="1234"/>
    <n v="24"/>
    <n v="0.71399999999999997"/>
    <n v="0.76"/>
    <n v="1.8611999999999999E-4"/>
    <n v="0.99980999999999998"/>
    <s v="12.759997672144328"/>
    <s v="28.182977317689684"/>
    <s v="46.39135252096505"/>
    <s v="15.913078113703062"/>
    <n v="713837058"/>
    <x v="0"/>
    <n v="1.0634780000000001E-3"/>
    <x v="0"/>
  </r>
  <r>
    <n v="43"/>
    <n v="1"/>
    <n v="2"/>
    <n v="3"/>
    <n v="2"/>
    <n v="0"/>
    <n v="0"/>
    <n v="30"/>
    <n v="1"/>
    <n v="2"/>
    <n v="2"/>
    <n v="10896"/>
    <n v="2517"/>
    <n v="8379"/>
    <n v="1.028"/>
    <n v="4935"/>
    <n v="58"/>
    <n v="0.48699999999999999"/>
    <n v="0.23100000000000001"/>
    <n v="0.99104000000000003"/>
    <n v="8.9599999999999992E-3"/>
    <s v="17.709754185243252"/>
    <s v="3.1034626376764964"/>
    <s v="41.66459009177721"/>
    <s v="21.77735963841437"/>
    <n v="771097683"/>
    <x v="1"/>
    <n v="0.98827785000000001"/>
    <x v="1"/>
  </r>
  <r>
    <n v="46"/>
    <n v="0"/>
    <n v="3"/>
    <n v="5"/>
    <n v="0"/>
    <n v="1"/>
    <n v="0"/>
    <n v="39"/>
    <n v="2"/>
    <n v="3"/>
    <n v="2"/>
    <n v="3157"/>
    <n v="965"/>
    <n v="2192"/>
    <n v="0.92800000000000005"/>
    <n v="3300"/>
    <n v="58"/>
    <n v="0.56799999999999995"/>
    <n v="0.30599999999999999"/>
    <n v="0.99482000000000004"/>
    <n v="5.1799999999999997E-3"/>
    <s v="51.18284148495744"/>
    <s v="65.04147716660715"/>
    <s v="83.03655166128547"/>
    <s v="19.020245505382118"/>
    <n v="708575058"/>
    <x v="1"/>
    <n v="0.98841489999999999"/>
    <x v="1"/>
  </r>
  <r>
    <n v="41"/>
    <n v="1"/>
    <n v="3"/>
    <n v="6"/>
    <n v="0"/>
    <n v="3"/>
    <n v="0"/>
    <n v="29"/>
    <n v="5"/>
    <n v="2"/>
    <n v="3"/>
    <n v="30733"/>
    <n v="1153"/>
    <n v="29580"/>
    <n v="0.98699999999999999"/>
    <n v="3455"/>
    <n v="80"/>
    <n v="0.70199999999999996"/>
    <n v="3.7999999999999999E-2"/>
    <n v="2.1834E-4"/>
    <n v="0.99978"/>
    <s v="25.58641783341271"/>
    <s v="31.235631614907344"/>
    <n v="73.4521153450832"/>
    <s v="20.832966240163813"/>
    <n v="787491483"/>
    <x v="0"/>
    <n v="3.756586E-4"/>
    <x v="0"/>
  </r>
  <r>
    <n v="48"/>
    <n v="0"/>
    <n v="3"/>
    <n v="4"/>
    <n v="1"/>
    <n v="4"/>
    <n v="0"/>
    <n v="35"/>
    <n v="3"/>
    <n v="3"/>
    <n v="3"/>
    <n v="2640"/>
    <n v="2133"/>
    <n v="507"/>
    <n v="1.008"/>
    <n v="4956"/>
    <n v="72"/>
    <n v="0.84599999999999997"/>
    <n v="0.80800000000000005"/>
    <n v="3.6935000000000001E-4"/>
    <n v="0.99963000000000002"/>
    <s v="12.559998576161998"/>
    <s v="56.19785488169018"/>
    <s v="3.6794244819896775"/>
    <s v="4.430303683472778"/>
    <n v="770800683"/>
    <x v="0"/>
    <n v="3.221314E-4"/>
    <x v="0"/>
  </r>
  <r>
    <n v="43"/>
    <n v="1"/>
    <n v="5"/>
    <n v="2"/>
    <n v="1"/>
    <n v="2"/>
    <n v="0"/>
    <n v="35"/>
    <n v="4"/>
    <n v="3"/>
    <n v="0"/>
    <n v="21585"/>
    <n v="986"/>
    <n v="20599"/>
    <n v="0.63100000000000001"/>
    <n v="3789"/>
    <n v="70"/>
    <n v="0.75"/>
    <n v="4.5999999999999999E-2"/>
    <s v="6.8504e-05"/>
    <n v="0.99992999999999999"/>
    <s v="50.71555513081953"/>
    <s v="32.54536482566596"/>
    <s v="19.50298067539203"/>
    <s v="5.832745961042118"/>
    <n v="712939533"/>
    <x v="0"/>
    <n v="4.0456227999999999E-4"/>
    <x v="0"/>
  </r>
  <r>
    <n v="56"/>
    <n v="0"/>
    <n v="5"/>
    <n v="1"/>
    <n v="1"/>
    <n v="5"/>
    <n v="0"/>
    <n v="48"/>
    <n v="4"/>
    <n v="2"/>
    <n v="2"/>
    <n v="11281"/>
    <n v="2118"/>
    <n v="9163"/>
    <n v="0.53400000000000003"/>
    <n v="1255"/>
    <n v="30"/>
    <n v="0.30399999999999999"/>
    <n v="0.188"/>
    <n v="1.7003999999999999E-4"/>
    <n v="0.99983"/>
    <s v="1.204304732856472"/>
    <s v="24.185082219774063"/>
    <s v="63.32405640113114"/>
    <s v="1.031047512565071"/>
    <n v="719596908"/>
    <x v="0"/>
    <n v="1.1982243E-3"/>
    <x v="0"/>
  </r>
  <r>
    <n v="52"/>
    <n v="1"/>
    <n v="3"/>
    <n v="0"/>
    <n v="3"/>
    <n v="0"/>
    <n v="0"/>
    <n v="47"/>
    <n v="5"/>
    <n v="6"/>
    <n v="3"/>
    <n v="5119"/>
    <n v="1972"/>
    <n v="3147"/>
    <n v="0.83499999999999996"/>
    <n v="5146"/>
    <n v="88"/>
    <n v="0.95599999999999996"/>
    <n v="0.38500000000000001"/>
    <n v="2.4091999999999999E-4"/>
    <n v="0.99975999999999998"/>
    <s v="4.280561619853405"/>
    <n v="14.7186973201167"/>
    <s v="73.20498565453752"/>
    <n v="5.8401174408768197"/>
    <n v="806219808"/>
    <x v="0"/>
    <n v="3.2101269999999999E-4"/>
    <x v="0"/>
  </r>
  <r>
    <n v="42"/>
    <n v="1"/>
    <n v="2"/>
    <n v="5"/>
    <n v="2"/>
    <n v="3"/>
    <n v="0"/>
    <n v="37"/>
    <n v="3"/>
    <n v="3"/>
    <n v="4"/>
    <n v="19366"/>
    <n v="1592"/>
    <n v="17774"/>
    <n v="0.67900000000000005"/>
    <n v="3627"/>
    <n v="66"/>
    <n v="1"/>
    <n v="8.2000000000000003E-2"/>
    <n v="5.3054999999999997E-4"/>
    <n v="0.99946999999999997"/>
    <s v="27.021773191483977"/>
    <s v="70.08489435121318"/>
    <s v="97.34778410389076"/>
    <s v="0.4428315539776493"/>
    <n v="809797158"/>
    <x v="0"/>
    <n v="3.3885973999999997E-4"/>
    <x v="0"/>
  </r>
  <r>
    <n v="47"/>
    <n v="0"/>
    <n v="3"/>
    <n v="6"/>
    <n v="2"/>
    <n v="5"/>
    <n v="0"/>
    <n v="42"/>
    <n v="3"/>
    <n v="2"/>
    <n v="2"/>
    <n v="5884"/>
    <n v="1382"/>
    <n v="4502"/>
    <n v="0.91"/>
    <n v="4477"/>
    <n v="82"/>
    <n v="0.745"/>
    <n v="0.23499999999999999"/>
    <n v="1.2982E-4"/>
    <n v="0.99987000000000004"/>
    <s v="57.23672834347948"/>
    <s v="11.414600859967669"/>
    <s v="70.74255144507589"/>
    <s v="10.271492814385846"/>
    <n v="813338733"/>
    <x v="0"/>
    <n v="3.3750932000000002E-4"/>
    <x v="0"/>
  </r>
  <r>
    <n v="53"/>
    <n v="1"/>
    <n v="3"/>
    <n v="2"/>
    <n v="2"/>
    <n v="3"/>
    <n v="0"/>
    <n v="36"/>
    <n v="4"/>
    <n v="3"/>
    <n v="2"/>
    <n v="34516"/>
    <n v="2517"/>
    <n v="31999"/>
    <n v="0.74099999999999999"/>
    <n v="1475"/>
    <n v="33"/>
    <n v="0.83299999999999996"/>
    <n v="7.2999999999999995E-2"/>
    <n v="1.8665000000000001E-4"/>
    <n v="0.99980999999999998"/>
    <s v="9.722274539724308"/>
    <s v="4.696186000385373"/>
    <s v="149.97299746835876"/>
    <s v="3.3731345392722134"/>
    <n v="718888308"/>
    <x v="0"/>
    <n v="1.1413090000000001E-3"/>
    <x v="0"/>
  </r>
  <r>
    <n v="38"/>
    <n v="1"/>
    <n v="3"/>
    <n v="4"/>
    <n v="1"/>
    <n v="3"/>
    <n v="0"/>
    <n v="32"/>
    <n v="3"/>
    <n v="2"/>
    <n v="3"/>
    <n v="5242"/>
    <n v="470"/>
    <n v="4772"/>
    <n v="0.80500000000000005"/>
    <n v="4306"/>
    <n v="77"/>
    <n v="0.60399999999999998"/>
    <n v="0.09"/>
    <n v="2.3373E-4"/>
    <n v="0.99977000000000005"/>
    <s v="7.215374465534937"/>
    <s v="9.416378790231148"/>
    <s v="85.87164818725996"/>
    <s v="5.938778705008193"/>
    <n v="794856033"/>
    <x v="0"/>
    <n v="6.5877277000000003E-4"/>
    <x v="0"/>
  </r>
  <r>
    <n v="47"/>
    <n v="0"/>
    <n v="3"/>
    <n v="2"/>
    <n v="0"/>
    <n v="4"/>
    <n v="0"/>
    <n v="42"/>
    <n v="3"/>
    <n v="4"/>
    <n v="0"/>
    <n v="1438.3"/>
    <n v="0"/>
    <n v="1438.3"/>
    <n v="0.63500000000000001"/>
    <n v="4735"/>
    <n v="87"/>
    <n v="0.67300000000000004"/>
    <n v="0"/>
    <s v="8.3212e-05"/>
    <n v="0.99992000000000003"/>
    <s v="37.61882019781048"/>
    <s v="25.21396804734387"/>
    <s v="6.672901576632498"/>
    <s v="3.540399743405114"/>
    <n v="805461783"/>
    <x v="0"/>
    <n v="6.9517245999999998E-4"/>
    <x v="0"/>
  </r>
  <r>
    <n v="53"/>
    <n v="1"/>
    <n v="4"/>
    <n v="2"/>
    <n v="1"/>
    <n v="0"/>
    <n v="0"/>
    <n v="38"/>
    <n v="5"/>
    <n v="2"/>
    <n v="3"/>
    <n v="34516"/>
    <n v="0"/>
    <n v="34516"/>
    <n v="0.85399999999999998"/>
    <n v="8417"/>
    <n v="72"/>
    <n v="0.71399999999999997"/>
    <n v="0"/>
    <n v="0.99504000000000004"/>
    <n v="4.9552399999999996E-3"/>
    <s v="21.26808226882157"/>
    <s v="15.833154001756744"/>
    <s v="72.29508383790838"/>
    <s v="18.680774258388038"/>
    <n v="714136233"/>
    <x v="1"/>
    <n v="0.99482214000000002"/>
    <x v="1"/>
  </r>
  <r>
    <n v="39"/>
    <n v="1"/>
    <n v="2"/>
    <n v="2"/>
    <n v="3"/>
    <n v="2"/>
    <n v="3"/>
    <n v="36"/>
    <n v="4"/>
    <n v="2"/>
    <n v="2"/>
    <n v="29808"/>
    <n v="0"/>
    <n v="29808"/>
    <n v="0.66900000000000004"/>
    <n v="16098"/>
    <n v="128"/>
    <n v="0.68400000000000005"/>
    <n v="0"/>
    <n v="1.0284E-4"/>
    <n v="0.99990000000000001"/>
    <s v="18.988612755686468"/>
    <s v="0.4698078315886563"/>
    <s v="2.7884356244920543"/>
    <s v="29.228569783153088"/>
    <n v="719848008"/>
    <x v="0"/>
    <n v="7.5047980000000002E-4"/>
    <x v="0"/>
  </r>
  <r>
    <n v="47"/>
    <n v="0"/>
    <n v="3"/>
    <n v="6"/>
    <n v="1"/>
    <n v="5"/>
    <n v="0"/>
    <n v="27"/>
    <n v="1"/>
    <n v="3"/>
    <n v="3"/>
    <n v="24987"/>
    <n v="824"/>
    <n v="24163"/>
    <n v="0.69099999999999995"/>
    <n v="3995"/>
    <n v="64"/>
    <n v="0.56100000000000005"/>
    <n v="3.3000000000000002E-2"/>
    <n v="3.4503000000000002E-4"/>
    <n v="0.99965000000000004"/>
    <s v="5.061932939475398"/>
    <s v="9.061913514918674"/>
    <s v="15.145371168487245"/>
    <s v="10.364005091222992"/>
    <n v="709044183"/>
    <x v="0"/>
    <n v="6.122578E-4"/>
    <x v="0"/>
  </r>
  <r>
    <n v="40"/>
    <n v="0"/>
    <n v="3"/>
    <n v="3"/>
    <n v="3"/>
    <n v="4"/>
    <n v="0"/>
    <n v="36"/>
    <n v="5"/>
    <n v="2"/>
    <n v="2"/>
    <n v="5525"/>
    <n v="2409"/>
    <n v="3116"/>
    <n v="0.92900000000000005"/>
    <n v="2305"/>
    <n v="33"/>
    <n v="0.94099999999999995"/>
    <n v="0.436"/>
    <n v="1.1482E-4"/>
    <n v="0.99988999999999995"/>
    <s v="38.09851188613536"/>
    <n v="0.222975741208192"/>
    <s v="106.02892250693364"/>
    <n v="17.492113380057901"/>
    <n v="717128283"/>
    <x v="0"/>
    <n v="1.2356120000000001E-3"/>
    <x v="0"/>
  </r>
  <r>
    <n v="61"/>
    <n v="0"/>
    <n v="0"/>
    <n v="3"/>
    <n v="2"/>
    <n v="5"/>
    <n v="0"/>
    <n v="51"/>
    <n v="4"/>
    <n v="2"/>
    <n v="2"/>
    <n v="8476"/>
    <n v="0"/>
    <n v="8476"/>
    <n v="0.67500000000000004"/>
    <n v="3889"/>
    <n v="67"/>
    <n v="0.48899999999999999"/>
    <n v="0"/>
    <s v="9.4951e-05"/>
    <n v="0.99990999999999997"/>
    <s v="0.8990338557648755"/>
    <s v="7.474476282750057"/>
    <s v="60.370917348036095"/>
    <s v="6.192963771784291"/>
    <n v="715193433"/>
    <x v="0"/>
    <n v="8.3350899999999996E-4"/>
    <x v="0"/>
  </r>
  <r>
    <n v="56"/>
    <n v="0"/>
    <n v="0"/>
    <n v="0"/>
    <n v="1"/>
    <n v="1"/>
    <n v="0"/>
    <n v="36"/>
    <n v="5"/>
    <n v="2"/>
    <n v="3"/>
    <n v="4384"/>
    <n v="929"/>
    <n v="3455"/>
    <n v="0.67800000000000005"/>
    <n v="4792"/>
    <n v="91"/>
    <n v="0.75"/>
    <n v="0.21199999999999999"/>
    <n v="1.5971E-4"/>
    <n v="0.99983999999999995"/>
    <s v="18.241668621962727"/>
    <n v="50.538785582580097"/>
    <n v="74.534295478802406"/>
    <n v="18.4824645616733"/>
    <n v="716581983"/>
    <x v="0"/>
    <n v="3.9522952000000002E-4"/>
    <x v="0"/>
  </r>
  <r>
    <n v="54"/>
    <n v="0"/>
    <n v="0"/>
    <n v="4"/>
    <n v="2"/>
    <n v="4"/>
    <n v="3"/>
    <n v="39"/>
    <n v="6"/>
    <n v="2"/>
    <n v="3"/>
    <n v="11696"/>
    <n v="2288"/>
    <n v="9408"/>
    <n v="0.97299999999999998"/>
    <n v="2445"/>
    <n v="60"/>
    <n v="0.76500000000000001"/>
    <n v="0.19600000000000001"/>
    <n v="1.7466000000000001E-4"/>
    <n v="0.99983"/>
    <s v="27.625273001148145"/>
    <s v="3.767629111355711"/>
    <s v="72.30478303585396"/>
    <s v="1.0495906791748115"/>
    <n v="713378133"/>
    <x v="0"/>
    <n v="4.5712090000000002E-4"/>
    <x v="0"/>
  </r>
  <r>
    <n v="53"/>
    <n v="0"/>
    <n v="1"/>
    <n v="2"/>
    <n v="1"/>
    <n v="1"/>
    <n v="0"/>
    <n v="36"/>
    <n v="4"/>
    <n v="1"/>
    <n v="2"/>
    <n v="2043"/>
    <n v="1590"/>
    <n v="453"/>
    <n v="0.61799999999999999"/>
    <n v="4940"/>
    <n v="68"/>
    <n v="0.61899999999999999"/>
    <n v="0.77800000000000002"/>
    <s v="5.1697e-05"/>
    <n v="0.99995000000000001"/>
    <s v="17.62958303936044"/>
    <s v="42.65465099334117"/>
    <s v="2.4756115994433987"/>
    <s v="6.208549882155866"/>
    <n v="708680583"/>
    <x v="0"/>
    <n v="3.2914013999999999E-4"/>
    <x v="0"/>
  </r>
  <r>
    <n v="52"/>
    <n v="1"/>
    <n v="1"/>
    <n v="2"/>
    <n v="1"/>
    <n v="0"/>
    <n v="0"/>
    <n v="44"/>
    <n v="6"/>
    <n v="1"/>
    <n v="4"/>
    <n v="9274"/>
    <n v="2097"/>
    <n v="7177"/>
    <n v="0.77600000000000002"/>
    <n v="2048"/>
    <n v="59"/>
    <n v="0.63900000000000001"/>
    <n v="0.22600000000000001"/>
    <n v="1.4834000000000001E-4"/>
    <n v="0.99985000000000002"/>
    <s v="14.90257340552278"/>
    <s v="106.3643951420801"/>
    <s v="72.63894547434276"/>
    <s v="4.159787690553247"/>
    <n v="712789383"/>
    <x v="0"/>
    <n v="4.8533552999999998E-4"/>
    <x v="0"/>
  </r>
  <r>
    <n v="35"/>
    <n v="0"/>
    <n v="2"/>
    <n v="0"/>
    <n v="1"/>
    <n v="4"/>
    <n v="0"/>
    <n v="18"/>
    <n v="3"/>
    <n v="3"/>
    <n v="2"/>
    <n v="5779"/>
    <n v="2517"/>
    <n v="3262"/>
    <n v="1.2010000000000001"/>
    <n v="2102"/>
    <n v="32"/>
    <n v="1.133"/>
    <n v="0.436"/>
    <n v="1.7488000000000001E-4"/>
    <n v="0.99983"/>
    <n v="9.5795369119803997"/>
    <s v="16.279644793051023"/>
    <s v="79.78040780891392"/>
    <s v="5.700117185878608"/>
    <n v="714633858"/>
    <x v="0"/>
    <n v="1.1306825E-3"/>
    <x v="0"/>
  </r>
  <r>
    <n v="44"/>
    <n v="0"/>
    <n v="5"/>
    <n v="4"/>
    <n v="3"/>
    <n v="4"/>
    <n v="0"/>
    <n v="33"/>
    <n v="3"/>
    <n v="3"/>
    <n v="2"/>
    <n v="9073"/>
    <n v="2466"/>
    <n v="6607"/>
    <n v="0.44600000000000001"/>
    <n v="6793"/>
    <n v="60"/>
    <n v="1.069"/>
    <n v="0.27200000000000002"/>
    <n v="0.99544999999999995"/>
    <n v="4.5547499999999998E-3"/>
    <s v="15.394601399996604"/>
    <s v="84.64310419154668"/>
    <s v="47.894713167324525"/>
    <s v="33.62326866349767"/>
    <n v="789817833"/>
    <x v="1"/>
    <n v="0.98917854000000005"/>
    <x v="1"/>
  </r>
  <r>
    <n v="46"/>
    <n v="1"/>
    <n v="2"/>
    <n v="3"/>
    <n v="1"/>
    <n v="2"/>
    <n v="0"/>
    <n v="35"/>
    <n v="6"/>
    <n v="3"/>
    <n v="3"/>
    <n v="13768"/>
    <n v="763"/>
    <n v="13005"/>
    <n v="0.71199999999999997"/>
    <n v="1390"/>
    <n v="44"/>
    <n v="0.76"/>
    <n v="5.5E-2"/>
    <n v="2.9408E-4"/>
    <n v="0.99970999999999999"/>
    <s v="30.40444170341469"/>
    <n v="11.611166369314301"/>
    <s v="6.583918151837251"/>
    <s v="1.5264338158693702"/>
    <n v="719649408"/>
    <x v="0"/>
    <n v="2.0156816999999999E-3"/>
    <x v="0"/>
  </r>
  <r>
    <n v="58"/>
    <n v="1"/>
    <n v="1"/>
    <n v="3"/>
    <n v="1"/>
    <n v="2"/>
    <n v="0"/>
    <n v="46"/>
    <n v="3"/>
    <n v="2"/>
    <n v="4"/>
    <n v="4188"/>
    <n v="1147"/>
    <n v="3041"/>
    <n v="1.042"/>
    <n v="1276"/>
    <n v="25"/>
    <n v="1.083"/>
    <n v="0.27400000000000002"/>
    <n v="2.9798999999999998E-4"/>
    <n v="0.99970000000000003"/>
    <s v="13.351909672287016"/>
    <s v="17.253803958407605"/>
    <s v="51.60152001776828"/>
    <s v="21.924186233779405"/>
    <n v="771653583"/>
    <x v="0"/>
    <n v="1.0249399E-3"/>
    <x v="0"/>
  </r>
  <r>
    <n v="58"/>
    <n v="1"/>
    <n v="3"/>
    <n v="5"/>
    <n v="3"/>
    <n v="3"/>
    <n v="0"/>
    <n v="46"/>
    <n v="3"/>
    <n v="1"/>
    <n v="3"/>
    <n v="2375"/>
    <n v="1163"/>
    <n v="1212"/>
    <n v="0.91700000000000004"/>
    <n v="4769"/>
    <n v="80"/>
    <n v="0.90500000000000003"/>
    <n v="0.49"/>
    <s v="9.8837e-05"/>
    <n v="0.99990000000000001"/>
    <s v="28.045896650072468"/>
    <s v="36.02686800032025"/>
    <s v="73.87753846445662"/>
    <s v="16.86418034137736"/>
    <n v="771559158"/>
    <x v="0"/>
    <n v="3.221314E-4"/>
    <x v="0"/>
  </r>
  <r>
    <n v="44"/>
    <n v="0"/>
    <n v="3"/>
    <n v="3"/>
    <n v="2"/>
    <n v="5"/>
    <n v="0"/>
    <n v="36"/>
    <n v="1"/>
    <n v="3"/>
    <n v="2"/>
    <n v="9766"/>
    <n v="1575"/>
    <n v="8191"/>
    <n v="0.66100000000000003"/>
    <n v="7605"/>
    <n v="101"/>
    <n v="0.60299999999999998"/>
    <n v="0.161"/>
    <n v="1.8144999999999999E-4"/>
    <n v="0.99982000000000004"/>
    <s v="5.202791952837844"/>
    <s v="4.243313680514323"/>
    <s v="15.925604498706976"/>
    <s v="6.767753097844656"/>
    <n v="716986458"/>
    <x v="0"/>
    <n v="3.7789578000000003E-4"/>
    <x v="0"/>
  </r>
  <r>
    <n v="48"/>
    <n v="1"/>
    <n v="2"/>
    <n v="5"/>
    <n v="2"/>
    <n v="1"/>
    <n v="3"/>
    <n v="40"/>
    <n v="2"/>
    <n v="3"/>
    <n v="2"/>
    <n v="17812"/>
    <n v="0"/>
    <n v="17812"/>
    <n v="0.75"/>
    <n v="8379"/>
    <n v="106"/>
    <n v="0.60599999999999998"/>
    <n v="0"/>
    <n v="1.6710999999999999E-4"/>
    <n v="0.99983"/>
    <s v="5.135600989931834"/>
    <s v="115.60617853464798"/>
    <s v="46.56426353318043"/>
    <s v="1.2352669907852052"/>
    <n v="708500883"/>
    <x v="0"/>
    <n v="8.1829850000000003E-4"/>
    <x v="0"/>
  </r>
  <r>
    <n v="43"/>
    <n v="1"/>
    <n v="3"/>
    <n v="2"/>
    <n v="2"/>
    <n v="2"/>
    <n v="0"/>
    <n v="30"/>
    <n v="3"/>
    <n v="2"/>
    <n v="4"/>
    <n v="19711"/>
    <n v="0"/>
    <n v="19711"/>
    <n v="1.0369999999999999"/>
    <n v="3602"/>
    <n v="72"/>
    <n v="1"/>
    <n v="0"/>
    <n v="3.3886000000000002E-4"/>
    <n v="0.99965999999999999"/>
    <s v="17.92009496967142"/>
    <s v="11.544721137742965"/>
    <s v="82.34994748324277"/>
    <s v="8.064528385904635"/>
    <n v="718364283"/>
    <x v="0"/>
    <n v="7.4699510000000001E-4"/>
    <x v="0"/>
  </r>
  <r>
    <n v="53"/>
    <n v="0"/>
    <n v="4"/>
    <n v="2"/>
    <n v="1"/>
    <n v="1"/>
    <n v="0"/>
    <n v="36"/>
    <n v="3"/>
    <n v="2"/>
    <n v="3"/>
    <n v="4753"/>
    <n v="2472"/>
    <n v="2281"/>
    <n v="1.274"/>
    <n v="2242"/>
    <n v="49"/>
    <n v="0.81499999999999995"/>
    <n v="0.52"/>
    <n v="2.0076999999999999E-4"/>
    <n v="0.99980000000000002"/>
    <s v="24.092833070612997"/>
    <s v="127.41058446722936"/>
    <s v="26.818780808317264"/>
    <s v="2.626551021182602"/>
    <n v="714273708"/>
    <x v="0"/>
    <n v="9.3307060000000002E-4"/>
    <x v="0"/>
  </r>
  <r>
    <n v="28"/>
    <n v="0"/>
    <n v="0"/>
    <n v="2"/>
    <n v="0"/>
    <n v="4"/>
    <n v="0"/>
    <n v="23"/>
    <n v="5"/>
    <n v="1"/>
    <n v="3"/>
    <n v="3818"/>
    <n v="584"/>
    <n v="3234"/>
    <n v="0.7"/>
    <n v="2947"/>
    <n v="87"/>
    <n v="0.70599999999999996"/>
    <n v="0.153"/>
    <s v="7.9494e-05"/>
    <n v="0.99992000000000003"/>
    <s v="22.793844580697677"/>
    <s v="36.46977026363116"/>
    <s v="11.683081766884682"/>
    <s v="23.05493043424827"/>
    <n v="815104608"/>
    <x v="0"/>
    <n v="6.8270973999999996E-4"/>
    <x v="0"/>
  </r>
  <r>
    <n v="46"/>
    <n v="0"/>
    <n v="5"/>
    <n v="3"/>
    <n v="2"/>
    <n v="5"/>
    <n v="0"/>
    <n v="38"/>
    <n v="2"/>
    <n v="2"/>
    <n v="3"/>
    <n v="11287"/>
    <n v="1513"/>
    <n v="9774"/>
    <n v="0.67200000000000004"/>
    <n v="5157"/>
    <n v="72"/>
    <n v="0.94599999999999995"/>
    <n v="0.13400000000000001"/>
    <n v="1.9212999999999999E-4"/>
    <n v="0.99980999999999998"/>
    <s v="77.69869893276808"/>
    <s v="2.9852802386270936"/>
    <s v="2.143557646345894"/>
    <s v="13.319905278188816"/>
    <n v="716968683"/>
    <x v="0"/>
    <n v="3.2101269999999999E-4"/>
    <x v="0"/>
  </r>
  <r>
    <n v="51"/>
    <n v="1"/>
    <n v="2"/>
    <n v="5"/>
    <n v="0"/>
    <n v="3"/>
    <n v="0"/>
    <n v="40"/>
    <n v="1"/>
    <n v="2"/>
    <n v="3"/>
    <n v="23453"/>
    <n v="0"/>
    <n v="23453"/>
    <n v="0.72699999999999998"/>
    <n v="7555"/>
    <n v="96"/>
    <n v="0.57399999999999995"/>
    <n v="0"/>
    <n v="1.9683E-4"/>
    <n v="0.99980000000000002"/>
    <s v="7.811250028113564"/>
    <s v="10.544150428743157"/>
    <s v="41.98354987641183"/>
    <s v="26.40595949066757"/>
    <n v="789298833"/>
    <x v="0"/>
    <n v="8.4809323999999998E-4"/>
    <x v="0"/>
  </r>
  <r>
    <n v="43"/>
    <n v="0"/>
    <n v="4"/>
    <n v="2"/>
    <n v="1"/>
    <n v="4"/>
    <n v="0"/>
    <n v="37"/>
    <n v="4"/>
    <n v="3"/>
    <n v="2"/>
    <n v="4724"/>
    <n v="2056"/>
    <n v="2668"/>
    <n v="0.42299999999999999"/>
    <n v="1232"/>
    <n v="31"/>
    <n v="0.55000000000000004"/>
    <n v="0.435"/>
    <n v="1.8864000000000001E-4"/>
    <n v="0.99980999999999998"/>
    <s v="0.4248108558688102"/>
    <s v="104.71503932410502"/>
    <s v="19.30484533329357"/>
    <s v="13.243586224564735"/>
    <n v="801499908"/>
    <x v="0"/>
    <n v="1.0598798E-3"/>
    <x v="0"/>
  </r>
  <r>
    <n v="47"/>
    <n v="1"/>
    <n v="3"/>
    <n v="0"/>
    <n v="2"/>
    <n v="2"/>
    <n v="0"/>
    <n v="39"/>
    <n v="5"/>
    <n v="3"/>
    <n v="2"/>
    <n v="22599"/>
    <n v="0"/>
    <n v="22599"/>
    <n v="1.0389999999999999"/>
    <n v="4739"/>
    <n v="55"/>
    <n v="0.48599999999999999"/>
    <n v="0"/>
    <n v="0.99451999999999996"/>
    <n v="5.4799999999999996E-3"/>
    <s v="39.97486785967055"/>
    <s v="1.9762792480889708"/>
    <n v="53.277105178176797"/>
    <s v="2.865249908963772"/>
    <n v="708419733"/>
    <x v="1"/>
    <n v="0.99592846999999995"/>
    <x v="1"/>
  </r>
  <r>
    <n v="39"/>
    <n v="0"/>
    <n v="2"/>
    <n v="2"/>
    <n v="0"/>
    <n v="4"/>
    <n v="0"/>
    <n v="36"/>
    <n v="5"/>
    <n v="2"/>
    <n v="3"/>
    <n v="2092"/>
    <n v="0"/>
    <n v="2092"/>
    <n v="0.42199999999999999"/>
    <n v="2015"/>
    <n v="33"/>
    <n v="0.26900000000000002"/>
    <n v="0"/>
    <n v="0.99480000000000002"/>
    <n v="5.1999999999999998E-3"/>
    <s v="41.78860145736052"/>
    <s v="38.23644161288431"/>
    <s v="110.50303937503718"/>
    <n v="7.6478008842912102"/>
    <n v="713466033"/>
    <x v="1"/>
    <n v="0.99873226999999998"/>
    <x v="1"/>
  </r>
  <r>
    <n v="44"/>
    <n v="1"/>
    <n v="3"/>
    <n v="2"/>
    <n v="1"/>
    <n v="1"/>
    <n v="0"/>
    <n v="35"/>
    <n v="6"/>
    <n v="3"/>
    <n v="1"/>
    <n v="6327"/>
    <n v="0"/>
    <n v="6327"/>
    <n v="0.66600000000000004"/>
    <n v="3653"/>
    <n v="77"/>
    <n v="0.67400000000000004"/>
    <n v="0"/>
    <n v="1.1256000000000001E-4"/>
    <n v="0.99988999999999995"/>
    <n v="41.767655813309702"/>
    <s v="30.47687489807403"/>
    <s v="26.87859845474713"/>
    <s v="6.954495127066003"/>
    <n v="715354983"/>
    <x v="0"/>
    <n v="6.9517245999999998E-4"/>
    <x v="0"/>
  </r>
  <r>
    <n v="55"/>
    <n v="1"/>
    <n v="2"/>
    <n v="5"/>
    <n v="2"/>
    <n v="2"/>
    <n v="0"/>
    <n v="36"/>
    <n v="5"/>
    <n v="1"/>
    <n v="4"/>
    <n v="4712"/>
    <n v="1920"/>
    <n v="2792"/>
    <n v="0.59599999999999997"/>
    <n v="4277"/>
    <n v="66"/>
    <n v="0.57099999999999995"/>
    <n v="0.40699999999999997"/>
    <n v="1.6249E-4"/>
    <n v="0.99983999999999995"/>
    <s v="74.99295539815911"/>
    <s v="6.031565695134433"/>
    <s v="49.66427731640516"/>
    <s v="10.227912730558298"/>
    <n v="716345283"/>
    <x v="0"/>
    <n v="3.2914013999999999E-4"/>
    <x v="0"/>
  </r>
  <r>
    <n v="47"/>
    <n v="1"/>
    <n v="4"/>
    <n v="5"/>
    <n v="1"/>
    <n v="2"/>
    <n v="0"/>
    <n v="36"/>
    <n v="3"/>
    <n v="3"/>
    <n v="3"/>
    <n v="17557"/>
    <n v="0"/>
    <n v="17557"/>
    <n v="0.66700000000000004"/>
    <n v="2142"/>
    <n v="62"/>
    <n v="0.378"/>
    <n v="0"/>
    <n v="3.2620000000000001E-4"/>
    <n v="0.99966999999999995"/>
    <s v="0.6368665634564463"/>
    <s v="68.38187655887872"/>
    <s v="5.561936432124537"/>
    <s v="6.148895061595581"/>
    <n v="721023708"/>
    <x v="0"/>
    <n v="1.0817724999999999E-3"/>
    <x v="0"/>
  </r>
  <r>
    <n v="45"/>
    <n v="0"/>
    <n v="4"/>
    <n v="3"/>
    <n v="3"/>
    <n v="5"/>
    <n v="0"/>
    <n v="36"/>
    <n v="6"/>
    <n v="3"/>
    <n v="3"/>
    <n v="23000"/>
    <n v="1097"/>
    <n v="21903"/>
    <n v="1.095"/>
    <n v="3886"/>
    <n v="70"/>
    <n v="0.66700000000000004"/>
    <n v="4.8000000000000001E-2"/>
    <n v="3.0842E-4"/>
    <n v="0.99968999999999997"/>
    <s v="40.02773748158625"/>
    <s v="30.64526309462781"/>
    <s v="147.86811780735528"/>
    <s v="6.386479801821128"/>
    <n v="719527833"/>
    <x v="0"/>
    <n v="3.756586E-4"/>
    <x v="0"/>
  </r>
  <r>
    <n v="61"/>
    <n v="1"/>
    <n v="1"/>
    <n v="6"/>
    <n v="1"/>
    <n v="1"/>
    <n v="0"/>
    <n v="49"/>
    <n v="1"/>
    <n v="2"/>
    <n v="2"/>
    <n v="5472"/>
    <n v="788"/>
    <n v="4684"/>
    <n v="0.52600000000000002"/>
    <n v="705"/>
    <n v="14"/>
    <n v="0.27300000000000002"/>
    <n v="0.14399999999999999"/>
    <n v="0.99156"/>
    <n v="8.4399999999999996E-3"/>
    <s v="13.78076500387357"/>
    <n v="63.851249961597802"/>
    <s v="26.09952302289728"/>
    <s v="25.763691281637676"/>
    <n v="718731183"/>
    <x v="1"/>
    <n v="0.99762459999999997"/>
    <x v="1"/>
  </r>
  <r>
    <n v="55"/>
    <n v="0"/>
    <n v="3"/>
    <n v="0"/>
    <n v="2"/>
    <n v="4"/>
    <n v="1"/>
    <n v="35"/>
    <n v="2"/>
    <n v="3"/>
    <n v="3"/>
    <n v="15987"/>
    <n v="1973"/>
    <n v="14014"/>
    <n v="0.70499999999999996"/>
    <n v="7345"/>
    <n v="98"/>
    <n v="0.46300000000000002"/>
    <n v="0.123"/>
    <n v="3.5159999999999998E-4"/>
    <n v="0.99965000000000004"/>
    <s v="11.873455908004289"/>
    <s v="20.265801933710488"/>
    <n v="72.804200672237101"/>
    <s v="16.517148155883653"/>
    <n v="714823308"/>
    <x v="0"/>
    <n v="3.9225167999999998E-4"/>
    <x v="0"/>
  </r>
  <r>
    <n v="46"/>
    <n v="1"/>
    <n v="1"/>
    <n v="6"/>
    <n v="2"/>
    <n v="0"/>
    <n v="0"/>
    <n v="32"/>
    <n v="5"/>
    <n v="2"/>
    <n v="1"/>
    <n v="11840"/>
    <n v="1295"/>
    <n v="10545"/>
    <n v="0.84"/>
    <n v="1560"/>
    <n v="49"/>
    <n v="0.4"/>
    <n v="0.109"/>
    <s v="7.0819e-05"/>
    <n v="0.99992999999999999"/>
    <s v="34.14560319055007"/>
    <s v="41.75005373360368"/>
    <s v="12.285524712806518"/>
    <s v="5.772375880471301"/>
    <n v="720310458"/>
    <x v="0"/>
    <n v="9.8881959999999993E-4"/>
    <x v="0"/>
  </r>
  <r>
    <n v="58"/>
    <n v="1"/>
    <n v="2"/>
    <n v="2"/>
    <n v="1"/>
    <n v="0"/>
    <n v="0"/>
    <n v="54"/>
    <n v="6"/>
    <n v="2"/>
    <n v="4"/>
    <n v="31680"/>
    <n v="1812"/>
    <n v="29868"/>
    <n v="0.48299999999999998"/>
    <n v="1121"/>
    <n v="25"/>
    <n v="0.56200000000000006"/>
    <n v="5.7000000000000002E-2"/>
    <n v="3.2655999999999999E-4"/>
    <n v="0.99966999999999995"/>
    <s v="46.87361493583793"/>
    <s v="77.93346356523398"/>
    <s v="14.193386079934722"/>
    <s v="2.8933420388464075"/>
    <n v="826130133"/>
    <x v="0"/>
    <n v="1.1795807E-3"/>
    <x v="0"/>
  </r>
  <r>
    <n v="46"/>
    <n v="1"/>
    <n v="4"/>
    <n v="4"/>
    <n v="1"/>
    <n v="1"/>
    <n v="0"/>
    <n v="36"/>
    <n v="1"/>
    <n v="2"/>
    <n v="2"/>
    <n v="2219"/>
    <n v="1180"/>
    <n v="1039"/>
    <n v="0.76800000000000002"/>
    <n v="8686"/>
    <n v="91"/>
    <n v="0.625"/>
    <n v="0.53200000000000003"/>
    <n v="1.4045999999999999E-4"/>
    <n v="0.99985999999999997"/>
    <s v="3.797608671087885"/>
    <n v="45.846747759708698"/>
    <s v="29.488356578266743"/>
    <s v="27.61952091194432"/>
    <n v="710192283"/>
    <x v="0"/>
    <n v="3.7789578000000003E-4"/>
    <x v="0"/>
  </r>
  <r>
    <n v="38"/>
    <n v="1"/>
    <n v="0"/>
    <n v="6"/>
    <n v="1"/>
    <n v="2"/>
    <n v="0"/>
    <n v="26"/>
    <n v="5"/>
    <n v="2"/>
    <n v="1"/>
    <n v="3809"/>
    <n v="1521"/>
    <n v="2288"/>
    <n v="0.69199999999999995"/>
    <n v="4666"/>
    <n v="69"/>
    <n v="0.86499999999999999"/>
    <n v="0.39900000000000002"/>
    <s v="6.4745e-05"/>
    <n v="0.99994000000000005"/>
    <s v="23.458203566783773"/>
    <s v="24.142813424257263"/>
    <s v="72.11004819350615"/>
    <s v="13.35244095550345"/>
    <n v="771872733"/>
    <x v="0"/>
    <n v="3.2101269999999999E-4"/>
    <x v="0"/>
  </r>
  <r>
    <n v="59"/>
    <n v="0"/>
    <n v="1"/>
    <n v="0"/>
    <n v="3"/>
    <n v="4"/>
    <n v="0"/>
    <n v="49"/>
    <n v="6"/>
    <n v="5"/>
    <n v="4"/>
    <n v="4072"/>
    <n v="0"/>
    <n v="4072"/>
    <n v="0.46400000000000002"/>
    <n v="1966"/>
    <n v="43"/>
    <n v="1.1499999999999999"/>
    <n v="0"/>
    <n v="5.2594000000000002E-4"/>
    <n v="0.99946999999999997"/>
    <s v="30.55448166185233"/>
    <s v="28.83656494219974"/>
    <n v="68.034753943958094"/>
    <n v="18.8710333973515"/>
    <n v="716211258"/>
    <x v="0"/>
    <n v="3.3136427000000001E-3"/>
    <x v="0"/>
  </r>
  <r>
    <n v="52"/>
    <n v="0"/>
    <n v="4"/>
    <n v="2"/>
    <n v="2"/>
    <n v="4"/>
    <n v="0"/>
    <n v="46"/>
    <n v="3"/>
    <n v="3"/>
    <n v="3"/>
    <n v="3231"/>
    <n v="2215"/>
    <n v="1016"/>
    <n v="0.51500000000000001"/>
    <n v="4610"/>
    <n v="90"/>
    <n v="0.60699999999999998"/>
    <n v="0.68600000000000005"/>
    <n v="3.1725999999999998E-4"/>
    <n v="0.99968000000000001"/>
    <s v="3.997314574690158"/>
    <s v="39.029218410127946"/>
    <s v="131.43993709852887"/>
    <s v="7.659650649904007"/>
    <n v="801516183"/>
    <x v="0"/>
    <n v="3.2914013999999999E-4"/>
    <x v="0"/>
  </r>
  <r>
    <n v="61"/>
    <n v="1"/>
    <n v="0"/>
    <n v="4"/>
    <n v="2"/>
    <n v="2"/>
    <n v="0"/>
    <n v="43"/>
    <n v="5"/>
    <n v="3"/>
    <n v="2"/>
    <n v="12218"/>
    <n v="0"/>
    <n v="12218"/>
    <n v="1.0049999999999999"/>
    <n v="5272"/>
    <n v="62"/>
    <n v="0.59"/>
    <n v="0"/>
    <n v="0.99453000000000003"/>
    <n v="5.47E-3"/>
    <s v="7.676307733520367"/>
    <s v="7.962750058751491"/>
    <s v="34.28353767578385"/>
    <s v="11.696884138100744"/>
    <n v="719714658"/>
    <x v="1"/>
    <n v="0.99426369999999997"/>
    <x v="1"/>
  </r>
  <r>
    <n v="51"/>
    <n v="1"/>
    <n v="3"/>
    <n v="6"/>
    <n v="3"/>
    <n v="0"/>
    <n v="0"/>
    <n v="44"/>
    <n v="2"/>
    <n v="2"/>
    <n v="3"/>
    <n v="11954"/>
    <n v="0"/>
    <n v="11954"/>
    <n v="0.77900000000000003"/>
    <n v="7345"/>
    <n v="93"/>
    <n v="0.55000000000000004"/>
    <n v="0"/>
    <n v="2.1834E-4"/>
    <n v="0.99978"/>
    <s v="18.426254104522183"/>
    <s v="8.155780342060783"/>
    <s v="67.34407182109571"/>
    <s v="8.295205613182187"/>
    <n v="751974258"/>
    <x v="0"/>
    <n v="8.4809323999999998E-4"/>
    <x v="0"/>
  </r>
  <r>
    <n v="47"/>
    <n v="0"/>
    <n v="2"/>
    <n v="5"/>
    <n v="0"/>
    <n v="4"/>
    <n v="3"/>
    <n v="34"/>
    <n v="6"/>
    <n v="4"/>
    <n v="2"/>
    <n v="13878"/>
    <n v="2222"/>
    <n v="11656"/>
    <n v="0.85299999999999998"/>
    <n v="1658"/>
    <n v="38"/>
    <n v="0.35699999999999998"/>
    <n v="0.16"/>
    <n v="2.0195E-4"/>
    <n v="0.99980000000000002"/>
    <s v="50.217684298940405"/>
    <s v="7.461539127616785"/>
    <s v="66.83338386516498"/>
    <s v="11.672181916957443"/>
    <n v="711297483"/>
    <x v="0"/>
    <n v="1.2315542E-3"/>
    <x v="0"/>
  </r>
  <r>
    <n v="57"/>
    <n v="1"/>
    <n v="3"/>
    <n v="2"/>
    <n v="2"/>
    <n v="0"/>
    <n v="0"/>
    <n v="52"/>
    <n v="6"/>
    <n v="4"/>
    <n v="3"/>
    <n v="34516"/>
    <n v="1000"/>
    <n v="33516"/>
    <n v="0.69399999999999995"/>
    <n v="1777"/>
    <n v="37"/>
    <n v="0.54200000000000004"/>
    <n v="2.9000000000000001E-2"/>
    <n v="0.99736999999999998"/>
    <n v="2.6281999999999998E-3"/>
    <n v="59.541206045640699"/>
    <s v="24.31932580931805"/>
    <s v="11.037074082948394"/>
    <s v="1.7500719462326606"/>
    <n v="819943458"/>
    <x v="1"/>
    <n v="0.99457693000000003"/>
    <x v="1"/>
  </r>
  <r>
    <n v="51"/>
    <n v="1"/>
    <n v="2"/>
    <n v="2"/>
    <n v="0"/>
    <n v="0"/>
    <n v="0"/>
    <n v="41"/>
    <n v="4"/>
    <n v="2"/>
    <n v="3"/>
    <n v="2792"/>
    <n v="887"/>
    <n v="1905"/>
    <n v="0.79300000000000004"/>
    <n v="4074"/>
    <n v="81"/>
    <n v="0.8"/>
    <n v="0.318"/>
    <n v="1.9143E-4"/>
    <n v="0.99980999999999998"/>
    <s v="21.696554242330595"/>
    <s v="71.32126855839641"/>
    <s v="108.1314598848246"/>
    <s v="13.456959320577193"/>
    <n v="713964858"/>
    <x v="0"/>
    <n v="4.2162873000000002E-4"/>
    <x v="0"/>
  </r>
  <r>
    <n v="39"/>
    <n v="0"/>
    <n v="2"/>
    <n v="3"/>
    <n v="1"/>
    <n v="4"/>
    <n v="0"/>
    <n v="36"/>
    <n v="1"/>
    <n v="3"/>
    <n v="1"/>
    <n v="2816"/>
    <n v="2517"/>
    <n v="299"/>
    <n v="0.74199999999999999"/>
    <n v="4817"/>
    <n v="87"/>
    <n v="0.77600000000000002"/>
    <n v="0.89400000000000002"/>
    <n v="1.0545E-4"/>
    <n v="0.99988999999999995"/>
    <s v="15.065366993054672"/>
    <s v="49.73468846031221"/>
    <s v="61.34066551195721"/>
    <s v="6.151467973550406"/>
    <n v="716512383"/>
    <x v="0"/>
    <n v="3.4692350000000002E-4"/>
    <x v="0"/>
  </r>
  <r>
    <n v="43"/>
    <n v="0"/>
    <n v="2"/>
    <n v="3"/>
    <n v="2"/>
    <n v="4"/>
    <n v="0"/>
    <n v="37"/>
    <n v="4"/>
    <n v="3"/>
    <n v="0"/>
    <n v="6611"/>
    <n v="1041"/>
    <n v="5570"/>
    <n v="0.74399999999999999"/>
    <n v="4037"/>
    <n v="74"/>
    <n v="0.68200000000000005"/>
    <n v="0.157"/>
    <s v="6.4505e-05"/>
    <n v="0.99994000000000005"/>
    <s v="42.86622663719277"/>
    <s v="51.51356182064155"/>
    <s v="131.4304517349151"/>
    <s v="0.6733210929733354"/>
    <n v="788544108"/>
    <x v="0"/>
    <n v="3.2101269999999999E-4"/>
    <x v="0"/>
  </r>
  <r>
    <n v="34"/>
    <n v="1"/>
    <n v="1"/>
    <n v="0"/>
    <n v="3"/>
    <n v="1"/>
    <n v="0"/>
    <n v="20"/>
    <n v="2"/>
    <n v="1"/>
    <n v="3"/>
    <n v="7452"/>
    <n v="1656"/>
    <n v="5796"/>
    <n v="0.6"/>
    <n v="3339"/>
    <n v="51"/>
    <n v="0.96199999999999997"/>
    <n v="0.222"/>
    <s v="8.4537e-05"/>
    <n v="0.99992000000000003"/>
    <s v="23.17409581319961"/>
    <s v="4.9133945955686205"/>
    <s v="65.77041214859689"/>
    <s v="11.273351631852826"/>
    <n v="710840433"/>
    <x v="0"/>
    <n v="9.7650519999999998E-4"/>
    <x v="0"/>
  </r>
  <r>
    <n v="54"/>
    <n v="0"/>
    <n v="2"/>
    <n v="2"/>
    <n v="2"/>
    <n v="4"/>
    <n v="0"/>
    <n v="48"/>
    <n v="6"/>
    <n v="1"/>
    <n v="4"/>
    <n v="6610"/>
    <n v="928"/>
    <n v="5682"/>
    <n v="0.89400000000000002"/>
    <n v="3328"/>
    <n v="69"/>
    <n v="0.68300000000000005"/>
    <n v="0.14000000000000001"/>
    <n v="1.5804E-4"/>
    <n v="0.99983999999999995"/>
    <s v="11.884852627041612"/>
    <s v="66.56904325548304"/>
    <s v="34.19621817119954"/>
    <s v="15.390646632544913"/>
    <n v="785311158"/>
    <x v="0"/>
    <n v="4.1553773999999997E-4"/>
    <x v="0"/>
  </r>
  <r>
    <n v="53"/>
    <n v="1"/>
    <n v="3"/>
    <n v="2"/>
    <n v="1"/>
    <n v="0"/>
    <n v="0"/>
    <n v="34"/>
    <n v="6"/>
    <n v="2"/>
    <n v="2"/>
    <n v="2940"/>
    <n v="1264"/>
    <n v="1676"/>
    <n v="0.56200000000000006"/>
    <n v="1259"/>
    <n v="33"/>
    <n v="0.5"/>
    <n v="0.43"/>
    <n v="1.1811000000000001E-4"/>
    <n v="0.99987999999999999"/>
    <n v="9.4471684847283601"/>
    <s v="41.23081344942589"/>
    <s v="74.09562606016932"/>
    <n v="8.9969186772939995"/>
    <n v="779155158"/>
    <x v="0"/>
    <n v="1.1982243E-3"/>
    <x v="0"/>
  </r>
  <r>
    <n v="51"/>
    <n v="0"/>
    <n v="2"/>
    <n v="5"/>
    <n v="1"/>
    <n v="4"/>
    <n v="0"/>
    <n v="43"/>
    <n v="6"/>
    <n v="2"/>
    <n v="3"/>
    <n v="2124"/>
    <n v="1426"/>
    <n v="698"/>
    <n v="0.96599999999999997"/>
    <n v="3210"/>
    <n v="52"/>
    <n v="0.73299999999999998"/>
    <n v="0.67100000000000004"/>
    <n v="1.9683E-4"/>
    <n v="0.99980000000000002"/>
    <s v="38.62869291356254"/>
    <s v="7.081407184018954"/>
    <s v="46.55008585585689"/>
    <s v="16.292293096623478"/>
    <n v="720637008"/>
    <x v="0"/>
    <n v="7.6520699999999995E-4"/>
    <x v="0"/>
  </r>
  <r>
    <n v="53"/>
    <n v="0"/>
    <n v="2"/>
    <n v="0"/>
    <n v="3"/>
    <n v="4"/>
    <n v="0"/>
    <n v="37"/>
    <n v="2"/>
    <n v="3"/>
    <n v="2"/>
    <n v="2081"/>
    <n v="1342"/>
    <n v="739"/>
    <n v="1.06"/>
    <n v="4428"/>
    <n v="80"/>
    <n v="0.77800000000000002"/>
    <n v="0.64500000000000002"/>
    <n v="1.7488000000000001E-4"/>
    <n v="0.99983"/>
    <n v="8.2229025195270609"/>
    <s v="25.91556739470729"/>
    <s v="147.7776855100266"/>
    <s v="0.9570971352103184"/>
    <n v="779877858"/>
    <x v="0"/>
    <n v="3.221314E-4"/>
    <x v="0"/>
  </r>
  <r>
    <n v="41"/>
    <n v="1"/>
    <n v="3"/>
    <n v="2"/>
    <n v="2"/>
    <n v="2"/>
    <n v="0"/>
    <n v="28"/>
    <n v="4"/>
    <n v="1"/>
    <n v="3"/>
    <n v="16443"/>
    <n v="1363"/>
    <n v="15080"/>
    <n v="0.68799999999999994"/>
    <n v="4252"/>
    <n v="64"/>
    <n v="0.68400000000000005"/>
    <n v="8.3000000000000004E-2"/>
    <s v="9.6126e-05"/>
    <n v="0.99990000000000001"/>
    <s v="41.16203574422852"/>
    <s v="25.366393642093776"/>
    <s v="68.66207329717392"/>
    <s v="19.341229877862546"/>
    <n v="708823908"/>
    <x v="0"/>
    <n v="3.5626689999999998E-4"/>
    <x v="0"/>
  </r>
  <r>
    <n v="40"/>
    <n v="0"/>
    <n v="4"/>
    <n v="6"/>
    <n v="1"/>
    <n v="4"/>
    <n v="0"/>
    <n v="28"/>
    <n v="4"/>
    <n v="1"/>
    <n v="1"/>
    <n v="2712"/>
    <n v="0"/>
    <n v="2712"/>
    <n v="0.83499999999999996"/>
    <n v="5207"/>
    <n v="79"/>
    <n v="0.92700000000000005"/>
    <n v="0"/>
    <s v="3.8289e-05"/>
    <n v="0.99995999999999996"/>
    <s v="48.30882602059288"/>
    <n v="21.851335744410498"/>
    <s v="74.46505162100655"/>
    <s v="1.2821725600001102"/>
    <n v="709922508"/>
    <x v="0"/>
    <n v="6.9517245999999998E-4"/>
    <x v="0"/>
  </r>
  <r>
    <n v="58"/>
    <n v="1"/>
    <n v="1"/>
    <n v="3"/>
    <n v="1"/>
    <n v="2"/>
    <n v="0"/>
    <n v="47"/>
    <n v="3"/>
    <n v="1"/>
    <n v="4"/>
    <n v="2212"/>
    <n v="1392"/>
    <n v="820"/>
    <n v="0.57299999999999995"/>
    <n v="1387"/>
    <n v="34"/>
    <n v="0.7"/>
    <n v="0.629"/>
    <n v="1.4421E-4"/>
    <n v="0.99985999999999997"/>
    <s v="36.55253613075107"/>
    <s v="53.23741602520255"/>
    <s v="8.761715614450127"/>
    <s v="9.046619868957256"/>
    <n v="789261558"/>
    <x v="0"/>
    <n v="1.0634780000000001E-3"/>
    <x v="0"/>
  </r>
  <r>
    <n v="45"/>
    <n v="1"/>
    <n v="2"/>
    <n v="2"/>
    <n v="2"/>
    <n v="2"/>
    <n v="3"/>
    <n v="33"/>
    <n v="4"/>
    <n v="2"/>
    <n v="2"/>
    <n v="34516"/>
    <n v="1529"/>
    <n v="32987"/>
    <n v="0.60899999999999999"/>
    <n v="13940"/>
    <n v="105"/>
    <n v="0.81"/>
    <n v="4.3999999999999997E-2"/>
    <n v="1.0284E-4"/>
    <n v="0.99990000000000001"/>
    <s v="12.43624570443325"/>
    <s v="28.183286604848103"/>
    <s v="16.18643342990206"/>
    <s v="6.506251798189732"/>
    <n v="709188108"/>
    <x v="0"/>
    <n v="3.8573547000000003E-4"/>
    <x v="0"/>
  </r>
  <r>
    <n v="41"/>
    <n v="0"/>
    <n v="3"/>
    <n v="0"/>
    <n v="2"/>
    <n v="1"/>
    <n v="0"/>
    <n v="37"/>
    <n v="3"/>
    <n v="3"/>
    <n v="3"/>
    <n v="8376"/>
    <n v="1219"/>
    <n v="7157"/>
    <n v="0.64400000000000002"/>
    <n v="4015"/>
    <n v="77"/>
    <n v="0.75"/>
    <n v="0.14599999999999999"/>
    <n v="3.0519E-4"/>
    <n v="0.99968999999999997"/>
    <s v="4.964176356322801"/>
    <s v="69.47541658696485"/>
    <s v="53.69903634105477"/>
    <s v="0.9351667069115608"/>
    <n v="822902508"/>
    <x v="0"/>
    <n v="3.2101269999999999E-4"/>
    <x v="0"/>
  </r>
  <r>
    <n v="43"/>
    <n v="0"/>
    <n v="3"/>
    <n v="2"/>
    <n v="1"/>
    <n v="4"/>
    <n v="0"/>
    <n v="30"/>
    <n v="6"/>
    <n v="2"/>
    <n v="3"/>
    <n v="3143"/>
    <n v="2517"/>
    <n v="626"/>
    <n v="0.95899999999999996"/>
    <n v="5409"/>
    <n v="79"/>
    <n v="0.88100000000000001"/>
    <n v="0.80100000000000005"/>
    <n v="1.9864000000000001E-4"/>
    <n v="0.99980000000000002"/>
    <s v="4.256380274864262"/>
    <s v="24.63996475459229"/>
    <s v="110.22759936809284"/>
    <s v="16.719447815309078"/>
    <n v="717217983"/>
    <x v="0"/>
    <n v="4.7273477E-4"/>
    <x v="0"/>
  </r>
  <r>
    <n v="42"/>
    <n v="0"/>
    <n v="3"/>
    <n v="3"/>
    <n v="1"/>
    <n v="5"/>
    <n v="0"/>
    <n v="37"/>
    <n v="3"/>
    <n v="3"/>
    <n v="3"/>
    <n v="4540"/>
    <n v="2517"/>
    <n v="2023"/>
    <n v="0.89"/>
    <n v="4804"/>
    <n v="66"/>
    <n v="0.73699999999999999"/>
    <n v="0.55400000000000005"/>
    <n v="3.0516000000000001E-4"/>
    <n v="0.99968999999999997"/>
    <s v="30.560907350543918"/>
    <s v="24.51003552601928"/>
    <s v="54.77448555486714"/>
    <s v="3.323337690902549"/>
    <n v="808743558"/>
    <x v="0"/>
    <n v="3.4813132000000003E-4"/>
    <x v="0"/>
  </r>
  <r>
    <n v="46"/>
    <n v="0"/>
    <n v="1"/>
    <n v="6"/>
    <n v="2"/>
    <n v="4"/>
    <n v="0"/>
    <n v="39"/>
    <n v="2"/>
    <n v="2"/>
    <n v="1"/>
    <n v="2029"/>
    <n v="1074"/>
    <n v="955"/>
    <n v="0.51400000000000001"/>
    <n v="4802"/>
    <n v="90"/>
    <n v="0.8"/>
    <n v="0.52900000000000003"/>
    <s v="7.0819e-05"/>
    <n v="0.99992999999999999"/>
    <s v="33.79625542670976"/>
    <s v="22.63982871986983"/>
    <s v="13.071181079532932"/>
    <s v="3.948619037238436"/>
    <n v="715207458"/>
    <x v="0"/>
    <n v="3.2101269999999999E-4"/>
    <x v="0"/>
  </r>
  <r>
    <n v="37"/>
    <n v="0"/>
    <n v="1"/>
    <n v="3"/>
    <n v="2"/>
    <n v="5"/>
    <n v="0"/>
    <n v="36"/>
    <n v="6"/>
    <n v="2"/>
    <n v="2"/>
    <n v="16594"/>
    <n v="1931"/>
    <n v="14663"/>
    <n v="0.70199999999999996"/>
    <n v="2134"/>
    <n v="47"/>
    <n v="0.80800000000000005"/>
    <n v="0.11600000000000001"/>
    <n v="1.0386E-4"/>
    <n v="0.99990000000000001"/>
    <s v="27.27225724631777"/>
    <s v="36.62068021944079"/>
    <s v="111.50614398106848"/>
    <s v="17.840502566238303"/>
    <n v="719660658"/>
    <x v="0"/>
    <n v="1.2356120000000001E-3"/>
    <x v="0"/>
  </r>
  <r>
    <n v="37"/>
    <n v="1"/>
    <n v="1"/>
    <n v="6"/>
    <n v="1"/>
    <n v="2"/>
    <n v="0"/>
    <n v="19"/>
    <n v="6"/>
    <n v="1"/>
    <n v="2"/>
    <n v="18951"/>
    <n v="1243"/>
    <n v="17708"/>
    <n v="1.1479999999999999"/>
    <n v="2874"/>
    <n v="58"/>
    <n v="0.65700000000000003"/>
    <n v="6.6000000000000003E-2"/>
    <s v="5.6825e-05"/>
    <n v="0.99994000000000005"/>
    <s v="34.70353595258829"/>
    <s v="12.388072772775882"/>
    <s v="48.57421645398737"/>
    <s v="15.780132998757974"/>
    <n v="779484408"/>
    <x v="0"/>
    <n v="5.0005839999999998E-4"/>
    <x v="0"/>
  </r>
  <r>
    <n v="33"/>
    <n v="0"/>
    <n v="3"/>
    <n v="4"/>
    <n v="1"/>
    <n v="1"/>
    <n v="0"/>
    <n v="28"/>
    <n v="5"/>
    <n v="2"/>
    <n v="3"/>
    <n v="1864"/>
    <n v="1081"/>
    <n v="783"/>
    <n v="1.4159999999999999"/>
    <n v="2607"/>
    <n v="44"/>
    <n v="1.75"/>
    <n v="0.57999999999999996"/>
    <n v="2.3373E-4"/>
    <n v="0.99977000000000005"/>
    <s v="41.31483245303196"/>
    <s v="57.14388415019042"/>
    <s v="122.62368198193056"/>
    <s v="23.71600414847301"/>
    <n v="708171858"/>
    <x v="0"/>
    <n v="1.0481173E-3"/>
    <x v="0"/>
  </r>
  <r>
    <n v="57"/>
    <n v="0"/>
    <n v="3"/>
    <n v="0"/>
    <n v="2"/>
    <n v="4"/>
    <n v="0"/>
    <n v="42"/>
    <n v="1"/>
    <n v="1"/>
    <n v="2"/>
    <n v="2063"/>
    <n v="953"/>
    <n v="1110"/>
    <n v="0.86799999999999999"/>
    <n v="4304"/>
    <n v="81"/>
    <n v="0.76100000000000001"/>
    <n v="0.46200000000000002"/>
    <s v="5.5564e-05"/>
    <n v="0.99994000000000005"/>
    <s v="10.91008453142194"/>
    <s v="23.09875443718291"/>
    <s v="110.83852201337088"/>
    <s v="6.057844655278734"/>
    <n v="713382558"/>
    <x v="0"/>
    <n v="3.9522952000000002E-4"/>
    <x v="0"/>
  </r>
  <r>
    <n v="60"/>
    <n v="0"/>
    <n v="1"/>
    <n v="2"/>
    <n v="2"/>
    <n v="5"/>
    <n v="0"/>
    <n v="51"/>
    <n v="3"/>
    <n v="3"/>
    <n v="4"/>
    <n v="23566"/>
    <n v="1147"/>
    <n v="22419"/>
    <n v="0.629"/>
    <n v="4274"/>
    <n v="64"/>
    <n v="0.64100000000000001"/>
    <n v="4.9000000000000002E-2"/>
    <n v="4.8434999999999998E-4"/>
    <n v="0.99951999999999996"/>
    <s v="3.9764428785164574"/>
    <s v="26.43016832388934"/>
    <s v="113.72711009386464"/>
    <s v="7.858362483634218"/>
    <n v="718000383"/>
    <x v="0"/>
    <n v="3.8516130999999998E-4"/>
    <x v="0"/>
  </r>
  <r>
    <n v="34"/>
    <n v="1"/>
    <n v="3"/>
    <n v="2"/>
    <n v="1"/>
    <n v="1"/>
    <n v="0"/>
    <n v="36"/>
    <n v="3"/>
    <n v="2"/>
    <n v="1"/>
    <n v="4549"/>
    <n v="990"/>
    <n v="3559"/>
    <n v="0.745"/>
    <n v="13804"/>
    <n v="123"/>
    <n v="0.73199999999999998"/>
    <n v="0.218"/>
    <s v="7.1226e-05"/>
    <n v="0.99992999999999999"/>
    <s v="7.072605265039522"/>
    <s v="3.663918009125815"/>
    <s v="91.58295985913315"/>
    <s v="0.6280819436281883"/>
    <n v="711190233"/>
    <x v="0"/>
    <n v="3.4656386999999997E-4"/>
    <x v="0"/>
  </r>
  <r>
    <n v="29"/>
    <n v="1"/>
    <n v="1"/>
    <n v="3"/>
    <n v="2"/>
    <n v="2"/>
    <n v="0"/>
    <n v="17"/>
    <n v="6"/>
    <n v="1"/>
    <n v="3"/>
    <n v="17744"/>
    <n v="829"/>
    <n v="16915"/>
    <n v="0.85099999999999998"/>
    <n v="9658"/>
    <n v="78"/>
    <n v="0.77300000000000002"/>
    <n v="4.7E-2"/>
    <n v="0.98831000000000002"/>
    <n v="1.1690000000000001E-2"/>
    <s v="9.659054716431935"/>
    <s v="56.93686569607534"/>
    <s v="17.05575363010235"/>
    <n v="7.9653884157676904"/>
    <n v="710639658"/>
    <x v="1"/>
    <n v="0.99325949999999996"/>
    <x v="1"/>
  </r>
  <r>
    <n v="33"/>
    <n v="1"/>
    <n v="3"/>
    <n v="2"/>
    <n v="0"/>
    <n v="2"/>
    <n v="0"/>
    <n v="36"/>
    <n v="6"/>
    <n v="3"/>
    <n v="3"/>
    <n v="24149"/>
    <n v="1848"/>
    <n v="22301"/>
    <n v="0.73099999999999998"/>
    <n v="2584"/>
    <n v="66"/>
    <n v="0.83299999999999996"/>
    <n v="7.6999999999999999E-2"/>
    <n v="3.1389999999999999E-4"/>
    <n v="0.99968999999999997"/>
    <s v="16.460860050447945"/>
    <s v="98.03226467351271"/>
    <s v="42.679555121157925"/>
    <s v="9.359264176842862"/>
    <n v="712980333"/>
    <x v="0"/>
    <n v="4.1644147E-4"/>
    <x v="0"/>
  </r>
  <r>
    <n v="49"/>
    <n v="1"/>
    <n v="3"/>
    <n v="2"/>
    <n v="1"/>
    <n v="3"/>
    <n v="0"/>
    <n v="36"/>
    <n v="6"/>
    <n v="1"/>
    <n v="3"/>
    <n v="21378"/>
    <n v="1284"/>
    <n v="20094"/>
    <n v="1.101"/>
    <n v="3526"/>
    <n v="64"/>
    <n v="0.68400000000000005"/>
    <n v="0.06"/>
    <s v="9.6126e-05"/>
    <n v="0.99990000000000001"/>
    <s v="17.60586533194799"/>
    <n v="81.327513661161504"/>
    <s v="38.86908048255612"/>
    <s v="5.785220501149466"/>
    <n v="720026058"/>
    <x v="0"/>
    <n v="3.8547997000000001E-4"/>
    <x v="0"/>
  </r>
  <r>
    <n v="43"/>
    <n v="1"/>
    <n v="3"/>
    <n v="2"/>
    <n v="2"/>
    <n v="0"/>
    <n v="0"/>
    <n v="23"/>
    <n v="5"/>
    <n v="2"/>
    <n v="2"/>
    <n v="4121"/>
    <n v="2084"/>
    <n v="2037"/>
    <n v="0.80700000000000005"/>
    <n v="3462"/>
    <n v="49"/>
    <n v="1.042"/>
    <n v="0.50600000000000001"/>
    <n v="1.1811000000000001E-4"/>
    <n v="0.99987999999999999"/>
    <s v="9.053640518784672"/>
    <s v="13.219386323829442"/>
    <s v="7.307698389746565"/>
    <s v="6.912641179153085"/>
    <n v="711062958"/>
    <x v="0"/>
    <n v="8.2981254999999995E-4"/>
    <x v="0"/>
  </r>
  <r>
    <n v="39"/>
    <n v="0"/>
    <n v="3"/>
    <n v="2"/>
    <n v="0"/>
    <n v="5"/>
    <n v="0"/>
    <n v="30"/>
    <n v="3"/>
    <n v="3"/>
    <n v="2"/>
    <n v="2420"/>
    <n v="1422"/>
    <n v="998"/>
    <n v="0.73099999999999998"/>
    <n v="1362"/>
    <n v="24"/>
    <n v="0.71399999999999997"/>
    <n v="0.58799999999999997"/>
    <n v="1.8665000000000001E-4"/>
    <n v="0.99980999999999998"/>
    <s v="15.469774271609332"/>
    <s v="26.78602689718701"/>
    <s v="8.971092370861236"/>
    <s v="16.31461014449698"/>
    <n v="709214358"/>
    <x v="0"/>
    <n v="1.0634780000000001E-3"/>
    <x v="0"/>
  </r>
  <r>
    <n v="60"/>
    <n v="1"/>
    <n v="1"/>
    <n v="3"/>
    <n v="0"/>
    <n v="3"/>
    <n v="0"/>
    <n v="48"/>
    <n v="1"/>
    <n v="5"/>
    <n v="3"/>
    <n v="28930"/>
    <n v="0"/>
    <n v="28930"/>
    <n v="0.64500000000000002"/>
    <n v="2251"/>
    <n v="27"/>
    <n v="0.22700000000000001"/>
    <n v="0"/>
    <n v="0.99677000000000004"/>
    <n v="3.2320000000000001E-3"/>
    <n v="17.707707989279101"/>
    <s v="24.27895787933656"/>
    <s v="61.31613410905221"/>
    <s v="18.31255772105031"/>
    <n v="787482033"/>
    <x v="1"/>
    <n v="0.99876772999999996"/>
    <x v="1"/>
  </r>
  <r>
    <n v="36"/>
    <n v="0"/>
    <n v="2"/>
    <n v="6"/>
    <n v="2"/>
    <n v="4"/>
    <n v="0"/>
    <n v="36"/>
    <n v="2"/>
    <n v="3"/>
    <n v="3"/>
    <n v="6071"/>
    <n v="0"/>
    <n v="6071"/>
    <n v="0.91200000000000003"/>
    <n v="9338"/>
    <n v="59"/>
    <n v="0.90300000000000002"/>
    <n v="0"/>
    <n v="0.997"/>
    <n v="2.9974300000000001E-3"/>
    <s v="37.14749337180429"/>
    <s v="34.35554671971048"/>
    <s v="26.63199767430909"/>
    <s v="15.121994842514544"/>
    <n v="711161133"/>
    <x v="1"/>
    <n v="0.99557744999999997"/>
    <x v="1"/>
  </r>
  <r>
    <n v="34"/>
    <n v="1"/>
    <n v="1"/>
    <n v="2"/>
    <n v="2"/>
    <n v="4"/>
    <n v="0"/>
    <n v="28"/>
    <n v="1"/>
    <n v="6"/>
    <n v="3"/>
    <n v="2669"/>
    <n v="1649"/>
    <n v="1020"/>
    <n v="0.63"/>
    <n v="4314"/>
    <n v="74"/>
    <n v="0.60899999999999999"/>
    <n v="0.61799999999999999"/>
    <n v="2.2416E-4"/>
    <n v="0.99978"/>
    <s v="4.839208492531131"/>
    <s v="70.37776348157969"/>
    <s v="14.066899910271475"/>
    <s v="11.126821967631663"/>
    <n v="712524858"/>
    <x v="0"/>
    <n v="3.2914013999999999E-4"/>
    <x v="0"/>
  </r>
  <r>
    <n v="47"/>
    <n v="1"/>
    <n v="2"/>
    <n v="5"/>
    <n v="1"/>
    <n v="2"/>
    <n v="0"/>
    <n v="36"/>
    <n v="4"/>
    <n v="1"/>
    <n v="2"/>
    <n v="9300"/>
    <n v="769"/>
    <n v="8531"/>
    <n v="0.68"/>
    <n v="3651"/>
    <n v="67"/>
    <n v="0.71799999999999997"/>
    <n v="8.3000000000000004E-2"/>
    <s v="5.663e-05"/>
    <n v="0.99994000000000005"/>
    <s v="2.0953974411668472"/>
    <s v="29.634148913379804"/>
    <s v="32.250591250021216"/>
    <s v="1.8542106347953564"/>
    <n v="719219883"/>
    <x v="0"/>
    <n v="5.5488650000000005E-4"/>
    <x v="0"/>
  </r>
  <r>
    <n v="31"/>
    <n v="0"/>
    <n v="0"/>
    <n v="2"/>
    <n v="0"/>
    <n v="5"/>
    <n v="0"/>
    <n v="26"/>
    <n v="3"/>
    <n v="3"/>
    <n v="3"/>
    <n v="1469"/>
    <n v="0"/>
    <n v="1469"/>
    <n v="0.91500000000000004"/>
    <n v="4331"/>
    <n v="89"/>
    <n v="0.93500000000000005"/>
    <n v="0"/>
    <n v="2.5960000000000002E-4"/>
    <n v="0.99973999999999996"/>
    <s v="35.45017884776364"/>
    <s v="32.71581778849106"/>
    <n v="28.834836614611799"/>
    <s v="15.264040168740223"/>
    <n v="807014583"/>
    <x v="0"/>
    <n v="7.1297199999999998E-4"/>
    <x v="0"/>
  </r>
  <r>
    <n v="40"/>
    <n v="1"/>
    <n v="4"/>
    <n v="3"/>
    <n v="3"/>
    <n v="1"/>
    <n v="0"/>
    <n v="32"/>
    <n v="3"/>
    <n v="1"/>
    <n v="1"/>
    <n v="1438.3"/>
    <n v="0"/>
    <n v="1438.3"/>
    <n v="0.65700000000000003"/>
    <n v="4215"/>
    <n v="79"/>
    <n v="0.92700000000000005"/>
    <n v="0"/>
    <s v="3.3863e-05"/>
    <n v="0.99997000000000003"/>
    <s v="40.61915739719548"/>
    <s v="0.7686771818424264"/>
    <s v="28.719441252540708"/>
    <s v="28.93862779971886"/>
    <n v="719584608"/>
    <x v="0"/>
    <n v="6.9517245999999998E-4"/>
    <x v="0"/>
  </r>
  <r>
    <n v="40"/>
    <n v="1"/>
    <n v="4"/>
    <n v="2"/>
    <n v="0"/>
    <n v="0"/>
    <n v="0"/>
    <n v="30"/>
    <n v="5"/>
    <n v="3"/>
    <n v="3"/>
    <n v="25188"/>
    <n v="1295"/>
    <n v="23893"/>
    <n v="0.55700000000000005"/>
    <n v="1513"/>
    <n v="38"/>
    <n v="0.58299999999999996"/>
    <n v="5.0999999999999997E-2"/>
    <n v="3.1725999999999998E-4"/>
    <n v="0.99968000000000001"/>
    <s v="3.591163834625232"/>
    <s v="72.05377056893172"/>
    <s v="153.97617923973203"/>
    <s v="4.586101659440252"/>
    <n v="715783758"/>
    <x v="0"/>
    <n v="1.1795807E-3"/>
    <x v="0"/>
  </r>
  <r>
    <n v="53"/>
    <n v="0"/>
    <n v="3"/>
    <n v="6"/>
    <n v="2"/>
    <n v="5"/>
    <n v="0"/>
    <n v="40"/>
    <n v="6"/>
    <n v="3"/>
    <n v="1"/>
    <n v="3998"/>
    <n v="0"/>
    <n v="3998"/>
    <n v="0.63800000000000001"/>
    <n v="4223"/>
    <n v="79"/>
    <n v="0.71699999999999997"/>
    <n v="0"/>
    <n v="1.2373000000000001E-4"/>
    <n v="0.99987999999999999"/>
    <n v="7.0651297962899804"/>
    <s v="28.816946606525622"/>
    <s v="41.77641535587909"/>
    <s v="18.68819461798106"/>
    <n v="718067658"/>
    <x v="0"/>
    <n v="6.9517245999999998E-4"/>
    <x v="0"/>
  </r>
  <r>
    <n v="57"/>
    <n v="0"/>
    <n v="2"/>
    <n v="2"/>
    <n v="1"/>
    <n v="1"/>
    <n v="0"/>
    <n v="47"/>
    <n v="5"/>
    <n v="2"/>
    <n v="2"/>
    <n v="4682"/>
    <n v="1010"/>
    <n v="3672"/>
    <n v="0.63800000000000001"/>
    <n v="4322"/>
    <n v="83"/>
    <n v="0.69399999999999995"/>
    <n v="0.216"/>
    <n v="1.1382E-4"/>
    <n v="0.99988999999999995"/>
    <s v="15.702903489801374"/>
    <n v="20.312923292438199"/>
    <n v="99.246290981651001"/>
    <s v="20.857547883179038"/>
    <n v="714493983"/>
    <x v="0"/>
    <n v="3.2101269999999999E-4"/>
    <x v="0"/>
  </r>
  <r>
    <n v="42"/>
    <n v="0"/>
    <n v="2"/>
    <n v="6"/>
    <n v="2"/>
    <n v="1"/>
    <n v="0"/>
    <n v="34"/>
    <n v="4"/>
    <n v="4"/>
    <n v="3"/>
    <n v="2471"/>
    <n v="1658"/>
    <n v="813"/>
    <n v="0.68200000000000005"/>
    <n v="4406"/>
    <n v="62"/>
    <n v="0.67600000000000005"/>
    <n v="0.67100000000000004"/>
    <n v="4.0182999999999999E-4"/>
    <n v="0.99960000000000004"/>
    <n v="88.3554218010607"/>
    <s v="68.15475096266302"/>
    <s v="18.174184796704964"/>
    <n v="3.3429735901533202"/>
    <n v="716975583"/>
    <x v="0"/>
    <n v="3.479205E-4"/>
    <x v="0"/>
  </r>
  <r>
    <n v="55"/>
    <n v="0"/>
    <n v="1"/>
    <n v="0"/>
    <n v="2"/>
    <n v="1"/>
    <n v="0"/>
    <n v="50"/>
    <n v="3"/>
    <n v="3"/>
    <n v="3"/>
    <n v="1843"/>
    <n v="1520"/>
    <n v="323"/>
    <n v="0.86399999999999999"/>
    <n v="4729"/>
    <n v="92"/>
    <n v="0.70399999999999996"/>
    <n v="0.82499999999999996"/>
    <n v="2.7607E-4"/>
    <n v="0.99972000000000005"/>
    <s v="12.005938110015808"/>
    <s v="31.29394044542146"/>
    <n v="76.535329916316201"/>
    <s v="26.12829453331205"/>
    <n v="812653383"/>
    <x v="0"/>
    <n v="3.2101269999999999E-4"/>
    <x v="0"/>
  </r>
  <r>
    <n v="43"/>
    <n v="0"/>
    <n v="3"/>
    <n v="6"/>
    <n v="2"/>
    <n v="4"/>
    <n v="0"/>
    <n v="36"/>
    <n v="6"/>
    <n v="3"/>
    <n v="3"/>
    <n v="2325"/>
    <n v="238"/>
    <n v="2087"/>
    <n v="0.64"/>
    <n v="2306"/>
    <n v="47"/>
    <n v="0.621"/>
    <n v="0.10199999999999999"/>
    <n v="0.99711000000000005"/>
    <n v="2.8889200000000001E-3"/>
    <s v="34.51957883034297"/>
    <s v="29.46519436981897"/>
    <s v="64.52801239619652"/>
    <s v="5.355213641836274"/>
    <n v="718508883"/>
    <x v="1"/>
    <n v="0.99824679999999999"/>
    <x v="1"/>
  </r>
  <r>
    <n v="37"/>
    <n v="1"/>
    <n v="3"/>
    <n v="4"/>
    <n v="2"/>
    <n v="3"/>
    <n v="0"/>
    <n v="31"/>
    <n v="6"/>
    <n v="3"/>
    <n v="3"/>
    <n v="2626"/>
    <n v="1736"/>
    <n v="890"/>
    <n v="0.78600000000000003"/>
    <n v="4714"/>
    <n v="93"/>
    <n v="0.78800000000000003"/>
    <n v="0.66100000000000003"/>
    <n v="3.6935000000000001E-4"/>
    <n v="0.99963000000000002"/>
    <s v="16.273482196668656"/>
    <s v="55.28157239223256"/>
    <s v="80.46440525888484"/>
    <n v="9.8018696911499603"/>
    <n v="798280683"/>
    <x v="0"/>
    <n v="3.2101269999999999E-4"/>
    <x v="0"/>
  </r>
  <r>
    <n v="57"/>
    <n v="0"/>
    <n v="2"/>
    <n v="3"/>
    <n v="1"/>
    <n v="4"/>
    <n v="0"/>
    <n v="52"/>
    <n v="6"/>
    <n v="3"/>
    <n v="2"/>
    <n v="1441"/>
    <n v="0"/>
    <n v="1441"/>
    <n v="1.3640000000000001"/>
    <n v="2742"/>
    <n v="58"/>
    <n v="0.75800000000000001"/>
    <n v="0"/>
    <n v="1.7485999999999999E-4"/>
    <n v="0.99983"/>
    <s v="19.27947134667502"/>
    <s v="42.49915545490575"/>
    <s v="59.281141562755096"/>
    <n v="0.63010292455643402"/>
    <n v="806250783"/>
    <x v="0"/>
    <n v="1.1749448000000001E-3"/>
    <x v="0"/>
  </r>
  <r>
    <n v="42"/>
    <n v="1"/>
    <n v="3"/>
    <n v="3"/>
    <n v="1"/>
    <n v="3"/>
    <n v="3"/>
    <n v="36"/>
    <n v="5"/>
    <n v="2"/>
    <n v="3"/>
    <n v="34516"/>
    <n v="1294"/>
    <n v="33222"/>
    <n v="0.67900000000000005"/>
    <n v="13845"/>
    <n v="120"/>
    <n v="0.79100000000000004"/>
    <n v="3.6999999999999998E-2"/>
    <n v="1.7448999999999999E-4"/>
    <n v="0.99983"/>
    <s v="17.451187807427353"/>
    <s v="30.547192438463934"/>
    <n v="81.621467125224797"/>
    <s v="13.352291165163836"/>
    <n v="799253808"/>
    <x v="0"/>
    <n v="3.8573547000000003E-4"/>
    <x v="0"/>
  </r>
  <r>
    <n v="44"/>
    <n v="1"/>
    <n v="3"/>
    <n v="2"/>
    <n v="0"/>
    <n v="2"/>
    <n v="3"/>
    <n v="34"/>
    <n v="2"/>
    <n v="3"/>
    <n v="3"/>
    <n v="34516"/>
    <n v="1652"/>
    <n v="32864"/>
    <n v="0.86499999999999999"/>
    <n v="8450"/>
    <n v="90"/>
    <n v="0.57899999999999996"/>
    <n v="4.8000000000000001E-2"/>
    <n v="2.8363999999999999E-4"/>
    <n v="0.99972000000000005"/>
    <s v="28.406132505739173"/>
    <s v="57.10529989550987"/>
    <s v="122.74712908638598"/>
    <s v="11.168696281747032"/>
    <n v="713761608"/>
    <x v="0"/>
    <n v="4.2060707000000003E-4"/>
    <x v="0"/>
  </r>
  <r>
    <n v="48"/>
    <n v="1"/>
    <n v="2"/>
    <n v="2"/>
    <n v="0"/>
    <n v="2"/>
    <n v="0"/>
    <n v="33"/>
    <n v="4"/>
    <n v="2"/>
    <n v="4"/>
    <n v="2998"/>
    <n v="1789"/>
    <n v="1209"/>
    <n v="0.80700000000000005"/>
    <n v="1825"/>
    <n v="31"/>
    <n v="0.34799999999999998"/>
    <n v="0.59699999999999998"/>
    <n v="3.2655999999999999E-4"/>
    <n v="0.99966999999999995"/>
    <n v="28.414243499332802"/>
    <n v="0.30104534639585101"/>
    <s v="34.25117153196113"/>
    <s v="0.7121054515065369"/>
    <n v="779696883"/>
    <x v="0"/>
    <n v="1.1982243E-3"/>
    <x v="0"/>
  </r>
  <r>
    <n v="45"/>
    <n v="0"/>
    <n v="4"/>
    <n v="0"/>
    <n v="0"/>
    <n v="1"/>
    <n v="0"/>
    <n v="37"/>
    <n v="5"/>
    <n v="3"/>
    <n v="3"/>
    <n v="1438.3"/>
    <n v="0"/>
    <n v="1438.3"/>
    <n v="0.83499999999999996"/>
    <n v="4459"/>
    <n v="66"/>
    <n v="0.83299999999999996"/>
    <n v="0"/>
    <n v="3.0844999999999999E-4"/>
    <n v="0.99968999999999997"/>
    <s v="45.201213279303225"/>
    <s v="18.975325383539133"/>
    <n v="23.2819087742579"/>
    <s v="11.424303929470945"/>
    <n v="789479058"/>
    <x v="0"/>
    <n v="7.4965424999999997E-4"/>
    <x v="0"/>
  </r>
  <r>
    <n v="45"/>
    <n v="1"/>
    <n v="3"/>
    <n v="1"/>
    <n v="2"/>
    <n v="2"/>
    <n v="3"/>
    <n v="34"/>
    <n v="3"/>
    <n v="3"/>
    <n v="1"/>
    <n v="27494"/>
    <n v="879"/>
    <n v="26615"/>
    <n v="0.67100000000000004"/>
    <n v="14375"/>
    <n v="112"/>
    <n v="0.67200000000000004"/>
    <n v="3.2000000000000001E-2"/>
    <n v="1.4718000000000001E-4"/>
    <n v="0.99985000000000002"/>
    <n v="8.59222162331295"/>
    <s v="8.493188116948634"/>
    <n v="64.730848891882005"/>
    <s v="6.704837263694127"/>
    <n v="715052583"/>
    <x v="0"/>
    <n v="5.0662533999999996E-4"/>
    <x v="0"/>
  </r>
  <r>
    <n v="40"/>
    <n v="0"/>
    <n v="3"/>
    <n v="0"/>
    <n v="0"/>
    <n v="1"/>
    <n v="0"/>
    <n v="28"/>
    <n v="2"/>
    <n v="2"/>
    <n v="3"/>
    <n v="9243"/>
    <n v="2019"/>
    <n v="7224"/>
    <n v="0.70699999999999996"/>
    <n v="7841"/>
    <n v="82"/>
    <n v="0.60799999999999998"/>
    <n v="0.218"/>
    <n v="1.9312999999999999E-4"/>
    <n v="0.99980999999999998"/>
    <s v="5.0407995214617065"/>
    <s v="17.85015886747358"/>
    <s v="94.52772342550668"/>
    <s v="6.556607622093361"/>
    <n v="709065483"/>
    <x v="0"/>
    <n v="3.7789578000000003E-4"/>
    <x v="0"/>
  </r>
  <r>
    <n v="41"/>
    <n v="1"/>
    <n v="2"/>
    <n v="0"/>
    <n v="1"/>
    <n v="3"/>
    <n v="0"/>
    <n v="33"/>
    <n v="2"/>
    <n v="3"/>
    <n v="3"/>
    <n v="14682"/>
    <n v="2517"/>
    <n v="12165"/>
    <n v="1.0409999999999999"/>
    <n v="8193"/>
    <n v="72"/>
    <n v="0.84599999999999997"/>
    <n v="0.17100000000000001"/>
    <n v="0.99661"/>
    <n v="3.3875699999999999E-3"/>
    <s v="29.24757002361285"/>
    <s v="59.93060621511714"/>
    <s v="41.67929123017824"/>
    <s v="1.6924113875242863"/>
    <n v="708841233"/>
    <x v="1"/>
    <n v="0.98995995999999997"/>
    <x v="1"/>
  </r>
  <r>
    <n v="40"/>
    <n v="1"/>
    <n v="2"/>
    <n v="5"/>
    <n v="0"/>
    <n v="2"/>
    <n v="0"/>
    <n v="29"/>
    <n v="5"/>
    <n v="3"/>
    <n v="0"/>
    <n v="23603"/>
    <n v="0"/>
    <n v="23603"/>
    <n v="0.79500000000000004"/>
    <n v="1382"/>
    <n v="31"/>
    <n v="1.0669999999999999"/>
    <n v="0"/>
    <s v="6.8225e-05"/>
    <n v="0.99992999999999999"/>
    <s v="6.908727056956385"/>
    <n v="7.8393153387543001E-3"/>
    <s v="33.17010800327205"/>
    <s v="10.263076077625154"/>
    <n v="717806133"/>
    <x v="0"/>
    <n v="3.081084E-3"/>
    <x v="0"/>
  </r>
  <r>
    <n v="49"/>
    <n v="0"/>
    <n v="2"/>
    <n v="4"/>
    <n v="2"/>
    <n v="4"/>
    <n v="0"/>
    <n v="36"/>
    <n v="3"/>
    <n v="1"/>
    <n v="3"/>
    <n v="3414"/>
    <n v="1473"/>
    <n v="1941"/>
    <n v="0.59699999999999998"/>
    <n v="1803"/>
    <n v="49"/>
    <n v="1.1299999999999999"/>
    <n v="0.43099999999999999"/>
    <n v="1.0900000000000001E-4"/>
    <n v="0.99988999999999995"/>
    <s v="43.17921664065594"/>
    <s v="30.442333526864783"/>
    <s v="38.20391922736871"/>
    <s v="11.691985049848428"/>
    <n v="709876008"/>
    <x v="0"/>
    <n v="8.4579329999999995E-4"/>
    <x v="0"/>
  </r>
  <r>
    <n v="44"/>
    <n v="0"/>
    <n v="3"/>
    <n v="0"/>
    <n v="1"/>
    <n v="4"/>
    <n v="0"/>
    <n v="36"/>
    <n v="2"/>
    <n v="3"/>
    <n v="3"/>
    <n v="5357"/>
    <n v="2139"/>
    <n v="3218"/>
    <n v="0.499"/>
    <n v="1979"/>
    <n v="48"/>
    <n v="0.65500000000000003"/>
    <n v="0.39900000000000002"/>
    <n v="0.99673999999999996"/>
    <n v="3.2649799999999998E-3"/>
    <n v="9.3519240461172597"/>
    <s v="31.00767019669759"/>
    <s v="13.402073785464282"/>
    <s v="1.819959754677288"/>
    <n v="714519408"/>
    <x v="1"/>
    <n v="0.99546509999999999"/>
    <x v="1"/>
  </r>
  <r>
    <n v="51"/>
    <n v="1"/>
    <n v="1"/>
    <n v="3"/>
    <n v="3"/>
    <n v="3"/>
    <n v="0"/>
    <n v="41"/>
    <n v="6"/>
    <n v="1"/>
    <n v="2"/>
    <n v="6346"/>
    <n v="578"/>
    <n v="5768"/>
    <n v="0.55000000000000004"/>
    <n v="3837"/>
    <n v="85"/>
    <n v="0.60399999999999998"/>
    <n v="9.0999999999999998E-2"/>
    <s v="5.0256e-05"/>
    <n v="0.99995000000000001"/>
    <s v="14.109843604771296"/>
    <s v="3.1054427522072507"/>
    <s v="45.53760561729081"/>
    <n v="15.790885248585701"/>
    <n v="715675458"/>
    <x v="0"/>
    <n v="6.3012243000000001E-4"/>
    <x v="0"/>
  </r>
  <r>
    <n v="47"/>
    <n v="1"/>
    <n v="3"/>
    <n v="6"/>
    <n v="1"/>
    <n v="0"/>
    <n v="0"/>
    <n v="28"/>
    <n v="3"/>
    <n v="2"/>
    <n v="2"/>
    <n v="11629"/>
    <n v="802"/>
    <n v="10827"/>
    <n v="0.91200000000000003"/>
    <n v="3752"/>
    <n v="78"/>
    <n v="0.90200000000000002"/>
    <n v="6.9000000000000006E-2"/>
    <n v="1.2982E-4"/>
    <n v="0.99987000000000004"/>
    <s v="57.26110292880679"/>
    <s v="34.66935732765663"/>
    <s v="55.51576517420214"/>
    <s v="23.30914010305989"/>
    <n v="712237458"/>
    <x v="0"/>
    <n v="5.9715549999999999E-4"/>
    <x v="0"/>
  </r>
  <r>
    <n v="46"/>
    <n v="1"/>
    <n v="3"/>
    <n v="0"/>
    <n v="2"/>
    <n v="3"/>
    <n v="3"/>
    <n v="32"/>
    <n v="2"/>
    <n v="1"/>
    <n v="3"/>
    <n v="34516"/>
    <n v="1954"/>
    <n v="32562"/>
    <n v="0.755"/>
    <n v="7594"/>
    <n v="69"/>
    <n v="0.72499999999999998"/>
    <n v="5.7000000000000002E-2"/>
    <s v="8.4444e-05"/>
    <n v="0.99992000000000003"/>
    <s v="26.41359632620697"/>
    <s v="33.05362644715072"/>
    <n v="16.7764560243271"/>
    <n v="8.2736831709354295"/>
    <n v="794482158"/>
    <x v="0"/>
    <n v="6.2157260000000002E-4"/>
    <x v="0"/>
  </r>
  <r>
    <n v="43"/>
    <n v="1"/>
    <n v="5"/>
    <n v="5"/>
    <n v="1"/>
    <n v="0"/>
    <n v="0"/>
    <n v="31"/>
    <n v="4"/>
    <n v="3"/>
    <n v="4"/>
    <n v="34516"/>
    <n v="830"/>
    <n v="33686"/>
    <n v="0.54"/>
    <n v="3789"/>
    <n v="57"/>
    <n v="0.54100000000000004"/>
    <n v="2.4E-2"/>
    <n v="5.4772999999999996E-4"/>
    <n v="0.99944999999999995"/>
    <n v="15.490310908283099"/>
    <s v="20.005300314058385"/>
    <s v="8.050793678683453"/>
    <s v="11.262238667957906"/>
    <n v="718208358"/>
    <x v="0"/>
    <n v="8.0383463999999995E-4"/>
    <x v="0"/>
  </r>
  <r>
    <n v="43"/>
    <n v="0"/>
    <n v="3"/>
    <n v="5"/>
    <n v="1"/>
    <n v="4"/>
    <n v="0"/>
    <n v="32"/>
    <n v="6"/>
    <n v="3"/>
    <n v="3"/>
    <n v="1897"/>
    <n v="0"/>
    <n v="1897"/>
    <n v="0.64500000000000002"/>
    <n v="2866"/>
    <n v="47"/>
    <n v="0.46899999999999997"/>
    <n v="0"/>
    <n v="0.99690999999999996"/>
    <n v="3.08778E-3"/>
    <s v="17.031465179733175"/>
    <s v="29.931268030029983"/>
    <s v="47.33506998733791"/>
    <s v="6.017097374586672"/>
    <n v="717026658"/>
    <x v="1"/>
    <n v="0.99869054999999995"/>
    <x v="1"/>
  </r>
  <r>
    <n v="39"/>
    <n v="1"/>
    <n v="2"/>
    <n v="6"/>
    <n v="3"/>
    <n v="0"/>
    <n v="0"/>
    <n v="34"/>
    <n v="2"/>
    <n v="2"/>
    <n v="2"/>
    <n v="34516"/>
    <n v="1082"/>
    <n v="33434"/>
    <n v="0.629"/>
    <n v="7845"/>
    <n v="92"/>
    <n v="0.53300000000000003"/>
    <n v="3.1E-2"/>
    <n v="1.2511E-4"/>
    <n v="0.99987000000000004"/>
    <s v="33.08710219823227"/>
    <s v="43.03068688188117"/>
    <s v="95.20415219271074"/>
    <s v="2.545394318201785"/>
    <n v="812408058"/>
    <x v="0"/>
    <n v="4.2060707000000003E-4"/>
    <x v="0"/>
  </r>
  <r>
    <n v="51"/>
    <n v="0"/>
    <n v="2"/>
    <n v="6"/>
    <n v="3"/>
    <n v="1"/>
    <n v="0"/>
    <n v="44"/>
    <n v="4"/>
    <n v="6"/>
    <n v="4"/>
    <n v="5489"/>
    <n v="1665"/>
    <n v="3824"/>
    <n v="0.74199999999999999"/>
    <n v="4010"/>
    <n v="75"/>
    <n v="0.78600000000000003"/>
    <n v="0.30299999999999999"/>
    <n v="4.4776000000000001E-4"/>
    <n v="0.99955000000000005"/>
    <s v="16.973996502083875"/>
    <s v="6.097449857741853"/>
    <s v="41.02269360221561"/>
    <s v="0.7965527262814204"/>
    <n v="766946058"/>
    <x v="0"/>
    <n v="3.2101269999999999E-4"/>
    <x v="0"/>
  </r>
  <r>
    <n v="39"/>
    <n v="1"/>
    <n v="3"/>
    <n v="2"/>
    <n v="2"/>
    <n v="3"/>
    <n v="0"/>
    <n v="30"/>
    <n v="5"/>
    <n v="3"/>
    <n v="3"/>
    <n v="10009"/>
    <n v="1604"/>
    <n v="8405"/>
    <n v="0.44900000000000001"/>
    <n v="4347"/>
    <n v="75"/>
    <n v="0.78600000000000003"/>
    <n v="0.16"/>
    <n v="3.1389999999999999E-4"/>
    <n v="0.99968999999999997"/>
    <n v="31.0831961999653"/>
    <s v="51.14686994902875"/>
    <s v="47.10672806386941"/>
    <s v="14.65604113149949"/>
    <n v="712669983"/>
    <x v="0"/>
    <n v="3.2101269999999999E-4"/>
    <x v="0"/>
  </r>
  <r>
    <n v="50"/>
    <n v="0"/>
    <n v="3"/>
    <n v="3"/>
    <n v="2"/>
    <n v="4"/>
    <n v="3"/>
    <n v="39"/>
    <n v="4"/>
    <n v="3"/>
    <n v="4"/>
    <n v="11176"/>
    <n v="2422"/>
    <n v="8754"/>
    <n v="1.0029999999999999"/>
    <n v="2682"/>
    <n v="64"/>
    <n v="0.64100000000000001"/>
    <n v="0.217"/>
    <n v="4.7034000000000003E-4"/>
    <n v="0.99953000000000003"/>
    <s v="12.453205769373442"/>
    <s v="39.21428655960453"/>
    <s v="23.139317377814805"/>
    <s v="14.220512527128513"/>
    <n v="717427983"/>
    <x v="0"/>
    <n v="4.2248711999999999E-4"/>
    <x v="0"/>
  </r>
  <r>
    <n v="44"/>
    <n v="0"/>
    <n v="2"/>
    <n v="5"/>
    <n v="1"/>
    <n v="4"/>
    <n v="0"/>
    <n v="36"/>
    <n v="4"/>
    <n v="2"/>
    <n v="5"/>
    <n v="4396"/>
    <n v="1489"/>
    <n v="2907"/>
    <n v="1.258"/>
    <n v="3942"/>
    <n v="69"/>
    <n v="0.81599999999999995"/>
    <n v="0.33900000000000002"/>
    <n v="5.8091000000000002E-4"/>
    <n v="0.99941999999999998"/>
    <s v="10.916747939168634"/>
    <n v="70.889787936469503"/>
    <s v="67.42067949506743"/>
    <s v="4.006007842542658"/>
    <n v="716815308"/>
    <x v="0"/>
    <n v="3.3750932000000002E-4"/>
    <x v="0"/>
  </r>
  <r>
    <n v="42"/>
    <n v="0"/>
    <n v="3"/>
    <n v="2"/>
    <n v="2"/>
    <n v="4"/>
    <n v="0"/>
    <n v="35"/>
    <n v="5"/>
    <n v="2"/>
    <n v="4"/>
    <n v="5596"/>
    <n v="1086"/>
    <n v="4510"/>
    <n v="0.58699999999999997"/>
    <n v="3896"/>
    <n v="65"/>
    <n v="0.75700000000000001"/>
    <n v="0.19400000000000001"/>
    <n v="3.3886000000000002E-4"/>
    <n v="0.99965999999999999"/>
    <s v="28.979235279266927"/>
    <s v="13.388228064499089"/>
    <s v="53.23601241104456"/>
    <s v="23.927567891748733"/>
    <n v="714332658"/>
    <x v="0"/>
    <n v="3.2890364000000001E-4"/>
    <x v="0"/>
  </r>
  <r>
    <n v="32"/>
    <n v="0"/>
    <n v="1"/>
    <n v="6"/>
    <n v="1"/>
    <n v="4"/>
    <n v="0"/>
    <n v="22"/>
    <n v="3"/>
    <n v="3"/>
    <n v="2"/>
    <n v="2642"/>
    <n v="2035"/>
    <n v="607"/>
    <n v="1.119"/>
    <n v="1761"/>
    <n v="42"/>
    <n v="0.90900000000000003"/>
    <n v="0.77"/>
    <n v="1.8558E-4"/>
    <n v="0.99980999999999998"/>
    <s v="42.15987232484655"/>
    <n v="5.84197582274876E-2"/>
    <s v="70.97666575495384"/>
    <s v="1.3112153353889264"/>
    <n v="772684833"/>
    <x v="0"/>
    <n v="1.0249399E-3"/>
    <x v="0"/>
  </r>
  <r>
    <n v="40"/>
    <n v="1"/>
    <n v="4"/>
    <n v="5"/>
    <n v="1"/>
    <n v="0"/>
    <n v="0"/>
    <n v="36"/>
    <n v="2"/>
    <n v="2"/>
    <n v="2"/>
    <n v="17606"/>
    <n v="1377"/>
    <n v="16229"/>
    <n v="0.86099999999999999"/>
    <n v="8104"/>
    <n v="83"/>
    <n v="0.627"/>
    <n v="7.8E-2"/>
    <n v="1.2274000000000001E-4"/>
    <n v="0.99987999999999999"/>
    <s v="70.50605879620817"/>
    <s v="49.90711615940926"/>
    <s v="8.762897922527964"/>
    <s v="15.15859607811086"/>
    <n v="827904183"/>
    <x v="0"/>
    <n v="3.9890344000000002E-4"/>
    <x v="0"/>
  </r>
  <r>
    <n v="45"/>
    <n v="0"/>
    <n v="2"/>
    <n v="3"/>
    <n v="2"/>
    <n v="5"/>
    <n v="0"/>
    <n v="37"/>
    <n v="4"/>
    <n v="2"/>
    <n v="4"/>
    <n v="27804"/>
    <n v="0"/>
    <n v="27804"/>
    <n v="1.3009999999999999"/>
    <n v="2761"/>
    <n v="57"/>
    <n v="0.96599999999999997"/>
    <n v="0"/>
    <n v="3.1745999999999999E-4"/>
    <n v="0.99968000000000001"/>
    <s v="40.52920955450429"/>
    <s v="13.57391714209249"/>
    <s v="70.25679864210609"/>
    <s v="12.620580507674232"/>
    <n v="708404883"/>
    <x v="0"/>
    <n v="1.1835763000000001E-3"/>
    <x v="0"/>
  </r>
  <r>
    <n v="45"/>
    <n v="1"/>
    <n v="3"/>
    <n v="2"/>
    <n v="2"/>
    <n v="3"/>
    <n v="0"/>
    <n v="39"/>
    <n v="1"/>
    <n v="3"/>
    <n v="3"/>
    <n v="8383"/>
    <n v="0"/>
    <n v="8383"/>
    <n v="0.80900000000000005"/>
    <n v="2600"/>
    <n v="44"/>
    <n v="0.51700000000000002"/>
    <n v="0"/>
    <n v="0.99682999999999999"/>
    <n v="3.1745800000000002E-3"/>
    <s v="20.294686827909526"/>
    <n v="32.262222277425103"/>
    <s v="6.993920513348712"/>
    <s v="10.83715739651716"/>
    <n v="767553333"/>
    <x v="1"/>
    <n v="0.99876772999999996"/>
    <x v="1"/>
  </r>
  <r>
    <n v="44"/>
    <n v="0"/>
    <n v="1"/>
    <n v="2"/>
    <n v="2"/>
    <n v="1"/>
    <n v="0"/>
    <n v="36"/>
    <n v="3"/>
    <n v="4"/>
    <n v="2"/>
    <n v="1484"/>
    <n v="885"/>
    <n v="599"/>
    <n v="0.95099999999999996"/>
    <n v="4819"/>
    <n v="74"/>
    <n v="0.80500000000000005"/>
    <n v="0.59599999999999997"/>
    <n v="2.0404E-4"/>
    <n v="0.99980000000000002"/>
    <s v="4.999577342460451"/>
    <s v="59.00678705126997"/>
    <s v="54.022982497086375"/>
    <s v="5.997027098163765"/>
    <n v="713914683"/>
    <x v="0"/>
    <n v="4.2309653000000003E-4"/>
    <x v="0"/>
  </r>
  <r>
    <n v="29"/>
    <n v="0"/>
    <n v="0"/>
    <n v="3"/>
    <n v="2"/>
    <n v="4"/>
    <n v="0"/>
    <n v="13"/>
    <n v="6"/>
    <n v="3"/>
    <n v="5"/>
    <n v="5240"/>
    <n v="1608"/>
    <n v="3632"/>
    <n v="1.2430000000000001"/>
    <n v="2712"/>
    <n v="64"/>
    <n v="0.77800000000000002"/>
    <n v="0.307"/>
    <n v="7.4474000000000003E-4"/>
    <n v="0.99926000000000004"/>
    <s v="47.09460716533699"/>
    <s v="34.93493204639722"/>
    <s v="55.68983030454263"/>
    <s v="6.869976666946103"/>
    <n v="717986058"/>
    <x v="0"/>
    <n v="4.907844E-4"/>
    <x v="0"/>
  </r>
  <r>
    <n v="43"/>
    <n v="1"/>
    <n v="3"/>
    <n v="6"/>
    <n v="1"/>
    <n v="1"/>
    <n v="0"/>
    <n v="33"/>
    <n v="6"/>
    <n v="1"/>
    <n v="2"/>
    <n v="4402"/>
    <n v="1640"/>
    <n v="2762"/>
    <n v="0.71899999999999997"/>
    <n v="1774"/>
    <n v="46"/>
    <n v="1"/>
    <n v="0.373"/>
    <s v="6.282e-05"/>
    <n v="0.99994000000000005"/>
    <s v="25.47465627769455"/>
    <s v="21.452332852400676"/>
    <s v="0.6353073707661899"/>
    <s v="6.326466761419561"/>
    <n v="772452783"/>
    <x v="0"/>
    <n v="9.8706899999999992E-4"/>
    <x v="0"/>
  </r>
  <r>
    <n v="47"/>
    <n v="1"/>
    <n v="4"/>
    <n v="6"/>
    <n v="0"/>
    <n v="1"/>
    <n v="0"/>
    <n v="35"/>
    <n v="3"/>
    <n v="2"/>
    <n v="1"/>
    <n v="4907"/>
    <n v="773"/>
    <n v="4134"/>
    <n v="0.51700000000000002"/>
    <n v="5088"/>
    <n v="71"/>
    <n v="0.65100000000000002"/>
    <n v="0.158"/>
    <s v="7.9128e-05"/>
    <n v="0.99992000000000003"/>
    <s v="5.048752326511303"/>
    <s v="25.00149968144397"/>
    <s v="59.57627973449545"/>
    <s v="8.572545919329157"/>
    <n v="709788783"/>
    <x v="0"/>
    <n v="5.2566850000000003E-4"/>
    <x v="0"/>
  </r>
  <r>
    <n v="43"/>
    <n v="0"/>
    <n v="2"/>
    <n v="5"/>
    <n v="3"/>
    <n v="4"/>
    <n v="0"/>
    <n v="39"/>
    <n v="5"/>
    <n v="3"/>
    <n v="3"/>
    <n v="2734"/>
    <n v="2517"/>
    <n v="217"/>
    <n v="0.7"/>
    <n v="4457"/>
    <n v="86"/>
    <n v="0.95499999999999996"/>
    <n v="0.92100000000000004"/>
    <n v="3.1104E-4"/>
    <n v="0.99968999999999997"/>
    <s v="10.072445139457573"/>
    <s v="19.42188866484398"/>
    <n v="25.503986496802199"/>
    <s v="6.628485725385223"/>
    <n v="823557333"/>
    <x v="0"/>
    <n v="3.4692350000000002E-4"/>
    <x v="0"/>
  </r>
  <r>
    <n v="57"/>
    <n v="1"/>
    <n v="2"/>
    <n v="3"/>
    <n v="2"/>
    <n v="3"/>
    <n v="0"/>
    <n v="36"/>
    <n v="6"/>
    <n v="3"/>
    <n v="0"/>
    <n v="8026"/>
    <n v="2202"/>
    <n v="5824"/>
    <n v="0.58599999999999997"/>
    <n v="4072"/>
    <n v="72"/>
    <n v="0.6"/>
    <n v="0.27400000000000002"/>
    <s v="6.4505e-05"/>
    <n v="0.99994000000000005"/>
    <s v="5.0817866428711005"/>
    <n v="79.843648477142395"/>
    <s v="20.454054557893823"/>
    <s v="26.867507319464146"/>
    <n v="714048783"/>
    <x v="0"/>
    <n v="3.2914013999999999E-4"/>
    <x v="0"/>
  </r>
  <r>
    <n v="46"/>
    <n v="1"/>
    <n v="4"/>
    <n v="0"/>
    <n v="1"/>
    <n v="2"/>
    <n v="0"/>
    <n v="36"/>
    <n v="4"/>
    <n v="2"/>
    <n v="1"/>
    <n v="1681"/>
    <n v="0"/>
    <n v="1681"/>
    <n v="0.46400000000000002"/>
    <n v="1953"/>
    <n v="48"/>
    <n v="0.5"/>
    <n v="0"/>
    <n v="0.98590999999999995"/>
    <n v="1.409E-2"/>
    <s v="7.662917096986633"/>
    <s v="107.96968331852044"/>
    <s v="26.23281197178846"/>
    <s v="11.564714194474876"/>
    <n v="714559458"/>
    <x v="1"/>
    <n v="0.99866544999999995"/>
    <x v="1"/>
  </r>
  <r>
    <n v="41"/>
    <n v="1"/>
    <n v="1"/>
    <n v="2"/>
    <n v="2"/>
    <n v="3"/>
    <n v="0"/>
    <n v="29"/>
    <n v="5"/>
    <n v="1"/>
    <n v="3"/>
    <n v="21684"/>
    <n v="1748"/>
    <n v="19936"/>
    <n v="0.71499999999999997"/>
    <n v="1329"/>
    <n v="24"/>
    <n v="0.6"/>
    <n v="8.1000000000000003E-2"/>
    <s v="8.6952e-05"/>
    <n v="0.99990999999999997"/>
    <s v="15.346586010994429"/>
    <s v="25.37363349128917"/>
    <s v="57.39636707253299"/>
    <s v="1.6888091665083038"/>
    <n v="709110633"/>
    <x v="0"/>
    <n v="1.1187573000000001E-3"/>
    <x v="0"/>
  </r>
  <r>
    <n v="50"/>
    <n v="0"/>
    <n v="3"/>
    <n v="3"/>
    <n v="1"/>
    <n v="4"/>
    <n v="0"/>
    <n v="36"/>
    <n v="2"/>
    <n v="3"/>
    <n v="3"/>
    <n v="1572"/>
    <n v="0"/>
    <n v="1572"/>
    <n v="0.74"/>
    <n v="2447"/>
    <n v="41"/>
    <n v="0.57699999999999996"/>
    <n v="0"/>
    <n v="0.99673"/>
    <n v="3.2652800000000002E-3"/>
    <s v="17.75836523984402"/>
    <s v="32.46996231635719"/>
    <s v="116.82781618335989"/>
    <s v="13.576662196528993"/>
    <n v="718148358"/>
    <x v="1"/>
    <n v="0.99876772999999996"/>
    <x v="1"/>
  </r>
  <r>
    <n v="48"/>
    <n v="0"/>
    <n v="3"/>
    <n v="2"/>
    <n v="3"/>
    <n v="4"/>
    <n v="0"/>
    <n v="36"/>
    <n v="4"/>
    <n v="2"/>
    <n v="2"/>
    <n v="6182"/>
    <n v="1131"/>
    <n v="5051"/>
    <n v="0.56599999999999995"/>
    <n v="3546"/>
    <n v="63"/>
    <n v="0.61499999999999999"/>
    <n v="0.183"/>
    <n v="1.1811000000000001E-4"/>
    <n v="0.99987999999999999"/>
    <s v="8.290655216512393"/>
    <s v="14.56326136044361"/>
    <s v="62.98538508962575"/>
    <s v="6.822167363801726"/>
    <n v="711906033"/>
    <x v="0"/>
    <n v="3.5672840999999999E-4"/>
    <x v="0"/>
  </r>
  <r>
    <n v="49"/>
    <n v="1"/>
    <n v="3"/>
    <n v="5"/>
    <n v="1"/>
    <n v="0"/>
    <n v="0"/>
    <n v="38"/>
    <n v="2"/>
    <n v="3"/>
    <n v="3"/>
    <n v="8549"/>
    <n v="0"/>
    <n v="8549"/>
    <n v="1.0229999999999999"/>
    <n v="9192"/>
    <n v="77"/>
    <n v="0.79100000000000004"/>
    <n v="0"/>
    <n v="0.99690999999999996"/>
    <n v="3.08778E-3"/>
    <s v="12.701874000484516"/>
    <s v="126.7897159883709"/>
    <s v="42.97107738674955"/>
    <s v="6.981226159251039"/>
    <n v="787518258"/>
    <x v="1"/>
    <n v="0.99507409999999996"/>
    <x v="1"/>
  </r>
  <r>
    <n v="47"/>
    <n v="0"/>
    <n v="3"/>
    <n v="3"/>
    <n v="1"/>
    <n v="4"/>
    <n v="0"/>
    <n v="36"/>
    <n v="6"/>
    <n v="2"/>
    <n v="3"/>
    <n v="6524"/>
    <n v="1993"/>
    <n v="4531"/>
    <n v="0.81499999999999995"/>
    <n v="4267"/>
    <n v="66"/>
    <n v="0.88600000000000001"/>
    <n v="0.30499999999999999"/>
    <n v="1.9311E-4"/>
    <n v="0.99980999999999998"/>
    <s v="16.182617366923182"/>
    <n v="38.888668695770697"/>
    <s v="40.838027574615374"/>
    <s v="4.395821675829449"/>
    <n v="716308683"/>
    <x v="0"/>
    <n v="3.2101269999999999E-4"/>
    <x v="0"/>
  </r>
  <r>
    <n v="48"/>
    <n v="0"/>
    <n v="4"/>
    <n v="1"/>
    <n v="0"/>
    <n v="4"/>
    <n v="3"/>
    <n v="38"/>
    <n v="2"/>
    <n v="1"/>
    <n v="2"/>
    <n v="10610"/>
    <n v="0"/>
    <n v="10610"/>
    <n v="0.66400000000000003"/>
    <n v="15050"/>
    <n v="108"/>
    <n v="0.74199999999999999"/>
    <n v="0"/>
    <s v="7.5527e-05"/>
    <n v="0.99992000000000003"/>
    <s v="14.047252555754095"/>
    <s v="40.99089372082422"/>
    <n v="73.505978590800595"/>
    <s v="0.9901400891017405"/>
    <n v="710858658"/>
    <x v="0"/>
    <n v="7.5047980000000002E-4"/>
    <x v="0"/>
  </r>
  <r>
    <n v="62"/>
    <n v="0"/>
    <n v="0"/>
    <n v="1"/>
    <n v="1"/>
    <n v="1"/>
    <n v="0"/>
    <n v="51"/>
    <n v="3"/>
    <n v="3"/>
    <n v="2"/>
    <n v="3377"/>
    <n v="948"/>
    <n v="2429"/>
    <n v="0.46100000000000002"/>
    <n v="1407"/>
    <n v="44"/>
    <n v="0.46700000000000003"/>
    <n v="0.28100000000000003"/>
    <n v="2.2336E-4"/>
    <n v="0.99978"/>
    <s v="35.009551811484954"/>
    <s v="17.705057415568913"/>
    <s v="52.26290555550857"/>
    <s v="1.7429743968091524"/>
    <n v="772303458"/>
    <x v="0"/>
    <n v="1.5671343000000001E-3"/>
    <x v="0"/>
  </r>
  <r>
    <n v="40"/>
    <n v="0"/>
    <n v="4"/>
    <n v="5"/>
    <n v="1"/>
    <n v="5"/>
    <n v="0"/>
    <n v="29"/>
    <n v="2"/>
    <n v="3"/>
    <n v="3"/>
    <n v="3326"/>
    <n v="2181"/>
    <n v="1145"/>
    <n v="0.82699999999999996"/>
    <n v="13583"/>
    <n v="110"/>
    <n v="0.746"/>
    <n v="0.65600000000000003"/>
    <n v="3.2620000000000001E-4"/>
    <n v="0.99966999999999995"/>
    <s v="31.74690332409893"/>
    <s v="14.57610753239855"/>
    <s v="59.53081818270667"/>
    <s v="4.957881534120695"/>
    <n v="789200208"/>
    <x v="0"/>
    <n v="3.4656386999999997E-4"/>
    <x v="0"/>
  </r>
  <r>
    <n v="53"/>
    <n v="0"/>
    <n v="2"/>
    <n v="3"/>
    <n v="2"/>
    <n v="1"/>
    <n v="0"/>
    <n v="47"/>
    <n v="5"/>
    <n v="2"/>
    <n v="3"/>
    <n v="1536"/>
    <n v="728"/>
    <n v="808"/>
    <n v="0.60399999999999998"/>
    <n v="4133"/>
    <n v="78"/>
    <n v="0.52900000000000003"/>
    <n v="0.47399999999999998"/>
    <n v="1.861E-4"/>
    <n v="0.99980999999999998"/>
    <s v="15.704770354941829"/>
    <s v="29.659629338124088"/>
    <s v="89.81441789451577"/>
    <s v="7.037181799859186"/>
    <n v="802867683"/>
    <x v="0"/>
    <n v="5.5868360000000002E-4"/>
    <x v="0"/>
  </r>
  <r>
    <n v="48"/>
    <n v="1"/>
    <n v="2"/>
    <n v="3"/>
    <n v="1"/>
    <n v="1"/>
    <n v="0"/>
    <n v="29"/>
    <n v="3"/>
    <n v="2"/>
    <n v="1"/>
    <n v="6168"/>
    <n v="2371"/>
    <n v="3797"/>
    <n v="0.66800000000000004"/>
    <n v="4303"/>
    <n v="80"/>
    <n v="0.50900000000000001"/>
    <n v="0.38400000000000001"/>
    <s v="6.6728e-05"/>
    <n v="0.99992999999999999"/>
    <s v="7.014679555272423"/>
    <s v="34.25401683914416"/>
    <s v="53.77337281160897"/>
    <s v="2.181560975979465"/>
    <n v="719089383"/>
    <x v="0"/>
    <n v="3.4439339999999999E-4"/>
    <x v="0"/>
  </r>
  <r>
    <n v="33"/>
    <n v="1"/>
    <n v="2"/>
    <n v="3"/>
    <n v="2"/>
    <n v="2"/>
    <n v="0"/>
    <n v="23"/>
    <n v="4"/>
    <n v="2"/>
    <n v="1"/>
    <n v="2400"/>
    <n v="0"/>
    <n v="2400"/>
    <n v="1.0640000000000001"/>
    <n v="2677"/>
    <n v="70"/>
    <n v="0.89200000000000002"/>
    <n v="0"/>
    <s v="6.6728e-05"/>
    <n v="0.99992999999999999"/>
    <s v="23.030479681011343"/>
    <s v="51.69114942522163"/>
    <s v="63.98523941235456"/>
    <s v="17.43073058941979"/>
    <n v="709674333"/>
    <x v="0"/>
    <n v="8.758886E-4"/>
    <x v="0"/>
  </r>
  <r>
    <n v="39"/>
    <n v="1"/>
    <n v="3"/>
    <n v="4"/>
    <n v="1"/>
    <n v="2"/>
    <n v="0"/>
    <n v="36"/>
    <n v="2"/>
    <n v="2"/>
    <n v="3"/>
    <n v="6867"/>
    <n v="776"/>
    <n v="6091"/>
    <n v="0.71499999999999997"/>
    <n v="14119"/>
    <n v="97"/>
    <n v="0.76400000000000001"/>
    <n v="0.113"/>
    <n v="2.3373E-4"/>
    <n v="0.99977000000000005"/>
    <s v="40.07532884398873"/>
    <s v="61.06840665195372"/>
    <s v="28.420038821624072"/>
    <s v="11.993411417283378"/>
    <n v="720136458"/>
    <x v="0"/>
    <n v="5.6749790000000001E-4"/>
    <x v="0"/>
  </r>
  <r>
    <n v="45"/>
    <n v="0"/>
    <n v="2"/>
    <n v="0"/>
    <n v="1"/>
    <n v="4"/>
    <n v="0"/>
    <n v="36"/>
    <n v="1"/>
    <n v="3"/>
    <n v="2"/>
    <n v="3387"/>
    <n v="0"/>
    <n v="3387"/>
    <n v="0.78900000000000003"/>
    <n v="510"/>
    <n v="24"/>
    <n v="0.6"/>
    <n v="0"/>
    <n v="0.99431999999999998"/>
    <n v="5.6800000000000002E-3"/>
    <s v="38.770889022556624"/>
    <s v="33.48489021175945"/>
    <s v="27.356129705092613"/>
    <s v="1.7925051931858105"/>
    <n v="708874533"/>
    <x v="1"/>
    <n v="0.9985598"/>
    <x v="1"/>
  </r>
  <r>
    <n v="53"/>
    <n v="1"/>
    <n v="2"/>
    <n v="3"/>
    <n v="2"/>
    <n v="0"/>
    <n v="0"/>
    <n v="44"/>
    <n v="4"/>
    <n v="2"/>
    <n v="2"/>
    <n v="14734"/>
    <n v="1634"/>
    <n v="13100"/>
    <n v="0.98899999999999999"/>
    <n v="1289"/>
    <n v="23"/>
    <n v="0.91700000000000004"/>
    <n v="0.111"/>
    <n v="1.1065000000000001E-4"/>
    <n v="0.99988999999999995"/>
    <s v="29.138160334063933"/>
    <s v="7.096978252012667"/>
    <s v="17.59667466655497"/>
    <s v="17.74286422840694"/>
    <n v="708155733"/>
    <x v="0"/>
    <n v="9.8706899999999992E-4"/>
    <x v="0"/>
  </r>
  <r>
    <n v="43"/>
    <n v="1"/>
    <n v="3"/>
    <n v="3"/>
    <n v="1"/>
    <n v="2"/>
    <n v="0"/>
    <n v="35"/>
    <n v="2"/>
    <n v="3"/>
    <n v="2"/>
    <n v="3717"/>
    <n v="1882"/>
    <n v="1835"/>
    <n v="0.79600000000000004"/>
    <n v="4667"/>
    <n v="91"/>
    <n v="0.82"/>
    <n v="0.50600000000000001"/>
    <n v="1.8144999999999999E-4"/>
    <n v="0.99982000000000004"/>
    <s v="5.482191035743918"/>
    <s v="22.849747756755725"/>
    <s v="67.72050800138277"/>
    <s v="2.682578738648396"/>
    <n v="711873858"/>
    <x v="0"/>
    <n v="3.2101269999999999E-4"/>
    <x v="0"/>
  </r>
  <r>
    <n v="59"/>
    <n v="1"/>
    <n v="1"/>
    <n v="0"/>
    <n v="1"/>
    <n v="2"/>
    <n v="0"/>
    <n v="36"/>
    <n v="4"/>
    <n v="1"/>
    <n v="2"/>
    <n v="7871"/>
    <n v="1687"/>
    <n v="6184"/>
    <n v="1.242"/>
    <n v="1428"/>
    <n v="22"/>
    <n v="1.444"/>
    <n v="0.214"/>
    <s v="5.0261e-05"/>
    <n v="0.99995000000000001"/>
    <s v="15.121035104421148"/>
    <s v="5.071082736226662"/>
    <s v="126.70857422252568"/>
    <s v="4.346258507178354"/>
    <n v="718030083"/>
    <x v="0"/>
    <n v="9.8706899999999992E-4"/>
    <x v="0"/>
  </r>
  <r>
    <n v="41"/>
    <n v="1"/>
    <n v="3"/>
    <n v="2"/>
    <n v="2"/>
    <n v="1"/>
    <n v="0"/>
    <n v="37"/>
    <n v="3"/>
    <n v="3"/>
    <n v="2"/>
    <n v="7839"/>
    <n v="1544"/>
    <n v="6295"/>
    <n v="0.71499999999999997"/>
    <n v="7904"/>
    <n v="83"/>
    <n v="0.80400000000000005"/>
    <n v="0.19700000000000001"/>
    <n v="1.8665000000000001E-4"/>
    <n v="0.99980999999999998"/>
    <s v="24.89972842180761"/>
    <s v="12.760805402937113"/>
    <n v="10.0284448525809"/>
    <s v="10.984009750442386"/>
    <n v="823833483"/>
    <x v="0"/>
    <n v="3.6856539999999998E-4"/>
    <x v="0"/>
  </r>
  <r>
    <n v="35"/>
    <n v="0"/>
    <n v="3"/>
    <n v="5"/>
    <n v="1"/>
    <n v="5"/>
    <n v="0"/>
    <n v="29"/>
    <n v="3"/>
    <n v="3"/>
    <n v="1"/>
    <n v="2278"/>
    <n v="1303"/>
    <n v="975"/>
    <n v="0.64500000000000002"/>
    <n v="5101"/>
    <n v="76"/>
    <n v="0.61699999999999999"/>
    <n v="0.57199999999999995"/>
    <n v="1.1574E-4"/>
    <n v="0.99987999999999999"/>
    <s v="12.947842826885662"/>
    <n v="39.436755427768702"/>
    <s v="21.511768393474465"/>
    <s v="7.203229983566878"/>
    <n v="793656633"/>
    <x v="0"/>
    <n v="3.2914013999999999E-4"/>
    <x v="0"/>
  </r>
  <r>
    <n v="48"/>
    <n v="0"/>
    <n v="5"/>
    <n v="4"/>
    <n v="1"/>
    <n v="1"/>
    <n v="0"/>
    <n v="38"/>
    <n v="3"/>
    <n v="3"/>
    <n v="1"/>
    <n v="2926"/>
    <n v="716"/>
    <n v="2210"/>
    <n v="0.94899999999999995"/>
    <n v="4219"/>
    <n v="78"/>
    <n v="0.59199999999999997"/>
    <n v="0.245"/>
    <n v="1.3177999999999999E-4"/>
    <n v="0.99987000000000004"/>
    <s v="30.34593999685713"/>
    <s v="32.48003978567449"/>
    <s v="59.31497886210264"/>
    <n v="6.0880553826908699"/>
    <n v="772415808"/>
    <x v="0"/>
    <n v="5.6062820000000004E-4"/>
    <x v="0"/>
  </r>
  <r>
    <n v="47"/>
    <n v="1"/>
    <n v="2"/>
    <n v="0"/>
    <n v="1"/>
    <n v="1"/>
    <n v="0"/>
    <n v="37"/>
    <n v="6"/>
    <n v="3"/>
    <n v="1"/>
    <n v="3263"/>
    <n v="1525"/>
    <n v="1738"/>
    <n v="0.54200000000000004"/>
    <n v="14649"/>
    <n v="110"/>
    <n v="0.83299999999999996"/>
    <n v="0.46700000000000003"/>
    <n v="1.0546E-4"/>
    <n v="0.99988999999999995"/>
    <s v="0.6005139210492443"/>
    <s v="53.360940275103374"/>
    <s v="13.401317485468356"/>
    <s v="26.85394122360335"/>
    <n v="714103083"/>
    <x v="0"/>
    <n v="3.4656386999999997E-4"/>
    <x v="0"/>
  </r>
  <r>
    <n v="42"/>
    <n v="0"/>
    <n v="5"/>
    <n v="2"/>
    <n v="3"/>
    <n v="4"/>
    <n v="0"/>
    <n v="37"/>
    <n v="2"/>
    <n v="3"/>
    <n v="2"/>
    <n v="6250"/>
    <n v="1835"/>
    <n v="4415"/>
    <n v="0.64400000000000002"/>
    <n v="4042"/>
    <n v="60"/>
    <n v="0.71399999999999997"/>
    <n v="0.29399999999999998"/>
    <n v="1.8569999999999999E-4"/>
    <n v="0.99980999999999998"/>
    <s v="47.01156145067762"/>
    <n v="64.5324166253382"/>
    <s v="28.29324300635798"/>
    <s v="11.27235113689855"/>
    <n v="808891983"/>
    <x v="0"/>
    <n v="3.8386300000000002E-4"/>
    <x v="0"/>
  </r>
  <r>
    <n v="51"/>
    <n v="1"/>
    <n v="1"/>
    <n v="6"/>
    <n v="1"/>
    <n v="3"/>
    <n v="0"/>
    <n v="39"/>
    <n v="4"/>
    <n v="3"/>
    <n v="4"/>
    <n v="24462"/>
    <n v="946"/>
    <n v="23516"/>
    <n v="0.47499999999999998"/>
    <n v="1709"/>
    <n v="37"/>
    <n v="0.54200000000000004"/>
    <n v="3.9E-2"/>
    <n v="0.99812999999999996"/>
    <n v="1.8738699999999999E-3"/>
    <s v="1.0149235471214462"/>
    <s v="23.70905373948596"/>
    <s v="2.447001722621485"/>
    <s v="12.416010453311976"/>
    <n v="779380908"/>
    <x v="1"/>
    <n v="0.99452669999999999"/>
    <x v="1"/>
  </r>
  <r>
    <n v="41"/>
    <n v="0"/>
    <n v="3"/>
    <n v="3"/>
    <n v="2"/>
    <n v="4"/>
    <n v="3"/>
    <n v="36"/>
    <n v="6"/>
    <n v="1"/>
    <n v="3"/>
    <n v="11533"/>
    <n v="1418"/>
    <n v="10115"/>
    <n v="0.54600000000000004"/>
    <n v="4038"/>
    <n v="63"/>
    <n v="0.61499999999999999"/>
    <n v="0.123"/>
    <s v="8.4436e-05"/>
    <n v="0.99992000000000003"/>
    <s v="1.9485555388661888"/>
    <s v="31.76805433833724"/>
    <s v="45.354752210293945"/>
    <s v="13.137558116687329"/>
    <n v="714031983"/>
    <x v="0"/>
    <n v="3.5672840999999999E-4"/>
    <x v="0"/>
  </r>
  <r>
    <n v="40"/>
    <n v="0"/>
    <n v="3"/>
    <n v="2"/>
    <n v="1"/>
    <n v="5"/>
    <n v="0"/>
    <n v="25"/>
    <n v="1"/>
    <n v="2"/>
    <n v="3"/>
    <n v="6888"/>
    <n v="1878"/>
    <n v="5010"/>
    <n v="1.0589999999999999"/>
    <n v="9038"/>
    <n v="64"/>
    <n v="0.82899999999999996"/>
    <n v="0.27300000000000002"/>
    <n v="0.99499000000000004"/>
    <n v="5.0099999999999997E-3"/>
    <s v="25.578906773057252"/>
    <s v="52.441249704136766"/>
    <s v="106.51487013107932"/>
    <s v="21.518100751603708"/>
    <n v="713437008"/>
    <x v="1"/>
    <n v="0.98915814999999996"/>
    <x v="1"/>
  </r>
  <r>
    <n v="47"/>
    <n v="0"/>
    <n v="3"/>
    <n v="6"/>
    <n v="1"/>
    <n v="5"/>
    <n v="0"/>
    <n v="38"/>
    <n v="5"/>
    <n v="1"/>
    <n v="4"/>
    <n v="1634"/>
    <n v="1463"/>
    <n v="171"/>
    <n v="0.873"/>
    <n v="4397"/>
    <n v="72"/>
    <n v="0.56499999999999995"/>
    <n v="0.89500000000000002"/>
    <n v="1.8024999999999999E-4"/>
    <n v="0.99982000000000004"/>
    <s v="18.47191946033534"/>
    <s v="11.768373800614825"/>
    <s v="130.33788476726647"/>
    <s v="16.173693378058083"/>
    <n v="717995958"/>
    <x v="0"/>
    <n v="3.2914013999999999E-4"/>
    <x v="0"/>
  </r>
  <r>
    <n v="33"/>
    <n v="0"/>
    <n v="0"/>
    <n v="3"/>
    <n v="2"/>
    <n v="5"/>
    <n v="0"/>
    <n v="27"/>
    <n v="6"/>
    <n v="1"/>
    <n v="1"/>
    <n v="2252"/>
    <n v="1826"/>
    <n v="426"/>
    <n v="0.71599999999999997"/>
    <n v="5055"/>
    <n v="68"/>
    <n v="1"/>
    <n v="0.81100000000000005"/>
    <s v="2.7707e-05"/>
    <n v="0.99997000000000003"/>
    <s v="6.855562130144686"/>
    <s v="25.96796648060132"/>
    <s v="71.25129081040012"/>
    <s v="14.86135381436361"/>
    <n v="803214108"/>
    <x v="0"/>
    <n v="3.2101269999999999E-4"/>
    <x v="0"/>
  </r>
  <r>
    <n v="44"/>
    <n v="1"/>
    <n v="3"/>
    <n v="3"/>
    <n v="2"/>
    <n v="0"/>
    <n v="3"/>
    <n v="36"/>
    <n v="1"/>
    <n v="2"/>
    <n v="2"/>
    <n v="34516"/>
    <n v="1106"/>
    <n v="33410"/>
    <n v="0.77600000000000002"/>
    <n v="7936"/>
    <n v="76"/>
    <n v="0.76700000000000002"/>
    <n v="3.2000000000000001E-2"/>
    <n v="1.0374000000000001E-4"/>
    <n v="0.99990000000000001"/>
    <s v="30.069121875980237"/>
    <s v="9.337447438421922"/>
    <s v="130.3233198332352"/>
    <s v="14.639178616060526"/>
    <n v="715729683"/>
    <x v="0"/>
    <n v="6.2157260000000002E-4"/>
    <x v="0"/>
  </r>
  <r>
    <n v="54"/>
    <n v="0"/>
    <n v="2"/>
    <n v="2"/>
    <n v="1"/>
    <n v="1"/>
    <n v="0"/>
    <n v="36"/>
    <n v="5"/>
    <n v="3"/>
    <n v="0"/>
    <n v="1854"/>
    <n v="1528"/>
    <n v="326"/>
    <n v="0.44400000000000001"/>
    <n v="1307"/>
    <n v="39"/>
    <n v="0.39300000000000002"/>
    <n v="0.82399999999999995"/>
    <s v="6.6354e-05"/>
    <n v="0.99992999999999999"/>
    <s v="10.70283696351656"/>
    <s v="43.87219889558452"/>
    <s v="60.37829308064004"/>
    <s v="5.473039821348976"/>
    <n v="710108133"/>
    <x v="0"/>
    <n v="1.1982243E-3"/>
    <x v="0"/>
  </r>
  <r>
    <n v="30"/>
    <n v="1"/>
    <n v="0"/>
    <n v="0"/>
    <n v="1"/>
    <n v="2"/>
    <n v="0"/>
    <n v="25"/>
    <n v="2"/>
    <n v="3"/>
    <n v="1"/>
    <n v="19534"/>
    <n v="0"/>
    <n v="19534"/>
    <n v="0.61599999999999999"/>
    <n v="15634"/>
    <n v="118"/>
    <n v="0.63900000000000001"/>
    <n v="0"/>
    <s v="9.0501e-05"/>
    <n v="0.99990999999999997"/>
    <s v="17.347604001942962"/>
    <n v="93.993219032742203"/>
    <s v="23.740900351945204"/>
    <s v="15.363897323853934"/>
    <n v="818235408"/>
    <x v="0"/>
    <n v="7.6947116999999995E-4"/>
    <x v="0"/>
  </r>
  <r>
    <n v="41"/>
    <n v="1"/>
    <n v="4"/>
    <n v="0"/>
    <n v="0"/>
    <n v="2"/>
    <n v="0"/>
    <n v="35"/>
    <n v="5"/>
    <n v="3"/>
    <n v="2"/>
    <n v="2001"/>
    <n v="0"/>
    <n v="2001"/>
    <n v="0.79100000000000004"/>
    <n v="4455"/>
    <n v="82"/>
    <n v="0.64"/>
    <n v="0"/>
    <n v="1.8340000000000001E-4"/>
    <n v="0.99982000000000004"/>
    <s v="62.51479509681609"/>
    <s v="99.32255087400452"/>
    <n v="8.2749324756826397"/>
    <s v="4.143774107601847"/>
    <n v="768675483"/>
    <x v="0"/>
    <n v="7.1276520000000004E-4"/>
    <x v="0"/>
  </r>
  <r>
    <n v="53"/>
    <n v="0"/>
    <n v="3"/>
    <n v="6"/>
    <n v="1"/>
    <n v="4"/>
    <n v="0"/>
    <n v="36"/>
    <n v="3"/>
    <n v="3"/>
    <n v="3"/>
    <n v="2819"/>
    <n v="0"/>
    <n v="2819"/>
    <n v="0.4"/>
    <n v="2128"/>
    <n v="39"/>
    <n v="0.44400000000000001"/>
    <n v="0"/>
    <n v="0.99711000000000005"/>
    <n v="2.8889200000000001E-3"/>
    <n v="55.312467294930201"/>
    <s v="82.43513185280206"/>
    <s v="51.42472656699628"/>
    <s v="0.3801139482923626"/>
    <n v="714614133"/>
    <x v="1"/>
    <n v="0.99876772999999996"/>
    <x v="1"/>
  </r>
  <r>
    <n v="40"/>
    <n v="1"/>
    <n v="4"/>
    <n v="0"/>
    <n v="0"/>
    <n v="3"/>
    <n v="0"/>
    <n v="31"/>
    <n v="6"/>
    <n v="2"/>
    <n v="3"/>
    <n v="16050"/>
    <n v="0"/>
    <n v="16050"/>
    <n v="0.77"/>
    <n v="3721"/>
    <n v="62"/>
    <n v="0.51200000000000001"/>
    <n v="0"/>
    <n v="1.9519000000000001E-4"/>
    <n v="0.99980000000000002"/>
    <s v="16.624023814880868"/>
    <s v="43.66131562508742"/>
    <s v="67.41957895447163"/>
    <s v="14.812317271405654"/>
    <n v="708453408"/>
    <x v="0"/>
    <n v="9.0333229999999996E-4"/>
    <x v="0"/>
  </r>
  <r>
    <n v="44"/>
    <n v="0"/>
    <n v="2"/>
    <n v="5"/>
    <n v="0"/>
    <n v="1"/>
    <n v="0"/>
    <n v="27"/>
    <n v="4"/>
    <n v="2"/>
    <n v="3"/>
    <n v="5608"/>
    <n v="1243"/>
    <n v="4365"/>
    <n v="0.497"/>
    <n v="3829"/>
    <n v="74"/>
    <n v="0.39600000000000002"/>
    <n v="0.222"/>
    <n v="1.9683E-4"/>
    <n v="0.99980000000000002"/>
    <n v="6.5782837435191004"/>
    <n v="13.052828522130101"/>
    <s v="44.97952936204375"/>
    <s v="6.798571651716828"/>
    <n v="720781158"/>
    <x v="0"/>
    <n v="3.5747702000000001E-4"/>
    <x v="0"/>
  </r>
  <r>
    <n v="53"/>
    <n v="1"/>
    <n v="1"/>
    <n v="2"/>
    <n v="1"/>
    <n v="3"/>
    <n v="0"/>
    <n v="36"/>
    <n v="5"/>
    <n v="2"/>
    <n v="2"/>
    <n v="11329"/>
    <n v="1180"/>
    <n v="10149"/>
    <n v="0.64800000000000002"/>
    <n v="1213"/>
    <n v="33"/>
    <n v="0.57099999999999995"/>
    <n v="0.104"/>
    <n v="1.0684E-4"/>
    <n v="0.99988999999999995"/>
    <n v="38.254053829791403"/>
    <s v="48.04046179486348"/>
    <s v="53.94541563055473"/>
    <s v="19.444334678738805"/>
    <n v="712043433"/>
    <x v="0"/>
    <n v="1.0598798E-3"/>
    <x v="0"/>
  </r>
  <r>
    <n v="50"/>
    <n v="1"/>
    <n v="4"/>
    <n v="4"/>
    <n v="1"/>
    <n v="0"/>
    <n v="0"/>
    <n v="36"/>
    <n v="4"/>
    <n v="1"/>
    <n v="3"/>
    <n v="17374"/>
    <n v="2517"/>
    <n v="14857"/>
    <n v="0.74299999999999999"/>
    <n v="15473"/>
    <n v="128"/>
    <n v="0.70699999999999996"/>
    <n v="0.14499999999999999"/>
    <n v="1.1432E-4"/>
    <n v="0.99988999999999995"/>
    <s v="22.35336036624261"/>
    <s v="32.27449005853056"/>
    <s v="46.08120991582992"/>
    <s v="4.334852469564499"/>
    <n v="715269483"/>
    <x v="0"/>
    <n v="3.7453471999999999E-4"/>
    <x v="0"/>
  </r>
  <r>
    <n v="55"/>
    <n v="0"/>
    <n v="4"/>
    <n v="1"/>
    <n v="2"/>
    <n v="4"/>
    <n v="0"/>
    <n v="44"/>
    <n v="3"/>
    <n v="1"/>
    <n v="1"/>
    <n v="1912"/>
    <n v="0"/>
    <n v="1912"/>
    <n v="0.78300000000000003"/>
    <n v="4666"/>
    <n v="98"/>
    <n v="0.71899999999999997"/>
    <n v="0"/>
    <s v="5.0408e-05"/>
    <n v="0.99995000000000001"/>
    <s v="32.839097366675574"/>
    <s v="30.21326621744796"/>
    <s v="64.14596251564433"/>
    <s v="3.5135186063845234"/>
    <n v="715736283"/>
    <x v="0"/>
    <n v="6.9517245999999998E-4"/>
    <x v="0"/>
  </r>
  <r>
    <n v="43"/>
    <n v="1"/>
    <n v="2"/>
    <n v="5"/>
    <n v="0"/>
    <n v="3"/>
    <n v="0"/>
    <n v="34"/>
    <n v="5"/>
    <n v="3"/>
    <n v="2"/>
    <n v="1452"/>
    <n v="0"/>
    <n v="1452"/>
    <n v="0.97"/>
    <n v="4571"/>
    <n v="72"/>
    <n v="0.84599999999999997"/>
    <n v="0"/>
    <n v="1.8494E-4"/>
    <n v="0.99982000000000004"/>
    <s v="35.388884073276365"/>
    <s v="29.565594282154805"/>
    <s v="10.563725571458324"/>
    <s v="8.367218355328657"/>
    <n v="711597183"/>
    <x v="0"/>
    <n v="7.1297199999999998E-4"/>
    <x v="0"/>
  </r>
  <r>
    <n v="51"/>
    <n v="0"/>
    <n v="1"/>
    <n v="0"/>
    <n v="1"/>
    <n v="1"/>
    <n v="0"/>
    <n v="44"/>
    <n v="4"/>
    <n v="2"/>
    <n v="1"/>
    <n v="1438.3"/>
    <n v="0"/>
    <n v="1438.3"/>
    <n v="0.80300000000000005"/>
    <n v="2207"/>
    <n v="68"/>
    <n v="0.51100000000000001"/>
    <n v="0"/>
    <s v="6.2639e-05"/>
    <n v="0.99994000000000005"/>
    <s v="5.417633354058918"/>
    <s v="5.4575187414337245"/>
    <s v="134.0135841019992"/>
    <s v="13.485001317307514"/>
    <n v="709042908"/>
    <x v="0"/>
    <n v="9.9817029999999993E-4"/>
    <x v="0"/>
  </r>
  <r>
    <n v="56"/>
    <n v="0"/>
    <n v="3"/>
    <n v="5"/>
    <n v="2"/>
    <n v="5"/>
    <n v="2"/>
    <n v="46"/>
    <n v="2"/>
    <n v="3"/>
    <n v="2"/>
    <n v="34516"/>
    <n v="0"/>
    <n v="34516"/>
    <n v="0.88700000000000001"/>
    <n v="8416"/>
    <n v="93"/>
    <n v="0.63200000000000001"/>
    <n v="0"/>
    <n v="3.3335999999999999E-4"/>
    <n v="0.99966999999999995"/>
    <s v="63.31671019923586"/>
    <s v="78.46919187917956"/>
    <s v="78.29869773631026"/>
    <n v="9.3487135605696903"/>
    <n v="713870958"/>
    <x v="0"/>
    <n v="8.7929109999999996E-4"/>
    <x v="0"/>
  </r>
  <r>
    <n v="49"/>
    <n v="1"/>
    <n v="4"/>
    <n v="6"/>
    <n v="2"/>
    <n v="0"/>
    <n v="0"/>
    <n v="38"/>
    <n v="3"/>
    <n v="3"/>
    <n v="4"/>
    <n v="34516"/>
    <n v="2517"/>
    <n v="31999"/>
    <n v="0.7"/>
    <n v="2376"/>
    <n v="55"/>
    <n v="0.48599999999999999"/>
    <n v="7.2999999999999995E-2"/>
    <n v="0.99831999999999999"/>
    <n v="1.67742E-3"/>
    <s v="32.56353845254255"/>
    <s v="62.25605960464162"/>
    <s v="16.375769782176082"/>
    <s v="1.1496549449665303"/>
    <n v="771795933"/>
    <x v="1"/>
    <n v="0.98944600000000005"/>
    <x v="1"/>
  </r>
  <r>
    <n v="45"/>
    <n v="1"/>
    <n v="3"/>
    <n v="5"/>
    <n v="2"/>
    <n v="0"/>
    <n v="0"/>
    <n v="35"/>
    <n v="2"/>
    <n v="3"/>
    <n v="5"/>
    <n v="7135"/>
    <n v="2517"/>
    <n v="4618"/>
    <n v="0.63100000000000001"/>
    <n v="2305"/>
    <n v="42"/>
    <n v="0.44800000000000001"/>
    <n v="0.35299999999999998"/>
    <n v="0.99895"/>
    <n v="1.04798E-3"/>
    <s v="65.48220790436523"/>
    <s v="47.26236486820419"/>
    <s v="109.5588070524432"/>
    <s v="17.13274149243334"/>
    <n v="778191933"/>
    <x v="1"/>
    <n v="0.99435799999999996"/>
    <x v="1"/>
  </r>
  <r>
    <n v="27"/>
    <n v="0"/>
    <n v="0"/>
    <n v="3"/>
    <n v="1"/>
    <n v="4"/>
    <n v="0"/>
    <n v="22"/>
    <n v="4"/>
    <n v="1"/>
    <n v="2"/>
    <n v="1864"/>
    <n v="1384"/>
    <n v="480"/>
    <n v="0.90400000000000003"/>
    <n v="1662"/>
    <n v="32"/>
    <n v="0.39100000000000001"/>
    <n v="0.74199999999999999"/>
    <s v="4.5946e-05"/>
    <n v="0.99995000000000001"/>
    <s v="20.491150066733983"/>
    <s v="0.4126871742545631"/>
    <s v="71.88221999251347"/>
    <s v="11.342850816119032"/>
    <n v="813990483"/>
    <x v="0"/>
    <n v="1.1982243E-3"/>
    <x v="0"/>
  </r>
  <r>
    <n v="50"/>
    <n v="0"/>
    <n v="2"/>
    <n v="5"/>
    <n v="1"/>
    <n v="5"/>
    <n v="0"/>
    <n v="44"/>
    <n v="6"/>
    <n v="2"/>
    <n v="5"/>
    <n v="16763"/>
    <n v="0"/>
    <n v="16763"/>
    <n v="0.88"/>
    <n v="3626"/>
    <n v="69"/>
    <n v="0.68300000000000005"/>
    <n v="0"/>
    <n v="5.8091000000000002E-4"/>
    <n v="0.99941999999999998"/>
    <s v="30.785720632590834"/>
    <s v="71.10010905947608"/>
    <s v="35.06270181937399"/>
    <s v="4.075927526075146"/>
    <n v="786480183"/>
    <x v="0"/>
    <n v="7.6618145000000005E-4"/>
    <x v="0"/>
  </r>
  <r>
    <n v="49"/>
    <n v="0"/>
    <n v="4"/>
    <n v="6"/>
    <n v="2"/>
    <n v="5"/>
    <n v="0"/>
    <n v="31"/>
    <n v="6"/>
    <n v="3"/>
    <n v="3"/>
    <n v="2672"/>
    <n v="0"/>
    <n v="2672"/>
    <n v="1.038"/>
    <n v="2576"/>
    <n v="39"/>
    <n v="0.5"/>
    <n v="0"/>
    <n v="0.99714000000000003"/>
    <n v="2.8584499999999998E-3"/>
    <s v="15.21576846634053"/>
    <s v="61.00471720032226"/>
    <n v="90.225819690874403"/>
    <s v="9.817476391846892"/>
    <n v="708797583"/>
    <x v="1"/>
    <n v="0.99865013000000002"/>
    <x v="1"/>
  </r>
  <r>
    <n v="51"/>
    <n v="0"/>
    <n v="5"/>
    <n v="4"/>
    <n v="1"/>
    <n v="4"/>
    <n v="0"/>
    <n v="44"/>
    <n v="5"/>
    <n v="1"/>
    <n v="1"/>
    <n v="3449"/>
    <n v="1598"/>
    <n v="1851"/>
    <n v="0.97099999999999997"/>
    <n v="1679"/>
    <n v="42"/>
    <n v="0.55600000000000005"/>
    <n v="0.46300000000000002"/>
    <s v="4.0349e-05"/>
    <n v="0.99995999999999996"/>
    <s v="25.110961952975966"/>
    <s v="23.93218626558461"/>
    <s v="12.153895379917907"/>
    <s v="6.695670360406705"/>
    <n v="715735233"/>
    <x v="0"/>
    <n v="1.0598798E-3"/>
    <x v="0"/>
  </r>
  <r>
    <n v="29"/>
    <n v="0"/>
    <n v="2"/>
    <n v="2"/>
    <n v="1"/>
    <n v="4"/>
    <n v="0"/>
    <n v="25"/>
    <n v="6"/>
    <n v="3"/>
    <n v="2"/>
    <n v="2732"/>
    <n v="1746"/>
    <n v="986"/>
    <n v="1.028"/>
    <n v="4702"/>
    <n v="85"/>
    <n v="0.77100000000000002"/>
    <n v="0.63900000000000001"/>
    <n v="1.7987E-4"/>
    <n v="0.99982000000000004"/>
    <s v="30.619923524419253"/>
    <s v="17.086174058208826"/>
    <s v="84.87042236929663"/>
    <s v="1.9431155751388027"/>
    <n v="822905058"/>
    <x v="0"/>
    <n v="3.221314E-4"/>
    <x v="0"/>
  </r>
  <r>
    <n v="40"/>
    <n v="0"/>
    <n v="2"/>
    <n v="1"/>
    <n v="1"/>
    <n v="5"/>
    <n v="3"/>
    <n v="36"/>
    <n v="3"/>
    <n v="2"/>
    <n v="4"/>
    <n v="34516"/>
    <n v="1686"/>
    <n v="32830"/>
    <n v="0.56200000000000006"/>
    <n v="3146"/>
    <n v="66"/>
    <n v="0.65"/>
    <n v="4.9000000000000002E-2"/>
    <n v="4.2695999999999999E-4"/>
    <n v="0.99956999999999996"/>
    <s v="20.97547422435119"/>
    <s v="80.69989781392816"/>
    <s v="2.0470372575829288"/>
    <s v="5.324929436396743"/>
    <n v="715468083"/>
    <x v="0"/>
    <n v="3.5729867999999997E-4"/>
    <x v="0"/>
  </r>
  <r>
    <n v="49"/>
    <n v="1"/>
    <n v="4"/>
    <n v="5"/>
    <n v="3"/>
    <n v="2"/>
    <n v="0"/>
    <n v="44"/>
    <n v="1"/>
    <n v="3"/>
    <n v="2"/>
    <n v="12375"/>
    <n v="2263"/>
    <n v="10112"/>
    <n v="1.044"/>
    <n v="14500"/>
    <n v="106"/>
    <n v="0.58199999999999996"/>
    <n v="0.183"/>
    <n v="1.9395999999999999E-4"/>
    <n v="0.99980999999999998"/>
    <s v="18.982787218037902"/>
    <n v="63.5349185656505"/>
    <s v="82.91166457517254"/>
    <s v="8.577067222568015"/>
    <n v="816310158"/>
    <x v="0"/>
    <n v="3.7359665000000002E-4"/>
    <x v="0"/>
  </r>
  <r>
    <n v="50"/>
    <n v="1"/>
    <n v="1"/>
    <n v="2"/>
    <n v="1"/>
    <n v="0"/>
    <n v="0"/>
    <n v="43"/>
    <n v="4"/>
    <n v="5"/>
    <n v="3"/>
    <n v="20958"/>
    <n v="0"/>
    <n v="20958"/>
    <n v="0.76900000000000002"/>
    <n v="4425"/>
    <n v="78"/>
    <n v="0.69599999999999995"/>
    <n v="0"/>
    <n v="3.1713999999999999E-4"/>
    <n v="0.99968000000000001"/>
    <s v="3.561946446056764"/>
    <s v="90.02109443991176"/>
    <s v="170.1380193714072"/>
    <s v="21.799533933067018"/>
    <n v="765847383"/>
    <x v="0"/>
    <n v="6.9517245999999998E-4"/>
    <x v="0"/>
  </r>
  <r>
    <n v="52"/>
    <n v="0"/>
    <n v="3"/>
    <n v="5"/>
    <n v="1"/>
    <n v="4"/>
    <n v="0"/>
    <n v="33"/>
    <n v="6"/>
    <n v="3"/>
    <n v="3"/>
    <n v="5677"/>
    <n v="1403"/>
    <n v="4274"/>
    <n v="0.95099999999999996"/>
    <n v="2730"/>
    <n v="58"/>
    <n v="0.75800000000000001"/>
    <n v="0.247"/>
    <n v="3.2275000000000001E-4"/>
    <n v="0.99968000000000001"/>
    <s v="10.915574684225987"/>
    <s v="35.509238293705835"/>
    <n v="27.8366198119415"/>
    <s v="9.363434849932707"/>
    <n v="712822758"/>
    <x v="0"/>
    <n v="4.7843155E-4"/>
    <x v="0"/>
  </r>
  <r>
    <n v="61"/>
    <n v="0"/>
    <n v="0"/>
    <n v="2"/>
    <n v="2"/>
    <n v="1"/>
    <n v="0"/>
    <n v="56"/>
    <n v="3"/>
    <n v="3"/>
    <n v="4"/>
    <n v="9721"/>
    <n v="0"/>
    <n v="9721"/>
    <n v="0.82599999999999996"/>
    <n v="2260"/>
    <n v="46"/>
    <n v="1"/>
    <n v="0"/>
    <n v="0.99775000000000003"/>
    <n v="2.25216E-3"/>
    <n v="4.9216820229933497E-2"/>
    <s v="6.433518589444167"/>
    <s v="26.25154603475873"/>
    <s v="18.161129688894302"/>
    <n v="817889583"/>
    <x v="1"/>
    <n v="0.99773102999999996"/>
    <x v="1"/>
  </r>
  <r>
    <n v="50"/>
    <n v="1"/>
    <n v="4"/>
    <n v="6"/>
    <n v="1"/>
    <n v="1"/>
    <n v="0"/>
    <n v="35"/>
    <n v="6"/>
    <n v="1"/>
    <n v="5"/>
    <n v="12914"/>
    <n v="1227"/>
    <n v="11687"/>
    <n v="0.39200000000000002"/>
    <n v="2082"/>
    <n v="54"/>
    <n v="0.45900000000000002"/>
    <n v="9.5000000000000001E-2"/>
    <n v="0.99683999999999995"/>
    <n v="3.1613100000000001E-3"/>
    <s v="26.105843887284003"/>
    <s v="6.364258051953391"/>
    <s v="20.11757378343262"/>
    <s v="6.334436317890729"/>
    <n v="780126033"/>
    <x v="1"/>
    <n v="0.98711870000000002"/>
    <x v="1"/>
  </r>
  <r>
    <n v="53"/>
    <n v="0"/>
    <n v="1"/>
    <n v="2"/>
    <n v="1"/>
    <n v="1"/>
    <n v="0"/>
    <n v="36"/>
    <n v="6"/>
    <n v="3"/>
    <n v="3"/>
    <n v="2712"/>
    <n v="2487"/>
    <n v="225"/>
    <n v="0.57099999999999995"/>
    <n v="4159"/>
    <n v="69"/>
    <n v="0.68300000000000005"/>
    <n v="0.91700000000000004"/>
    <n v="2.8394999999999999E-4"/>
    <n v="0.99972000000000005"/>
    <s v="14.70823487524732"/>
    <s v="48.57292085578825"/>
    <s v="40.71718136044165"/>
    <s v="41.95124311269066"/>
    <n v="715496808"/>
    <x v="0"/>
    <n v="3.4692350000000002E-4"/>
    <x v="0"/>
  </r>
  <r>
    <n v="50"/>
    <n v="1"/>
    <n v="1"/>
    <n v="0"/>
    <n v="2"/>
    <n v="3"/>
    <n v="0"/>
    <n v="39"/>
    <n v="4"/>
    <n v="3"/>
    <n v="2"/>
    <n v="5856"/>
    <n v="2007"/>
    <n v="3849"/>
    <n v="0.72699999999999998"/>
    <n v="4916"/>
    <n v="87"/>
    <n v="0.64200000000000002"/>
    <n v="0.34300000000000003"/>
    <n v="1.6415000000000001E-4"/>
    <n v="0.99983999999999995"/>
    <s v="16.797318147691993"/>
    <s v="51.54894071910477"/>
    <s v="5.614187767129854"/>
    <s v="15.031162348004154"/>
    <n v="771862308"/>
    <x v="0"/>
    <n v="3.2914013999999999E-4"/>
    <x v="0"/>
  </r>
  <r>
    <n v="40"/>
    <n v="0"/>
    <n v="3"/>
    <n v="3"/>
    <n v="1"/>
    <n v="4"/>
    <n v="0"/>
    <n v="32"/>
    <n v="5"/>
    <n v="1"/>
    <n v="3"/>
    <n v="2046"/>
    <n v="1694"/>
    <n v="352"/>
    <n v="0.85299999999999998"/>
    <n v="3432"/>
    <n v="49"/>
    <n v="0.96"/>
    <n v="0.82799999999999996"/>
    <s v="9.3448e-05"/>
    <n v="0.99990999999999997"/>
    <s v="3.657361990144237"/>
    <s v="50.401166595703735"/>
    <s v="138.05046737824185"/>
    <s v="0.9776557027596376"/>
    <n v="712322058"/>
    <x v="0"/>
    <n v="8.2981254999999995E-4"/>
    <x v="0"/>
  </r>
  <r>
    <n v="52"/>
    <n v="1"/>
    <n v="1"/>
    <n v="5"/>
    <n v="1"/>
    <n v="0"/>
    <n v="0"/>
    <n v="46"/>
    <n v="5"/>
    <n v="2"/>
    <n v="4"/>
    <n v="8596"/>
    <n v="2019"/>
    <n v="6577"/>
    <n v="0.67700000000000005"/>
    <n v="4017"/>
    <n v="80"/>
    <n v="0.6"/>
    <n v="0.23499999999999999"/>
    <n v="3.1516999999999998E-4"/>
    <n v="0.99968000000000001"/>
    <s v="22.29690961233469"/>
    <s v="3.5126478359936293"/>
    <s v="1.5299464173249453"/>
    <s v="3.6088646154373727"/>
    <n v="801385458"/>
    <x v="0"/>
    <n v="3.2914013999999999E-4"/>
    <x v="0"/>
  </r>
  <r>
    <n v="38"/>
    <n v="1"/>
    <n v="3"/>
    <n v="2"/>
    <n v="1"/>
    <n v="2"/>
    <n v="0"/>
    <n v="32"/>
    <n v="3"/>
    <n v="1"/>
    <n v="2"/>
    <n v="7709"/>
    <n v="2227"/>
    <n v="5482"/>
    <n v="1.2949999999999999"/>
    <n v="2520"/>
    <n v="61"/>
    <n v="0.84799999999999998"/>
    <n v="0.28899999999999998"/>
    <s v="5.7151e-05"/>
    <n v="0.99994000000000005"/>
    <n v="56.458972720957199"/>
    <s v="42.607911786390616"/>
    <s v="93.33047710286044"/>
    <s v="3.456934464158393"/>
    <n v="769756983"/>
    <x v="0"/>
    <n v="4.1202833999999999E-4"/>
    <x v="0"/>
  </r>
  <r>
    <n v="38"/>
    <n v="1"/>
    <n v="1"/>
    <n v="3"/>
    <n v="2"/>
    <n v="1"/>
    <n v="0"/>
    <n v="30"/>
    <n v="2"/>
    <n v="2"/>
    <n v="1"/>
    <n v="2232"/>
    <n v="1163"/>
    <n v="1069"/>
    <n v="0.55700000000000005"/>
    <n v="4185"/>
    <n v="80"/>
    <n v="0.77800000000000002"/>
    <n v="0.52100000000000002"/>
    <s v="6.2633e-05"/>
    <n v="0.99994000000000005"/>
    <s v="2.7681311823836543"/>
    <s v="1.571499798040649"/>
    <s v="84.00253053395346"/>
    <s v="7.815863607461516"/>
    <n v="709901058"/>
    <x v="0"/>
    <n v="3.2101269999999999E-4"/>
    <x v="0"/>
  </r>
  <r>
    <n v="49"/>
    <n v="0"/>
    <n v="4"/>
    <n v="2"/>
    <n v="1"/>
    <n v="4"/>
    <n v="0"/>
    <n v="36"/>
    <n v="1"/>
    <n v="3"/>
    <n v="1"/>
    <n v="6615"/>
    <n v="0"/>
    <n v="6615"/>
    <n v="0.61899999999999999"/>
    <n v="4575"/>
    <n v="75"/>
    <n v="0.78600000000000003"/>
    <n v="0"/>
    <n v="1.1377E-4"/>
    <n v="0.99988999999999995"/>
    <s v="28.853287546301864"/>
    <s v="21.825715090231537"/>
    <s v="47.09805494331829"/>
    <s v="15.797421602263228"/>
    <n v="715488483"/>
    <x v="0"/>
    <n v="6.9517245999999998E-4"/>
    <x v="0"/>
  </r>
  <r>
    <n v="45"/>
    <n v="0"/>
    <n v="3"/>
    <n v="2"/>
    <n v="2"/>
    <n v="4"/>
    <n v="0"/>
    <n v="36"/>
    <n v="5"/>
    <n v="2"/>
    <n v="3"/>
    <n v="4753"/>
    <n v="0"/>
    <n v="4753"/>
    <n v="0.85599999999999998"/>
    <n v="3895"/>
    <n v="71"/>
    <n v="0.57799999999999996"/>
    <n v="0"/>
    <n v="1.9864000000000001E-4"/>
    <n v="0.99980000000000002"/>
    <s v="34.477605495685786"/>
    <s v="23.026776077764392"/>
    <s v="100.21070271689574"/>
    <s v="14.69215738740268"/>
    <n v="715779333"/>
    <x v="0"/>
    <n v="7.9661230000000003E-4"/>
    <x v="0"/>
  </r>
  <r>
    <n v="47"/>
    <n v="0"/>
    <n v="4"/>
    <n v="3"/>
    <n v="1"/>
    <n v="4"/>
    <n v="0"/>
    <n v="31"/>
    <n v="5"/>
    <n v="3"/>
    <n v="4"/>
    <n v="7711"/>
    <n v="988"/>
    <n v="6723"/>
    <n v="0.88400000000000001"/>
    <n v="2078"/>
    <n v="42"/>
    <n v="0.68"/>
    <n v="0.128"/>
    <n v="5.2607999999999995E-4"/>
    <n v="0.99946999999999997"/>
    <s v="23.064341160892383"/>
    <s v="37.221416663693695"/>
    <s v="141.71095646370873"/>
    <s v="6.960466201578444"/>
    <n v="711885258"/>
    <x v="0"/>
    <n v="1.464995E-3"/>
    <x v="0"/>
  </r>
  <r>
    <n v="47"/>
    <n v="0"/>
    <n v="2"/>
    <n v="2"/>
    <n v="2"/>
    <n v="4"/>
    <n v="0"/>
    <n v="36"/>
    <n v="3"/>
    <n v="3"/>
    <n v="3"/>
    <n v="2677"/>
    <n v="1390"/>
    <n v="1287"/>
    <n v="0.73199999999999998"/>
    <n v="2170"/>
    <n v="63"/>
    <n v="0.46500000000000002"/>
    <n v="0.51900000000000002"/>
    <n v="3.0250999999999998E-4"/>
    <n v="0.99970000000000003"/>
    <s v="17.55756140585723"/>
    <s v="21.532623203314536"/>
    <s v="26.160413632037024"/>
    <s v="2.0377256335672307"/>
    <n v="717866133"/>
    <x v="0"/>
    <n v="4.5505166000000001E-4"/>
    <x v="0"/>
  </r>
  <r>
    <n v="30"/>
    <n v="0"/>
    <n v="1"/>
    <n v="5"/>
    <n v="1"/>
    <n v="5"/>
    <n v="0"/>
    <n v="13"/>
    <n v="5"/>
    <n v="2"/>
    <n v="2"/>
    <n v="4016"/>
    <n v="917"/>
    <n v="3099"/>
    <n v="1.246"/>
    <n v="2572"/>
    <n v="35"/>
    <n v="0.59099999999999997"/>
    <n v="0.22800000000000001"/>
    <n v="1.0985E-4"/>
    <n v="0.99988999999999995"/>
    <s v="4.165651519747449"/>
    <s v="59.994936747020354"/>
    <s v="55.50690402078104"/>
    <s v="8.088357250574735"/>
    <n v="711642108"/>
    <x v="0"/>
    <n v="1.4838136E-3"/>
    <x v="0"/>
  </r>
  <r>
    <n v="33"/>
    <n v="0"/>
    <n v="2"/>
    <n v="2"/>
    <n v="2"/>
    <n v="5"/>
    <n v="0"/>
    <n v="21"/>
    <n v="3"/>
    <n v="3"/>
    <n v="2"/>
    <n v="5795"/>
    <n v="0"/>
    <n v="5795"/>
    <n v="0.746"/>
    <n v="2322"/>
    <n v="65"/>
    <n v="0.58499999999999996"/>
    <n v="0"/>
    <n v="1.7987E-4"/>
    <n v="0.99982000000000004"/>
    <s v="1.7238551386259549"/>
    <s v="37.49513067640312"/>
    <s v="105.53405186285006"/>
    <s v="6.128366069211168"/>
    <n v="711416958"/>
    <x v="0"/>
    <n v="1.0226878E-3"/>
    <x v="0"/>
  </r>
  <r>
    <n v="38"/>
    <n v="0"/>
    <n v="2"/>
    <n v="3"/>
    <n v="1"/>
    <n v="4"/>
    <n v="0"/>
    <n v="27"/>
    <n v="4"/>
    <n v="1"/>
    <n v="2"/>
    <n v="1830"/>
    <n v="0"/>
    <n v="1830"/>
    <n v="0.73599999999999999"/>
    <n v="1741"/>
    <n v="43"/>
    <n v="0.65400000000000003"/>
    <n v="0"/>
    <s v="5.3542e-05"/>
    <n v="0.99995000000000001"/>
    <s v="3.884573751712568"/>
    <s v="25.865430942718213"/>
    <s v="91.06472779712988"/>
    <s v="18.43303839786904"/>
    <n v="721038408"/>
    <x v="0"/>
    <n v="3.6896945E-3"/>
    <x v="0"/>
  </r>
  <r>
    <n v="43"/>
    <n v="1"/>
    <n v="3"/>
    <n v="0"/>
    <n v="1"/>
    <n v="2"/>
    <n v="0"/>
    <n v="36"/>
    <n v="2"/>
    <n v="3"/>
    <n v="3"/>
    <n v="1438.3"/>
    <n v="0"/>
    <n v="1438.3"/>
    <n v="0.53900000000000003"/>
    <n v="1707"/>
    <n v="38"/>
    <n v="1.111"/>
    <n v="0"/>
    <n v="0.99673999999999996"/>
    <n v="3.2649799999999998E-3"/>
    <s v="30.018605306028192"/>
    <s v="4.193279916640846"/>
    <s v="27.445619523472647"/>
    <s v="22.54423835726225"/>
    <n v="757194408"/>
    <x v="1"/>
    <n v="0.99810589999999999"/>
    <x v="1"/>
  </r>
  <r>
    <n v="49"/>
    <n v="0"/>
    <n v="2"/>
    <n v="6"/>
    <n v="3"/>
    <n v="1"/>
    <n v="0"/>
    <n v="42"/>
    <n v="6"/>
    <n v="1"/>
    <n v="4"/>
    <n v="4949"/>
    <n v="1495"/>
    <n v="3454"/>
    <n v="0.79100000000000004"/>
    <n v="3597"/>
    <n v="64"/>
    <n v="0.68400000000000005"/>
    <n v="0.30199999999999999"/>
    <n v="1.7370999999999999E-4"/>
    <n v="0.99983"/>
    <s v="60.14512942322792"/>
    <s v="18.395350995774365"/>
    <s v="41.78647099342556"/>
    <s v="24.33841021115627"/>
    <n v="753856008"/>
    <x v="0"/>
    <n v="3.3750320000000002E-4"/>
    <x v="0"/>
  </r>
  <r>
    <n v="50"/>
    <n v="0"/>
    <n v="2"/>
    <n v="5"/>
    <n v="2"/>
    <n v="4"/>
    <n v="0"/>
    <n v="37"/>
    <n v="6"/>
    <n v="5"/>
    <n v="2"/>
    <n v="1438.3"/>
    <n v="754"/>
    <n v="684.3"/>
    <n v="0.74"/>
    <n v="4457"/>
    <n v="69"/>
    <n v="0.68300000000000005"/>
    <n v="0.52400000000000002"/>
    <n v="2.0656E-4"/>
    <n v="0.99978999999999996"/>
    <s v="33.909337695759966"/>
    <s v="39.44934689208597"/>
    <s v="25.20930433256047"/>
    <s v="5.386972215331947"/>
    <n v="789022233"/>
    <x v="0"/>
    <n v="5.4489190000000002E-4"/>
    <x v="0"/>
  </r>
  <r>
    <n v="43"/>
    <n v="0"/>
    <n v="3"/>
    <n v="6"/>
    <n v="3"/>
    <n v="4"/>
    <n v="0"/>
    <n v="36"/>
    <n v="4"/>
    <n v="4"/>
    <n v="2"/>
    <n v="5853"/>
    <n v="1190"/>
    <n v="4663"/>
    <n v="0.93600000000000005"/>
    <n v="3595"/>
    <n v="80"/>
    <n v="0.66700000000000004"/>
    <n v="0.20300000000000001"/>
    <n v="2.4792999999999999E-4"/>
    <n v="0.99975000000000003"/>
    <s v="1.001625313120074"/>
    <s v="17.43938672016497"/>
    <s v="12.150429525860943"/>
    <s v="19.23548237853079"/>
    <n v="719910333"/>
    <x v="0"/>
    <n v="3.3750932000000002E-4"/>
    <x v="0"/>
  </r>
  <r>
    <n v="50"/>
    <n v="0"/>
    <n v="4"/>
    <n v="3"/>
    <n v="1"/>
    <n v="4"/>
    <n v="0"/>
    <n v="36"/>
    <n v="5"/>
    <n v="3"/>
    <n v="5"/>
    <n v="2690"/>
    <n v="1614"/>
    <n v="1076"/>
    <n v="0.51300000000000001"/>
    <n v="2272"/>
    <n v="57"/>
    <n v="0.54100000000000004"/>
    <n v="0.6"/>
    <n v="0.99890000000000001"/>
    <n v="1.0966400000000001E-3"/>
    <s v="47.24818978466509"/>
    <s v="28.312416811785177"/>
    <s v="60.20941530236903"/>
    <s v="2.8281842368922727"/>
    <n v="710481333"/>
    <x v="1"/>
    <n v="0.98219274999999995"/>
    <x v="1"/>
  </r>
  <r>
    <n v="59"/>
    <n v="0"/>
    <n v="0"/>
    <n v="6"/>
    <n v="2"/>
    <n v="1"/>
    <n v="0"/>
    <n v="52"/>
    <n v="2"/>
    <n v="4"/>
    <n v="3"/>
    <n v="1852"/>
    <n v="0"/>
    <n v="1852"/>
    <n v="0.90200000000000002"/>
    <n v="2851"/>
    <n v="49"/>
    <n v="0.75"/>
    <n v="0"/>
    <n v="0.99711000000000005"/>
    <n v="2.8905599999999999E-3"/>
    <s v="34.42881030458578"/>
    <s v="36.85852892081977"/>
    <s v="187.6314485942481"/>
    <s v="3.489476289373292"/>
    <n v="719759733"/>
    <x v="1"/>
    <n v="0.99817526000000001"/>
    <x v="1"/>
  </r>
  <r>
    <n v="41"/>
    <n v="0"/>
    <n v="2"/>
    <n v="2"/>
    <n v="1"/>
    <n v="1"/>
    <n v="0"/>
    <n v="36"/>
    <n v="6"/>
    <n v="1"/>
    <n v="3"/>
    <n v="11239"/>
    <n v="1375"/>
    <n v="9864"/>
    <n v="0.94"/>
    <n v="3978"/>
    <n v="89"/>
    <n v="0.78"/>
    <n v="0.122"/>
    <s v="9.2637e-05"/>
    <n v="0.99990999999999997"/>
    <s v="8.495841028182163"/>
    <s v="54.11927063884612"/>
    <s v="61.69291499724516"/>
    <s v="7.072775245602063"/>
    <n v="818305008"/>
    <x v="0"/>
    <n v="3.3750932000000002E-4"/>
    <x v="0"/>
  </r>
  <r>
    <n v="51"/>
    <n v="1"/>
    <n v="1"/>
    <n v="3"/>
    <n v="2"/>
    <n v="3"/>
    <n v="0"/>
    <n v="45"/>
    <n v="6"/>
    <n v="1"/>
    <n v="3"/>
    <n v="13287"/>
    <n v="1864"/>
    <n v="11423"/>
    <n v="0.60299999999999998"/>
    <n v="3851"/>
    <n v="75"/>
    <n v="0.70499999999999996"/>
    <n v="0.14000000000000001"/>
    <s v="8.453e-05"/>
    <n v="0.99992000000000003"/>
    <s v="15.52332138900227"/>
    <s v="72.83437451422618"/>
    <s v="21.006638046031785"/>
    <s v="7.494425269667355"/>
    <n v="801056358"/>
    <x v="0"/>
    <n v="3.2101269999999999E-4"/>
    <x v="0"/>
  </r>
  <r>
    <n v="49"/>
    <n v="1"/>
    <n v="2"/>
    <n v="3"/>
    <n v="1"/>
    <n v="2"/>
    <n v="0"/>
    <n v="39"/>
    <n v="6"/>
    <n v="3"/>
    <n v="2"/>
    <n v="7223"/>
    <n v="1963"/>
    <n v="5260"/>
    <n v="0.85199999999999998"/>
    <n v="4127"/>
    <n v="70"/>
    <n v="0.84199999999999997"/>
    <n v="0.27200000000000002"/>
    <n v="1.7485999999999999E-4"/>
    <n v="0.99983"/>
    <s v="23.58092242503556"/>
    <n v="6.2468204340461497"/>
    <s v="32.977146872716965"/>
    <s v="8.132247544509648"/>
    <n v="710605458"/>
    <x v="0"/>
    <n v="3.2101269999999999E-4"/>
    <x v="0"/>
  </r>
  <r>
    <n v="37"/>
    <n v="0"/>
    <n v="4"/>
    <n v="2"/>
    <n v="1"/>
    <n v="4"/>
    <n v="0"/>
    <n v="31"/>
    <n v="5"/>
    <n v="2"/>
    <n v="3"/>
    <n v="1758"/>
    <n v="1180"/>
    <n v="578"/>
    <n v="0.74399999999999999"/>
    <n v="2013"/>
    <n v="41"/>
    <n v="0.36699999999999999"/>
    <n v="0.67100000000000004"/>
    <n v="2.0076999999999999E-4"/>
    <n v="0.99980000000000002"/>
    <s v="61.07679407882358"/>
    <s v="37.85608185787076"/>
    <s v="29.99295127806522"/>
    <s v="24.97324227282244"/>
    <n v="785328408"/>
    <x v="0"/>
    <n v="1.3973408E-3"/>
    <x v="0"/>
  </r>
  <r>
    <n v="42"/>
    <n v="0"/>
    <n v="3"/>
    <n v="2"/>
    <n v="1"/>
    <n v="4"/>
    <n v="0"/>
    <n v="33"/>
    <n v="2"/>
    <n v="3"/>
    <n v="1"/>
    <n v="3794"/>
    <n v="1544"/>
    <n v="2250"/>
    <n v="0.72"/>
    <n v="7872"/>
    <n v="80"/>
    <n v="0.53800000000000003"/>
    <n v="0.40699999999999997"/>
    <n v="1.1256000000000001E-4"/>
    <n v="0.99988999999999995"/>
    <s v="22.153642989765142"/>
    <s v="27.01892461090984"/>
    <s v="68.05023397582067"/>
    <s v="15.963978304261095"/>
    <n v="802675983"/>
    <x v="0"/>
    <n v="5.1772410000000004E-4"/>
    <x v="0"/>
  </r>
  <r>
    <n v="53"/>
    <n v="0"/>
    <n v="3"/>
    <n v="3"/>
    <n v="1"/>
    <n v="4"/>
    <n v="0"/>
    <n v="41"/>
    <n v="3"/>
    <n v="3"/>
    <n v="2"/>
    <n v="1547"/>
    <n v="0"/>
    <n v="1547"/>
    <n v="0.84499999999999997"/>
    <n v="2312"/>
    <n v="43"/>
    <n v="0.30299999999999999"/>
    <n v="0"/>
    <n v="0.99451999999999996"/>
    <n v="5.4799999999999996E-3"/>
    <s v="36.89364991305704"/>
    <s v="38.259904434203314"/>
    <s v="13.399695938897828"/>
    <s v="8.506203041620989"/>
    <n v="720941433"/>
    <x v="1"/>
    <n v="0.99876772999999996"/>
    <x v="1"/>
  </r>
  <r>
    <n v="38"/>
    <n v="1"/>
    <n v="3"/>
    <n v="2"/>
    <n v="1"/>
    <n v="4"/>
    <n v="3"/>
    <n v="27"/>
    <n v="3"/>
    <n v="2"/>
    <n v="3"/>
    <n v="10343"/>
    <n v="2070"/>
    <n v="8273"/>
    <n v="0.747"/>
    <n v="14805"/>
    <n v="115"/>
    <n v="0.76900000000000002"/>
    <n v="0.2"/>
    <n v="1.7949E-4"/>
    <n v="0.99982000000000004"/>
    <s v="30.92365831930061"/>
    <s v="18.39840016583445"/>
    <s v="41.64371196051067"/>
    <s v="0.8479690162053521"/>
    <n v="716150358"/>
    <x v="0"/>
    <n v="3.4656386999999997E-4"/>
    <x v="0"/>
  </r>
  <r>
    <n v="45"/>
    <n v="1"/>
    <n v="3"/>
    <n v="1"/>
    <n v="2"/>
    <n v="3"/>
    <n v="0"/>
    <n v="36"/>
    <n v="6"/>
    <n v="2"/>
    <n v="4"/>
    <n v="9086"/>
    <n v="1254"/>
    <n v="7832"/>
    <n v="0.93"/>
    <n v="3906"/>
    <n v="81"/>
    <n v="0.8"/>
    <n v="0.13800000000000001"/>
    <n v="4.9030000000000005E-4"/>
    <n v="0.99951000000000001"/>
    <s v="2.799408997058611"/>
    <s v="10.64510812289932"/>
    <s v="25.140866619597062"/>
    <s v="21.130988203619665"/>
    <n v="714485508"/>
    <x v="0"/>
    <n v="3.3750932000000002E-4"/>
    <x v="0"/>
  </r>
  <r>
    <n v="44"/>
    <n v="1"/>
    <n v="3"/>
    <n v="4"/>
    <n v="1"/>
    <n v="0"/>
    <n v="0"/>
    <n v="35"/>
    <n v="3"/>
    <n v="4"/>
    <n v="1"/>
    <n v="27391"/>
    <n v="587"/>
    <n v="26804"/>
    <n v="0.82099999999999995"/>
    <n v="2862"/>
    <n v="56"/>
    <n v="1.24"/>
    <n v="2.1000000000000001E-2"/>
    <n v="1.6007E-4"/>
    <n v="0.99983999999999995"/>
    <s v="17.76178047552807"/>
    <s v="58.67954774767351"/>
    <s v="30.68810084804601"/>
    <s v="11.29898190570325"/>
    <n v="715165758"/>
    <x v="0"/>
    <n v="1.3474418000000001E-3"/>
    <x v="0"/>
  </r>
  <r>
    <n v="44"/>
    <n v="1"/>
    <n v="4"/>
    <n v="2"/>
    <n v="0"/>
    <n v="2"/>
    <n v="0"/>
    <n v="32"/>
    <n v="6"/>
    <n v="3"/>
    <n v="2"/>
    <n v="11651"/>
    <n v="1368"/>
    <n v="10283"/>
    <n v="0.56299999999999994"/>
    <n v="3870"/>
    <n v="64"/>
    <n v="0.56100000000000005"/>
    <n v="0.11700000000000001"/>
    <n v="1.8864000000000001E-4"/>
    <n v="0.99980999999999998"/>
    <s v="37.11319046853406"/>
    <s v="60.20235461308855"/>
    <s v="132.58279657114662"/>
    <s v="8.714435266841956"/>
    <n v="711473058"/>
    <x v="0"/>
    <n v="3.4604817999999999E-4"/>
    <x v="0"/>
  </r>
  <r>
    <n v="44"/>
    <n v="1"/>
    <n v="5"/>
    <n v="2"/>
    <n v="0"/>
    <n v="2"/>
    <n v="0"/>
    <n v="36"/>
    <n v="3"/>
    <n v="3"/>
    <n v="6"/>
    <n v="6538"/>
    <n v="0"/>
    <n v="6538"/>
    <n v="0.55600000000000005"/>
    <n v="2132"/>
    <n v="33"/>
    <n v="0.57099999999999995"/>
    <n v="0"/>
    <n v="0.99938000000000005"/>
    <n v="6.1726999999999995E-4"/>
    <s v="83.32299381637958"/>
    <s v="127.30420389535672"/>
    <s v="58.38480464472883"/>
    <s v="3.402454261248092"/>
    <n v="714319233"/>
    <x v="1"/>
    <n v="0.99804663999999998"/>
    <x v="1"/>
  </r>
  <r>
    <n v="44"/>
    <n v="1"/>
    <n v="1"/>
    <n v="5"/>
    <n v="1"/>
    <n v="1"/>
    <n v="0"/>
    <n v="34"/>
    <n v="5"/>
    <n v="2"/>
    <n v="3"/>
    <n v="10973"/>
    <n v="0"/>
    <n v="10973"/>
    <n v="0.79200000000000004"/>
    <n v="10583"/>
    <n v="75"/>
    <n v="0.78600000000000003"/>
    <n v="0"/>
    <n v="0.99461999999999995"/>
    <n v="5.3800000000000002E-3"/>
    <s v="1.3628307832043014"/>
    <s v="38.15421945261112"/>
    <s v="33.44934012758043"/>
    <s v="4.233373450932844"/>
    <n v="711460458"/>
    <x v="1"/>
    <n v="0.99470853999999997"/>
    <x v="1"/>
  </r>
  <r>
    <n v="56"/>
    <n v="0"/>
    <n v="3"/>
    <n v="2"/>
    <n v="1"/>
    <n v="4"/>
    <n v="0"/>
    <n v="45"/>
    <n v="6"/>
    <n v="2"/>
    <n v="3"/>
    <n v="2235"/>
    <n v="0"/>
    <n v="2235"/>
    <n v="0.55600000000000005"/>
    <n v="1229"/>
    <n v="27"/>
    <n v="0.35"/>
    <n v="0"/>
    <n v="1.9864000000000001E-4"/>
    <n v="0.99980000000000002"/>
    <s v="15.834814830523545"/>
    <s v="24.80581179164183"/>
    <s v="2.1309267674880257"/>
    <s v="4.869552710907149"/>
    <n v="709635858"/>
    <x v="0"/>
    <n v="4.459518E-3"/>
    <x v="0"/>
  </r>
  <r>
    <n v="45"/>
    <n v="0"/>
    <n v="3"/>
    <n v="5"/>
    <n v="3"/>
    <n v="4"/>
    <n v="0"/>
    <n v="36"/>
    <n v="4"/>
    <n v="4"/>
    <n v="3"/>
    <n v="6245"/>
    <n v="0"/>
    <n v="6245"/>
    <n v="0.55400000000000005"/>
    <n v="2521"/>
    <n v="50"/>
    <n v="0.66700000000000004"/>
    <n v="0"/>
    <n v="3.9004000000000003E-4"/>
    <n v="0.99961"/>
    <s v="18.917322462064945"/>
    <s v="33.08230299822722"/>
    <s v="60.12018987739538"/>
    <s v="1.2511408330768472"/>
    <n v="716436483"/>
    <x v="0"/>
    <n v="3.4484659999999999E-3"/>
    <x v="0"/>
  </r>
  <r>
    <n v="60"/>
    <n v="1"/>
    <n v="2"/>
    <n v="3"/>
    <n v="1"/>
    <n v="5"/>
    <n v="0"/>
    <n v="41"/>
    <n v="5"/>
    <n v="2"/>
    <n v="4"/>
    <n v="3007"/>
    <n v="1664"/>
    <n v="1343"/>
    <n v="0.34"/>
    <n v="1475"/>
    <n v="31"/>
    <n v="0.63200000000000001"/>
    <n v="0.55300000000000005"/>
    <n v="3.1745999999999999E-4"/>
    <n v="0.99968000000000001"/>
    <s v="47.64921163788327"/>
    <s v="18.91380995088104"/>
    <s v="123.8624443905784"/>
    <s v="2.645709445157572"/>
    <n v="788784258"/>
    <x v="0"/>
    <n v="1.0598798E-3"/>
    <x v="0"/>
  </r>
  <r>
    <n v="47"/>
    <n v="0"/>
    <n v="3"/>
    <n v="5"/>
    <n v="1"/>
    <n v="4"/>
    <n v="3"/>
    <n v="36"/>
    <n v="5"/>
    <n v="3"/>
    <n v="1"/>
    <n v="11884"/>
    <n v="1339"/>
    <n v="10545"/>
    <n v="0.55600000000000005"/>
    <n v="4134"/>
    <n v="72"/>
    <n v="1"/>
    <n v="0.113"/>
    <n v="1.0458E-4"/>
    <n v="0.99990000000000001"/>
    <n v="20.094418121664699"/>
    <s v="27.20579399362801"/>
    <s v="68.36402234715742"/>
    <s v="5.170972541583116"/>
    <n v="716461683"/>
    <x v="0"/>
    <n v="3.2101269999999999E-4"/>
    <x v="0"/>
  </r>
  <r>
    <n v="61"/>
    <n v="0"/>
    <n v="1"/>
    <n v="0"/>
    <n v="1"/>
    <n v="5"/>
    <n v="0"/>
    <n v="46"/>
    <n v="6"/>
    <n v="2"/>
    <n v="2"/>
    <n v="5686"/>
    <n v="0"/>
    <n v="5686"/>
    <n v="1.0269999999999999"/>
    <n v="4338"/>
    <n v="67"/>
    <n v="0.67500000000000004"/>
    <n v="0"/>
    <n v="1.0387000000000001E-4"/>
    <n v="0.99990000000000001"/>
    <s v="31.87447772383646"/>
    <s v="12.342416712234671"/>
    <s v="90.86718251765146"/>
    <s v="15.252451249336051"/>
    <n v="717646008"/>
    <x v="0"/>
    <n v="8.0553500000000002E-4"/>
    <x v="0"/>
  </r>
  <r>
    <n v="46"/>
    <n v="0"/>
    <n v="3"/>
    <n v="5"/>
    <n v="1"/>
    <n v="5"/>
    <n v="0"/>
    <n v="36"/>
    <n v="2"/>
    <n v="3"/>
    <n v="1"/>
    <n v="2872"/>
    <n v="357"/>
    <n v="2515"/>
    <n v="0.86899999999999999"/>
    <n v="2629"/>
    <n v="41"/>
    <n v="0.64"/>
    <n v="0.124"/>
    <n v="0.99143000000000003"/>
    <n v="8.5699999999999995E-3"/>
    <s v="36.03580949303602"/>
    <n v="8.1724187510833097"/>
    <s v="53.61814537042483"/>
    <s v="7.884693416601725"/>
    <n v="718806783"/>
    <x v="1"/>
    <n v="0.99833243999999999"/>
    <x v="1"/>
  </r>
  <r>
    <n v="49"/>
    <n v="1"/>
    <n v="3"/>
    <n v="4"/>
    <n v="1"/>
    <n v="3"/>
    <n v="0"/>
    <n v="36"/>
    <n v="3"/>
    <n v="3"/>
    <n v="2"/>
    <n v="13382"/>
    <n v="1159"/>
    <n v="12223"/>
    <n v="0.40400000000000003"/>
    <n v="1828"/>
    <n v="45"/>
    <n v="0.5"/>
    <n v="8.6999999999999994E-2"/>
    <n v="0.99546999999999997"/>
    <n v="4.5317400000000002E-3"/>
    <s v="0.5506188427282109"/>
    <s v="19.880276660508127"/>
    <s v="128.3436196480062"/>
    <s v="15.084363974671708"/>
    <n v="719917233"/>
    <x v="1"/>
    <n v="0.99495370000000005"/>
    <x v="1"/>
  </r>
  <r>
    <n v="42"/>
    <n v="1"/>
    <n v="2"/>
    <n v="3"/>
    <n v="2"/>
    <n v="2"/>
    <n v="0"/>
    <n v="34"/>
    <n v="4"/>
    <n v="4"/>
    <n v="3"/>
    <n v="3336"/>
    <n v="1753"/>
    <n v="1583"/>
    <n v="0.69"/>
    <n v="1168"/>
    <n v="27"/>
    <n v="1.25"/>
    <n v="0.52500000000000002"/>
    <n v="3.5539000000000002E-4"/>
    <n v="0.99963999999999997"/>
    <s v="8.778332402360205"/>
    <n v="9.3664157117178206"/>
    <s v="19.52280616527813"/>
    <s v="22.27487299107259"/>
    <n v="714091983"/>
    <x v="0"/>
    <n v="9.8706899999999992E-4"/>
    <x v="0"/>
  </r>
  <r>
    <n v="39"/>
    <n v="1"/>
    <n v="3"/>
    <n v="3"/>
    <n v="1"/>
    <n v="0"/>
    <n v="0"/>
    <n v="36"/>
    <n v="6"/>
    <n v="3"/>
    <n v="2"/>
    <n v="3281"/>
    <n v="1682"/>
    <n v="1599"/>
    <n v="0.57699999999999996"/>
    <n v="4109"/>
    <n v="69"/>
    <n v="0.5"/>
    <n v="0.51300000000000001"/>
    <n v="1.8144999999999999E-4"/>
    <n v="0.99982000000000004"/>
    <s v="49.47683555167647"/>
    <s v="15.648631659235566"/>
    <s v="33.65535448074968"/>
    <s v="14.907601788754748"/>
    <n v="718211208"/>
    <x v="0"/>
    <n v="3.5747702000000001E-4"/>
    <x v="0"/>
  </r>
  <r>
    <n v="47"/>
    <n v="1"/>
    <n v="1"/>
    <n v="0"/>
    <n v="1"/>
    <n v="3"/>
    <n v="0"/>
    <n v="39"/>
    <n v="2"/>
    <n v="3"/>
    <n v="1"/>
    <n v="5660"/>
    <n v="2210"/>
    <n v="3450"/>
    <n v="0.58299999999999996"/>
    <n v="7867"/>
    <n v="100"/>
    <n v="0.69499999999999995"/>
    <n v="0.39"/>
    <s v="9.8992e-05"/>
    <n v="0.99990000000000001"/>
    <s v="35.31965450217261"/>
    <s v="10.910038165194058"/>
    <s v="45.74076894543362"/>
    <s v="5.287702520426182"/>
    <n v="709019283"/>
    <x v="0"/>
    <n v="3.6856539999999998E-4"/>
    <x v="0"/>
  </r>
  <r>
    <n v="44"/>
    <n v="1"/>
    <n v="1"/>
    <n v="6"/>
    <n v="1"/>
    <n v="5"/>
    <n v="0"/>
    <n v="34"/>
    <n v="6"/>
    <n v="2"/>
    <n v="0"/>
    <n v="2885"/>
    <n v="1895"/>
    <n v="990"/>
    <n v="0.38700000000000001"/>
    <n v="1366"/>
    <n v="31"/>
    <n v="0.63200000000000001"/>
    <n v="0.65700000000000003"/>
    <s v="4.3319e-05"/>
    <n v="0.99995999999999996"/>
    <n v="36.274164009195097"/>
    <s v="58.948063424976006"/>
    <s v="66.45822820025889"/>
    <s v="5.4252732725459865"/>
    <n v="772735758"/>
    <x v="0"/>
    <n v="1.0598798E-3"/>
    <x v="0"/>
  </r>
  <r>
    <n v="56"/>
    <n v="0"/>
    <n v="4"/>
    <n v="6"/>
    <n v="1"/>
    <n v="4"/>
    <n v="0"/>
    <n v="44"/>
    <n v="3"/>
    <n v="3"/>
    <n v="2"/>
    <n v="1707"/>
    <n v="0"/>
    <n v="1707"/>
    <n v="0.68300000000000005"/>
    <n v="4846"/>
    <n v="80"/>
    <n v="0.56899999999999995"/>
    <n v="0"/>
    <n v="2.0735E-4"/>
    <n v="0.99978999999999996"/>
    <s v="10.694287473221374"/>
    <n v="101.554685137531"/>
    <s v="9.198992511998933"/>
    <s v="2.232463775833007"/>
    <n v="710243208"/>
    <x v="0"/>
    <n v="7.387203E-4"/>
    <x v="0"/>
  </r>
  <r>
    <n v="47"/>
    <n v="0"/>
    <n v="3"/>
    <n v="5"/>
    <n v="1"/>
    <n v="4"/>
    <n v="3"/>
    <n v="27"/>
    <n v="5"/>
    <n v="3"/>
    <n v="4"/>
    <n v="14335"/>
    <n v="938"/>
    <n v="13397"/>
    <n v="0.44500000000000001"/>
    <n v="3610"/>
    <n v="75"/>
    <n v="0.53100000000000003"/>
    <n v="6.5000000000000002E-2"/>
    <n v="4.9746000000000002E-4"/>
    <n v="0.99950000000000006"/>
    <s v="9.646592333417267"/>
    <s v="8.003536149554789"/>
    <s v="27.608466762131364"/>
    <s v="1.7845182299411593"/>
    <n v="719335233"/>
    <x v="0"/>
    <n v="4.5103451999999999E-4"/>
    <x v="0"/>
  </r>
  <r>
    <n v="57"/>
    <n v="0"/>
    <n v="3"/>
    <n v="3"/>
    <n v="1"/>
    <n v="4"/>
    <n v="0"/>
    <n v="51"/>
    <n v="6"/>
    <n v="2"/>
    <n v="3"/>
    <n v="1511"/>
    <n v="0"/>
    <n v="1511"/>
    <n v="0.67800000000000005"/>
    <n v="4683"/>
    <n v="87"/>
    <n v="0.70599999999999996"/>
    <n v="0"/>
    <n v="1.9311E-4"/>
    <n v="0.99980999999999998"/>
    <s v="30.96681325411878"/>
    <s v="59.64371491644876"/>
    <s v="23.37406686410497"/>
    <s v="24.496254615462984"/>
    <n v="714396558"/>
    <x v="0"/>
    <n v="6.9517245999999998E-4"/>
    <x v="0"/>
  </r>
  <r>
    <n v="46"/>
    <n v="0"/>
    <n v="4"/>
    <n v="2"/>
    <n v="2"/>
    <n v="4"/>
    <n v="0"/>
    <n v="40"/>
    <n v="5"/>
    <n v="1"/>
    <n v="2"/>
    <n v="6265"/>
    <n v="1942"/>
    <n v="4323"/>
    <n v="1.0269999999999999"/>
    <n v="1715"/>
    <n v="43"/>
    <n v="0.87"/>
    <n v="0.31"/>
    <s v="5.7762e-05"/>
    <n v="0.99994000000000005"/>
    <s v="15.32504633589716"/>
    <s v="72.48707013555524"/>
    <s v="14.191042929581783"/>
    <s v="1.3562080483236882"/>
    <n v="799224108"/>
    <x v="0"/>
    <n v="9.8706899999999992E-4"/>
    <x v="0"/>
  </r>
  <r>
    <n v="26"/>
    <n v="0"/>
    <n v="1"/>
    <n v="3"/>
    <n v="3"/>
    <n v="5"/>
    <n v="0"/>
    <n v="13"/>
    <n v="3"/>
    <n v="1"/>
    <n v="3"/>
    <n v="10693"/>
    <n v="2517"/>
    <n v="8176"/>
    <n v="0.88"/>
    <n v="4138"/>
    <n v="76"/>
    <n v="0.72699999999999998"/>
    <n v="0.23499999999999999"/>
    <s v="8.453e-05"/>
    <n v="0.99992000000000003"/>
    <s v="58.42486236052941"/>
    <s v="30.46949473375006"/>
    <s v="31.81712310351559"/>
    <s v="9.298210990209906"/>
    <n v="788923758"/>
    <x v="0"/>
    <n v="3.4692350000000002E-4"/>
    <x v="0"/>
  </r>
  <r>
    <n v="51"/>
    <n v="1"/>
    <n v="1"/>
    <n v="1"/>
    <n v="1"/>
    <n v="3"/>
    <n v="0"/>
    <n v="44"/>
    <n v="5"/>
    <n v="2"/>
    <n v="4"/>
    <n v="8031"/>
    <n v="1167"/>
    <n v="6864"/>
    <n v="0.54900000000000004"/>
    <n v="3576"/>
    <n v="77"/>
    <n v="0.79100000000000004"/>
    <n v="0.14499999999999999"/>
    <n v="4.4352999999999998E-4"/>
    <n v="0.99956"/>
    <s v="7.358150709137999"/>
    <s v="34.28433441142694"/>
    <n v="26.397777790920699"/>
    <s v="7.347345383302858"/>
    <n v="755220783"/>
    <x v="0"/>
    <n v="3.2101269999999999E-4"/>
    <x v="0"/>
  </r>
  <r>
    <n v="38"/>
    <n v="0"/>
    <n v="3"/>
    <n v="3"/>
    <n v="1"/>
    <n v="4"/>
    <n v="0"/>
    <n v="34"/>
    <n v="3"/>
    <n v="3"/>
    <n v="2"/>
    <n v="2450"/>
    <n v="1981"/>
    <n v="469"/>
    <n v="0.71199999999999997"/>
    <n v="4352"/>
    <n v="66"/>
    <n v="0.78400000000000003"/>
    <n v="0.80900000000000005"/>
    <n v="1.8144999999999999E-4"/>
    <n v="0.99982000000000004"/>
    <s v="16.713154418911206"/>
    <s v="105.42179485766754"/>
    <s v="8.395229551642814"/>
    <s v="1.5886304342890405"/>
    <n v="826136283"/>
    <x v="0"/>
    <n v="3.2101269999999999E-4"/>
    <x v="0"/>
  </r>
  <r>
    <n v="49"/>
    <n v="1"/>
    <n v="1"/>
    <n v="2"/>
    <n v="1"/>
    <n v="1"/>
    <n v="0"/>
    <n v="40"/>
    <n v="6"/>
    <n v="1"/>
    <n v="4"/>
    <n v="14973"/>
    <n v="0"/>
    <n v="14973"/>
    <n v="0.89500000000000002"/>
    <n v="4517"/>
    <n v="59"/>
    <n v="0.439"/>
    <n v="0"/>
    <n v="0.99329999999999996"/>
    <n v="6.7000000000000002E-3"/>
    <s v="12.64123076744356"/>
    <s v="10.438758498475202"/>
    <s v="22.749664502858256"/>
    <s v="3.8225961153071633"/>
    <n v="710061783"/>
    <x v="1"/>
    <n v="0.99245740000000005"/>
    <x v="1"/>
  </r>
  <r>
    <n v="51"/>
    <n v="0"/>
    <n v="0"/>
    <n v="5"/>
    <n v="1"/>
    <n v="5"/>
    <n v="0"/>
    <n v="39"/>
    <n v="1"/>
    <n v="3"/>
    <n v="2"/>
    <n v="19387"/>
    <n v="810"/>
    <n v="18577"/>
    <n v="0.746"/>
    <n v="7604"/>
    <n v="87"/>
    <n v="0.64200000000000002"/>
    <n v="4.2000000000000003E-2"/>
    <n v="1.5871E-4"/>
    <n v="0.99983999999999995"/>
    <s v="16.77460626125096"/>
    <s v="51.36291163798988"/>
    <s v="3.5362840680000325"/>
    <s v="7.483165086093812"/>
    <n v="709238358"/>
    <x v="0"/>
    <n v="6.685889E-4"/>
    <x v="0"/>
  </r>
  <r>
    <n v="54"/>
    <n v="1"/>
    <n v="3"/>
    <n v="3"/>
    <n v="1"/>
    <n v="2"/>
    <n v="0"/>
    <n v="43"/>
    <n v="6"/>
    <n v="3"/>
    <n v="4"/>
    <n v="2240"/>
    <n v="1580"/>
    <n v="660"/>
    <n v="0.745"/>
    <n v="1518"/>
    <n v="36"/>
    <n v="0.8"/>
    <n v="0.70499999999999996"/>
    <n v="5.2052000000000001E-4"/>
    <n v="0.99948000000000004"/>
    <s v="13.328543896422232"/>
    <s v="22.58776323291937"/>
    <s v="48.89208363099359"/>
    <s v="23.467058337498063"/>
    <n v="789197508"/>
    <x v="0"/>
    <n v="9.8706899999999992E-4"/>
    <x v="0"/>
  </r>
  <r>
    <n v="44"/>
    <n v="1"/>
    <n v="2"/>
    <n v="2"/>
    <n v="2"/>
    <n v="1"/>
    <n v="0"/>
    <n v="34"/>
    <n v="5"/>
    <n v="3"/>
    <n v="1"/>
    <n v="5331"/>
    <n v="1993"/>
    <n v="3338"/>
    <n v="0.77700000000000002"/>
    <n v="1766"/>
    <n v="39"/>
    <n v="0.625"/>
    <n v="0.374"/>
    <n v="1.0848E-4"/>
    <n v="0.99988999999999995"/>
    <s v="27.00420085001502"/>
    <n v="66.901771070893602"/>
    <s v="14.397697599680304"/>
    <s v="0.2312520807836529"/>
    <n v="715015683"/>
    <x v="0"/>
    <n v="1.0598798E-3"/>
    <x v="0"/>
  </r>
  <r>
    <n v="40"/>
    <n v="0"/>
    <n v="3"/>
    <n v="0"/>
    <n v="3"/>
    <n v="1"/>
    <n v="0"/>
    <n v="22"/>
    <n v="3"/>
    <n v="3"/>
    <n v="3"/>
    <n v="12588"/>
    <n v="2005"/>
    <n v="10583"/>
    <n v="0.996"/>
    <n v="1561"/>
    <n v="26"/>
    <n v="1"/>
    <n v="0.159"/>
    <n v="3.0519E-4"/>
    <n v="0.99968999999999997"/>
    <s v="4.960723039633353"/>
    <s v="15.919140447654875"/>
    <s v="89.21456338547833"/>
    <s v="7.650182253022623"/>
    <n v="720650208"/>
    <x v="0"/>
    <n v="1.0249399E-3"/>
    <x v="0"/>
  </r>
  <r>
    <n v="56"/>
    <n v="1"/>
    <n v="0"/>
    <n v="3"/>
    <n v="1"/>
    <n v="3"/>
    <n v="0"/>
    <n v="43"/>
    <n v="5"/>
    <n v="2"/>
    <n v="1"/>
    <n v="2852"/>
    <n v="1024"/>
    <n v="1828"/>
    <n v="1.0089999999999999"/>
    <n v="1651"/>
    <n v="28"/>
    <n v="1"/>
    <n v="0.35899999999999999"/>
    <s v="5.7261e-05"/>
    <n v="0.99994000000000005"/>
    <s v="15.481233329649893"/>
    <s v="19.437895149725843"/>
    <n v="1.8506892153810699"/>
    <s v="11.641020963996136"/>
    <n v="720253908"/>
    <x v="0"/>
    <n v="9.8706899999999992E-4"/>
    <x v="0"/>
  </r>
  <r>
    <n v="47"/>
    <n v="1"/>
    <n v="3"/>
    <n v="3"/>
    <n v="1"/>
    <n v="3"/>
    <n v="0"/>
    <n v="40"/>
    <n v="3"/>
    <n v="3"/>
    <n v="3"/>
    <n v="12945"/>
    <n v="1582"/>
    <n v="11363"/>
    <n v="0.496"/>
    <n v="3369"/>
    <n v="59"/>
    <n v="0.78800000000000003"/>
    <n v="0.122"/>
    <n v="3.0516000000000001E-4"/>
    <n v="0.99968999999999997"/>
    <s v="9.252513148142388"/>
    <s v="34.374557091780765"/>
    <s v="16.537759309426782"/>
    <s v="10.403688739315209"/>
    <n v="711891933"/>
    <x v="0"/>
    <n v="3.8517435000000002E-4"/>
    <x v="0"/>
  </r>
  <r>
    <n v="37"/>
    <n v="1"/>
    <n v="1"/>
    <n v="5"/>
    <n v="1"/>
    <n v="0"/>
    <n v="0"/>
    <n v="17"/>
    <n v="1"/>
    <n v="1"/>
    <n v="3"/>
    <n v="34516"/>
    <n v="0"/>
    <n v="34516"/>
    <n v="0.77600000000000002"/>
    <n v="14127"/>
    <n v="116"/>
    <n v="0.73099999999999998"/>
    <n v="0"/>
    <s v="8.9404e-05"/>
    <n v="0.99990999999999997"/>
    <s v="2.4562682576375177"/>
    <s v="20.90592112130673"/>
    <s v="54.16996274898683"/>
    <s v="28.450173701498297"/>
    <n v="717251508"/>
    <x v="0"/>
    <n v="7.5047980000000002E-4"/>
    <x v="0"/>
  </r>
  <r>
    <n v="53"/>
    <n v="1"/>
    <n v="1"/>
    <n v="6"/>
    <n v="1"/>
    <n v="0"/>
    <n v="0"/>
    <n v="42"/>
    <n v="4"/>
    <n v="1"/>
    <n v="4"/>
    <n v="8329"/>
    <n v="877"/>
    <n v="7452"/>
    <n v="0.432"/>
    <n v="1570"/>
    <n v="56"/>
    <n v="0.33300000000000002"/>
    <n v="0.105"/>
    <n v="1.6305000000000001E-4"/>
    <n v="0.99983999999999995"/>
    <s v="24.90622934929334"/>
    <s v="57.56808932092173"/>
    <s v="34.10522959523844"/>
    <s v="4.184981615521823"/>
    <n v="710893533"/>
    <x v="0"/>
    <n v="6.6351330000000001E-4"/>
    <x v="0"/>
  </r>
  <r>
    <n v="44"/>
    <n v="0"/>
    <n v="5"/>
    <n v="2"/>
    <n v="0"/>
    <n v="4"/>
    <n v="0"/>
    <n v="38"/>
    <n v="2"/>
    <n v="1"/>
    <n v="3"/>
    <n v="3842"/>
    <n v="2459"/>
    <n v="1383"/>
    <n v="0.69099999999999995"/>
    <n v="13598"/>
    <n v="119"/>
    <n v="0.72499999999999998"/>
    <n v="0.64"/>
    <s v="9.5638e-05"/>
    <n v="0.99990000000000001"/>
    <s v="20.23080745361099"/>
    <s v="3.4083160601927283"/>
    <s v="99.44381193641274"/>
    <s v="5.147210188578409"/>
    <n v="768643158"/>
    <x v="0"/>
    <n v="3.7453471999999999E-4"/>
    <x v="0"/>
  </r>
  <r>
    <n v="43"/>
    <n v="1"/>
    <n v="2"/>
    <n v="2"/>
    <n v="1"/>
    <n v="3"/>
    <n v="0"/>
    <n v="38"/>
    <n v="2"/>
    <n v="1"/>
    <n v="2"/>
    <n v="34516"/>
    <n v="0"/>
    <n v="34516"/>
    <n v="0.67400000000000004"/>
    <n v="14160"/>
    <n v="124"/>
    <n v="0.77100000000000002"/>
    <n v="0"/>
    <s v="5.5077e-05"/>
    <n v="0.99994000000000005"/>
    <s v="18.758459946569875"/>
    <s v="5.277463149494441"/>
    <s v="83.30489993420649"/>
    <n v="20.444294755567402"/>
    <n v="820922733"/>
    <x v="0"/>
    <n v="7.5047980000000002E-4"/>
    <x v="0"/>
  </r>
  <r>
    <n v="45"/>
    <n v="0"/>
    <n v="5"/>
    <n v="5"/>
    <n v="1"/>
    <n v="5"/>
    <n v="0"/>
    <n v="37"/>
    <n v="3"/>
    <n v="1"/>
    <n v="1"/>
    <n v="2467"/>
    <n v="1446"/>
    <n v="1021"/>
    <n v="0.73"/>
    <n v="5024"/>
    <n v="81"/>
    <n v="0.62"/>
    <n v="0.58599999999999997"/>
    <s v="3.5257e-05"/>
    <n v="0.99995999999999996"/>
    <s v="2.820474229857879"/>
    <s v="32.88203651654669"/>
    <s v="24.90501930966456"/>
    <s v="13.192247621906969"/>
    <n v="717966933"/>
    <x v="0"/>
    <n v="3.2914013999999999E-4"/>
    <x v="0"/>
  </r>
  <r>
    <n v="33"/>
    <n v="0"/>
    <n v="2"/>
    <n v="3"/>
    <n v="2"/>
    <n v="5"/>
    <n v="0"/>
    <n v="25"/>
    <n v="5"/>
    <n v="1"/>
    <n v="4"/>
    <n v="11922"/>
    <n v="792"/>
    <n v="11130"/>
    <n v="0.66700000000000004"/>
    <n v="2154"/>
    <n v="61"/>
    <n v="0.52500000000000002"/>
    <n v="6.6000000000000003E-2"/>
    <n v="1.5363E-4"/>
    <n v="0.99985000000000002"/>
    <s v="11.850805146878152"/>
    <n v="21.301920602402099"/>
    <s v="67.21830890097444"/>
    <s v="17.77279559375333"/>
    <n v="715217733"/>
    <x v="0"/>
    <n v="7.9893589999999995E-4"/>
    <x v="0"/>
  </r>
  <r>
    <n v="50"/>
    <n v="1"/>
    <n v="2"/>
    <n v="5"/>
    <n v="3"/>
    <n v="0"/>
    <n v="0"/>
    <n v="38"/>
    <n v="6"/>
    <n v="2"/>
    <n v="1"/>
    <n v="34516"/>
    <n v="397"/>
    <n v="34119"/>
    <n v="0.91400000000000003"/>
    <n v="7454"/>
    <n v="81"/>
    <n v="0.84099999999999997"/>
    <n v="1.2E-2"/>
    <n v="0.98602999999999996"/>
    <n v="1.397E-2"/>
    <s v="25.458349816483523"/>
    <s v="39.20876931724246"/>
    <s v="81.92199747718726"/>
    <s v="10.891677268280487"/>
    <n v="715830558"/>
    <x v="1"/>
    <n v="0.99455450000000001"/>
    <x v="1"/>
  </r>
  <r>
    <n v="32"/>
    <n v="1"/>
    <n v="1"/>
    <n v="5"/>
    <n v="2"/>
    <n v="3"/>
    <n v="0"/>
    <n v="15"/>
    <n v="2"/>
    <n v="2"/>
    <n v="1"/>
    <n v="3371"/>
    <n v="1530"/>
    <n v="1841"/>
    <n v="0.82799999999999996"/>
    <n v="13432"/>
    <n v="118"/>
    <n v="0.81499999999999995"/>
    <n v="0.45400000000000001"/>
    <s v="6.6245e-05"/>
    <n v="0.99992999999999999"/>
    <s v="12.257766357429864"/>
    <s v="0.8266245638854336"/>
    <s v="25.401953212819844"/>
    <s v="22.110271301117063"/>
    <n v="712609533"/>
    <x v="0"/>
    <n v="3.4656386999999997E-4"/>
    <x v="0"/>
  </r>
  <r>
    <n v="43"/>
    <n v="0"/>
    <n v="4"/>
    <n v="2"/>
    <n v="1"/>
    <n v="4"/>
    <n v="0"/>
    <n v="35"/>
    <n v="3"/>
    <n v="3"/>
    <n v="0"/>
    <n v="6448"/>
    <n v="1464"/>
    <n v="4984"/>
    <n v="0.61499999999999999"/>
    <n v="7546"/>
    <n v="88"/>
    <n v="0.63"/>
    <n v="0.22700000000000001"/>
    <s v="6.9589e-05"/>
    <n v="0.99992999999999999"/>
    <s v="66.08004036787695"/>
    <s v="6.896031234923103"/>
    <s v="44.04094589984098"/>
    <s v="13.647661642623085"/>
    <n v="715404783"/>
    <x v="0"/>
    <n v="3.7789578000000003E-4"/>
    <x v="0"/>
  </r>
  <r>
    <n v="49"/>
    <n v="1"/>
    <n v="2"/>
    <n v="6"/>
    <n v="2"/>
    <n v="2"/>
    <n v="0"/>
    <n v="34"/>
    <n v="4"/>
    <n v="1"/>
    <n v="4"/>
    <n v="5176"/>
    <n v="0"/>
    <n v="5176"/>
    <n v="0.83799999999999997"/>
    <n v="1902"/>
    <n v="56"/>
    <n v="0.93100000000000005"/>
    <n v="0"/>
    <n v="1.7370999999999999E-4"/>
    <n v="0.99983"/>
    <n v="9.1106689040885591"/>
    <s v="70.56317186139808"/>
    <s v="92.87283305599814"/>
    <s v="21.118384577082708"/>
    <n v="779351208"/>
    <x v="0"/>
    <n v="1.5377224E-3"/>
    <x v="0"/>
  </r>
  <r>
    <n v="46"/>
    <n v="1"/>
    <n v="3"/>
    <n v="5"/>
    <n v="1"/>
    <n v="2"/>
    <n v="1"/>
    <n v="33"/>
    <n v="3"/>
    <n v="1"/>
    <n v="3"/>
    <n v="34516"/>
    <n v="713"/>
    <n v="33803"/>
    <n v="0.77200000000000002"/>
    <n v="7750"/>
    <n v="82"/>
    <n v="0.60799999999999998"/>
    <n v="2.1000000000000001E-2"/>
    <n v="1.1387000000000001E-4"/>
    <n v="0.99988999999999995"/>
    <s v="13.368010971804743"/>
    <s v="8.874992737611477"/>
    <s v="102.91394154208044"/>
    <s v="2.000834784532283"/>
    <n v="789681708"/>
    <x v="0"/>
    <n v="7.1389230000000004E-4"/>
    <x v="0"/>
  </r>
  <r>
    <n v="51"/>
    <n v="0"/>
    <n v="2"/>
    <n v="2"/>
    <n v="0"/>
    <n v="5"/>
    <n v="0"/>
    <n v="36"/>
    <n v="4"/>
    <n v="3"/>
    <n v="4"/>
    <n v="5062"/>
    <n v="1659"/>
    <n v="3403"/>
    <n v="0.83599999999999997"/>
    <n v="4243"/>
    <n v="102"/>
    <n v="0.67200000000000004"/>
    <n v="0.32800000000000001"/>
    <n v="5.1599999999999997E-4"/>
    <n v="0.99948000000000004"/>
    <s v="19.911882718741776"/>
    <s v="67.15716467016827"/>
    <s v="71.31289046041341"/>
    <s v="26.12314285487519"/>
    <n v="716626008"/>
    <x v="0"/>
    <n v="3.2101269999999999E-4"/>
    <x v="0"/>
  </r>
  <r>
    <n v="39"/>
    <n v="1"/>
    <n v="4"/>
    <n v="5"/>
    <n v="1"/>
    <n v="0"/>
    <n v="0"/>
    <n v="36"/>
    <n v="6"/>
    <n v="3"/>
    <n v="2"/>
    <n v="25790"/>
    <n v="1798"/>
    <n v="23992"/>
    <n v="0.97299999999999998"/>
    <n v="2443"/>
    <n v="70"/>
    <n v="0.55600000000000005"/>
    <n v="7.0000000000000007E-2"/>
    <n v="1.9395999999999999E-4"/>
    <n v="0.99980999999999998"/>
    <s v="21.845395687885684"/>
    <s v="3.039476278530501"/>
    <s v="18.15629707230322"/>
    <s v="31.820054519526565"/>
    <n v="718360083"/>
    <x v="0"/>
    <n v="4.7334618000000002E-4"/>
    <x v="0"/>
  </r>
  <r>
    <n v="26"/>
    <n v="0"/>
    <n v="1"/>
    <n v="3"/>
    <n v="2"/>
    <n v="4"/>
    <n v="0"/>
    <n v="13"/>
    <n v="3"/>
    <n v="2"/>
    <n v="3"/>
    <n v="2404"/>
    <n v="1198"/>
    <n v="1206"/>
    <n v="0.501"/>
    <n v="2692"/>
    <n v="63"/>
    <n v="0.5"/>
    <n v="0.498"/>
    <n v="1.7468E-4"/>
    <n v="0.99983"/>
    <s v="46.08899247418751"/>
    <s v="49.11174110526829"/>
    <n v="25.072407292108402"/>
    <s v="7.656790319194198"/>
    <n v="720802833"/>
    <x v="0"/>
    <n v="4.4054430000000001E-4"/>
    <x v="0"/>
  </r>
  <r>
    <n v="41"/>
    <n v="0"/>
    <n v="2"/>
    <n v="3"/>
    <n v="2"/>
    <n v="4"/>
    <n v="0"/>
    <n v="36"/>
    <n v="4"/>
    <n v="3"/>
    <n v="3"/>
    <n v="2201"/>
    <n v="2104"/>
    <n v="97"/>
    <n v="0.64800000000000002"/>
    <n v="2408"/>
    <n v="38"/>
    <n v="0.58299999999999996"/>
    <n v="0.95599999999999996"/>
    <n v="0.99661"/>
    <n v="3.3878799999999998E-3"/>
    <s v="12.39711450039792"/>
    <n v="4.9622719795563501"/>
    <s v="117.0414211720724"/>
    <s v="17.940505893885522"/>
    <n v="721274208"/>
    <x v="1"/>
    <n v="0.99517619999999996"/>
    <x v="1"/>
  </r>
  <r>
    <n v="40"/>
    <n v="1"/>
    <n v="5"/>
    <n v="6"/>
    <n v="2"/>
    <n v="0"/>
    <n v="3"/>
    <n v="31"/>
    <n v="1"/>
    <n v="3"/>
    <n v="3"/>
    <n v="34516"/>
    <n v="2203"/>
    <n v="32313"/>
    <n v="0.72799999999999998"/>
    <n v="14204"/>
    <n v="96"/>
    <n v="0.92"/>
    <n v="6.4000000000000001E-2"/>
    <n v="3.1018000000000002E-4"/>
    <n v="0.99968999999999997"/>
    <s v="44.14901359199051"/>
    <s v="26.31266952484553"/>
    <s v="25.896580928967097"/>
    <s v="2.3035578647393176"/>
    <n v="713475633"/>
    <x v="0"/>
    <n v="3.8573547000000003E-4"/>
    <x v="0"/>
  </r>
  <r>
    <n v="36"/>
    <n v="0"/>
    <n v="1"/>
    <n v="5"/>
    <n v="1"/>
    <n v="4"/>
    <n v="0"/>
    <n v="36"/>
    <n v="6"/>
    <n v="1"/>
    <n v="3"/>
    <n v="2611"/>
    <n v="537"/>
    <n v="2074"/>
    <n v="0.84799999999999998"/>
    <n v="5121"/>
    <n v="83"/>
    <n v="0.80400000000000005"/>
    <n v="0.20599999999999999"/>
    <s v="8.9404e-05"/>
    <n v="0.99990999999999997"/>
    <s v="24.29977906211901"/>
    <s v="24.42251292592308"/>
    <s v="1.3775489729225945"/>
    <s v="3.544864956825639"/>
    <n v="712781883"/>
    <x v="0"/>
    <n v="6.3836923999999998E-4"/>
    <x v="0"/>
  </r>
  <r>
    <n v="38"/>
    <n v="1"/>
    <n v="3"/>
    <n v="6"/>
    <n v="1"/>
    <n v="2"/>
    <n v="0"/>
    <n v="28"/>
    <n v="3"/>
    <n v="1"/>
    <n v="2"/>
    <n v="4646"/>
    <n v="1680"/>
    <n v="2966"/>
    <n v="1.238"/>
    <n v="2234"/>
    <n v="35"/>
    <n v="0.66700000000000004"/>
    <n v="0.36199999999999999"/>
    <s v="6.282e-05"/>
    <n v="0.99994000000000005"/>
    <s v="2.4271434242938854"/>
    <s v="16.22684424856461"/>
    <s v="56.77381339606062"/>
    <s v="3.3817275400023483"/>
    <n v="714746358"/>
    <x v="0"/>
    <n v="1.1292467E-3"/>
    <x v="0"/>
  </r>
  <r>
    <n v="49"/>
    <n v="1"/>
    <n v="3"/>
    <n v="5"/>
    <n v="0"/>
    <n v="3"/>
    <n v="0"/>
    <n v="37"/>
    <n v="6"/>
    <n v="3"/>
    <n v="3"/>
    <n v="28390"/>
    <n v="1141"/>
    <n v="27249"/>
    <n v="0.91900000000000004"/>
    <n v="4631"/>
    <n v="76"/>
    <n v="0.94899999999999995"/>
    <n v="0.04"/>
    <n v="3.2275000000000001E-4"/>
    <n v="0.99968000000000001"/>
    <s v="6.106324283075734"/>
    <n v="69.450156633762603"/>
    <s v="84.28342373089222"/>
    <s v="8.889722319409229"/>
    <n v="712089108"/>
    <x v="0"/>
    <n v="3.756586E-4"/>
    <x v="0"/>
  </r>
  <r>
    <n v="55"/>
    <n v="1"/>
    <n v="0"/>
    <n v="2"/>
    <n v="1"/>
    <n v="1"/>
    <n v="0"/>
    <n v="36"/>
    <n v="3"/>
    <n v="3"/>
    <n v="2"/>
    <n v="3097"/>
    <n v="827"/>
    <n v="2270"/>
    <n v="0.51100000000000001"/>
    <n v="1390"/>
    <n v="24"/>
    <n v="0.26300000000000001"/>
    <n v="0.26700000000000002"/>
    <n v="1.5435000000000001E-4"/>
    <n v="0.99985000000000002"/>
    <s v="5.211072322095742"/>
    <s v="49.70653571557831"/>
    <s v="19.95049287720453"/>
    <s v="12.787866505502196"/>
    <n v="711782733"/>
    <x v="0"/>
    <n v="2.0227432000000001E-3"/>
    <x v="0"/>
  </r>
  <r>
    <n v="47"/>
    <n v="0"/>
    <n v="3"/>
    <n v="2"/>
    <n v="1"/>
    <n v="4"/>
    <n v="0"/>
    <n v="36"/>
    <n v="3"/>
    <n v="1"/>
    <n v="2"/>
    <n v="3147"/>
    <n v="2453"/>
    <n v="694"/>
    <n v="0.74399999999999999"/>
    <n v="4465"/>
    <n v="82"/>
    <n v="0.95199999999999996"/>
    <n v="0.77900000000000003"/>
    <s v="5.7151e-05"/>
    <n v="0.99994000000000005"/>
    <s v="9.317974894413624"/>
    <n v="0.74279862872590097"/>
    <n v="21.090607444074902"/>
    <s v="3.173969768926413"/>
    <n v="709888383"/>
    <x v="0"/>
    <n v="3.2101269999999999E-4"/>
    <x v="0"/>
  </r>
  <r>
    <n v="37"/>
    <n v="0"/>
    <n v="2"/>
    <n v="6"/>
    <n v="1"/>
    <n v="5"/>
    <n v="3"/>
    <n v="21"/>
    <n v="2"/>
    <n v="2"/>
    <n v="2"/>
    <n v="31718"/>
    <n v="0"/>
    <n v="31718"/>
    <n v="0.91"/>
    <n v="7432"/>
    <n v="64"/>
    <n v="0.64100000000000001"/>
    <n v="0"/>
    <n v="0.99123000000000006"/>
    <n v="8.77E-3"/>
    <s v="12.921790367437096"/>
    <s v="36.28223383517103"/>
    <s v="86.06870138275134"/>
    <s v="6.431052150916045"/>
    <n v="780042633"/>
    <x v="1"/>
    <n v="0.99554306000000004"/>
    <x v="1"/>
  </r>
  <r>
    <n v="51"/>
    <n v="1"/>
    <n v="3"/>
    <n v="4"/>
    <n v="1"/>
    <n v="1"/>
    <n v="0"/>
    <n v="36"/>
    <n v="6"/>
    <n v="1"/>
    <n v="4"/>
    <n v="7925"/>
    <n v="1445"/>
    <n v="6480"/>
    <n v="0.75"/>
    <n v="3815"/>
    <n v="65"/>
    <n v="0.80600000000000005"/>
    <n v="0.182"/>
    <n v="1.9296E-4"/>
    <n v="0.99980999999999998"/>
    <s v="8.287847554344935"/>
    <s v="51.38094720348907"/>
    <s v="90.17906742262798"/>
    <s v="6.674390931282987"/>
    <n v="715412583"/>
    <x v="0"/>
    <n v="3.2890364000000001E-4"/>
    <x v="0"/>
  </r>
  <r>
    <n v="42"/>
    <n v="0"/>
    <n v="5"/>
    <n v="3"/>
    <n v="0"/>
    <n v="4"/>
    <n v="0"/>
    <n v="36"/>
    <n v="5"/>
    <n v="2"/>
    <n v="3"/>
    <n v="2069"/>
    <n v="1288"/>
    <n v="781"/>
    <n v="0.81"/>
    <n v="5668"/>
    <n v="82"/>
    <n v="0.64"/>
    <n v="0.623"/>
    <n v="1.9212999999999999E-4"/>
    <n v="0.99980999999999998"/>
    <s v="36.174088921764366"/>
    <s v="39.38116807523627"/>
    <s v="12.883068191167188"/>
    <s v="14.591706715529432"/>
    <n v="782548758"/>
    <x v="0"/>
    <n v="3.7789578000000003E-4"/>
    <x v="0"/>
  </r>
  <r>
    <n v="50"/>
    <n v="0"/>
    <n v="2"/>
    <n v="2"/>
    <n v="1"/>
    <n v="4"/>
    <n v="0"/>
    <n v="40"/>
    <n v="5"/>
    <n v="3"/>
    <n v="3"/>
    <n v="2481"/>
    <n v="1287"/>
    <n v="1194"/>
    <n v="0.46500000000000002"/>
    <n v="1825"/>
    <n v="51"/>
    <n v="0.82099999999999995"/>
    <n v="0.51900000000000002"/>
    <n v="3.0250999999999998E-4"/>
    <n v="0.99970000000000003"/>
    <s v="19.424735243978205"/>
    <s v="34.02888423756402"/>
    <s v="1.4110935282895023"/>
    <s v="27.401684989101888"/>
    <n v="718972758"/>
    <x v="0"/>
    <n v="8.1453624000000005E-4"/>
    <x v="0"/>
  </r>
  <r>
    <n v="44"/>
    <n v="0"/>
    <n v="3"/>
    <n v="2"/>
    <n v="2"/>
    <n v="4"/>
    <n v="3"/>
    <n v="34"/>
    <n v="3"/>
    <n v="3"/>
    <n v="2"/>
    <n v="13609"/>
    <n v="1432"/>
    <n v="12177"/>
    <n v="0.83599999999999997"/>
    <n v="7796"/>
    <n v="77"/>
    <n v="0.79100000000000004"/>
    <n v="0.105"/>
    <n v="1.6865000000000001E-4"/>
    <n v="0.99983"/>
    <s v="2.782054324025279"/>
    <n v="4.3282999835568798"/>
    <n v="130.65146595439199"/>
    <s v="3.982062420280278"/>
    <n v="714166833"/>
    <x v="0"/>
    <n v="5.5846529999999995E-4"/>
    <x v="0"/>
  </r>
  <r>
    <n v="53"/>
    <n v="1"/>
    <n v="2"/>
    <n v="0"/>
    <n v="1"/>
    <n v="1"/>
    <n v="0"/>
    <n v="33"/>
    <n v="3"/>
    <n v="3"/>
    <n v="1"/>
    <n v="4065"/>
    <n v="2180"/>
    <n v="1885"/>
    <n v="0.32100000000000001"/>
    <n v="1271"/>
    <n v="36"/>
    <n v="0.2"/>
    <n v="0.53600000000000003"/>
    <n v="1.0546E-4"/>
    <n v="0.99988999999999995"/>
    <s v="13.47241803767921"/>
    <s v="64.20704936408967"/>
    <n v="37.628077647064202"/>
    <s v="11.124653426405088"/>
    <n v="712674183"/>
    <x v="0"/>
    <n v="1.2669897000000001E-3"/>
    <x v="0"/>
  </r>
  <r>
    <n v="40"/>
    <n v="0"/>
    <n v="3"/>
    <n v="1"/>
    <n v="1"/>
    <n v="4"/>
    <n v="0"/>
    <n v="29"/>
    <n v="1"/>
    <n v="1"/>
    <n v="1"/>
    <n v="4660"/>
    <n v="1844"/>
    <n v="2816"/>
    <n v="1.018"/>
    <n v="8571"/>
    <n v="84"/>
    <n v="0.64700000000000002"/>
    <n v="0.39600000000000002"/>
    <s v="4.9875e-05"/>
    <n v="0.99995000000000001"/>
    <s v="14.618313619142834"/>
    <s v="4.241348667374049"/>
    <s v="107.17237067455588"/>
    <s v="36.80847227872415"/>
    <n v="771752508"/>
    <x v="0"/>
    <n v="3.9731347000000001E-4"/>
    <x v="0"/>
  </r>
  <r>
    <n v="40"/>
    <n v="0"/>
    <n v="3"/>
    <n v="2"/>
    <n v="0"/>
    <n v="4"/>
    <n v="0"/>
    <n v="29"/>
    <n v="5"/>
    <n v="2"/>
    <n v="2"/>
    <n v="3170"/>
    <n v="2517"/>
    <n v="653"/>
    <n v="1.3009999999999999"/>
    <n v="2027"/>
    <n v="49"/>
    <n v="0.81499999999999995"/>
    <n v="0.79400000000000004"/>
    <n v="1.1811000000000001E-4"/>
    <n v="0.99987999999999999"/>
    <s v="35.72157800775295"/>
    <s v="13.99330628140716"/>
    <s v="89.82880572531896"/>
    <s v="3.268875814443892"/>
    <n v="708833133"/>
    <x v="0"/>
    <n v="8.3713774999999999E-4"/>
    <x v="0"/>
  </r>
  <r>
    <n v="48"/>
    <n v="1"/>
    <n v="4"/>
    <n v="6"/>
    <n v="2"/>
    <n v="3"/>
    <n v="0"/>
    <n v="36"/>
    <n v="1"/>
    <n v="3"/>
    <n v="1"/>
    <n v="11862"/>
    <n v="2517"/>
    <n v="9345"/>
    <n v="0.76600000000000001"/>
    <n v="643"/>
    <n v="16"/>
    <n v="0.23100000000000001"/>
    <n v="0.21199999999999999"/>
    <n v="0.99207000000000001"/>
    <n v="7.9299999999999995E-3"/>
    <s v="41.95830227804759"/>
    <n v="35.5405708067915"/>
    <s v="49.794925973039504"/>
    <s v="4.071156493975208"/>
    <n v="711242058"/>
    <x v="1"/>
    <n v="0.99609654999999997"/>
    <x v="1"/>
  </r>
  <r>
    <n v="49"/>
    <n v="0"/>
    <n v="3"/>
    <n v="5"/>
    <n v="1"/>
    <n v="4"/>
    <n v="0"/>
    <n v="36"/>
    <n v="4"/>
    <n v="2"/>
    <n v="4"/>
    <n v="1522"/>
    <n v="0"/>
    <n v="1522"/>
    <n v="0.48199999999999998"/>
    <n v="2241"/>
    <n v="36"/>
    <n v="0.8"/>
    <n v="0"/>
    <n v="0.99714000000000003"/>
    <n v="2.86097E-3"/>
    <s v="51.07436282555756"/>
    <s v="36.907256093610464"/>
    <s v="22.12426594941825"/>
    <s v="31.89367015911137"/>
    <n v="708323208"/>
    <x v="1"/>
    <n v="0.99794024000000003"/>
    <x v="1"/>
  </r>
  <r>
    <n v="55"/>
    <n v="1"/>
    <n v="1"/>
    <n v="2"/>
    <n v="1"/>
    <n v="3"/>
    <n v="0"/>
    <n v="36"/>
    <n v="3"/>
    <n v="2"/>
    <n v="4"/>
    <n v="34516"/>
    <n v="2102"/>
    <n v="32414"/>
    <n v="0.91200000000000003"/>
    <n v="1612"/>
    <n v="33"/>
    <n v="0.73699999999999999"/>
    <n v="6.0999999999999999E-2"/>
    <n v="3.0653000000000001E-4"/>
    <n v="0.99968999999999997"/>
    <s v="36.82391693301861"/>
    <s v="2.237881215345333"/>
    <s v="11.85570734982376"/>
    <s v="25.128530184097997"/>
    <n v="712003083"/>
    <x v="0"/>
    <n v="1.1835846999999999E-3"/>
    <x v="0"/>
  </r>
  <r>
    <n v="36"/>
    <n v="0"/>
    <n v="3"/>
    <n v="3"/>
    <n v="2"/>
    <n v="4"/>
    <n v="0"/>
    <n v="31"/>
    <n v="4"/>
    <n v="2"/>
    <n v="3"/>
    <n v="2909"/>
    <n v="2085"/>
    <n v="824"/>
    <n v="1.0349999999999999"/>
    <n v="5154"/>
    <n v="80"/>
    <n v="0.86"/>
    <n v="0.71699999999999997"/>
    <n v="1.9311E-4"/>
    <n v="0.99980999999999998"/>
    <s v="26.44587425347775"/>
    <s v="15.750572531089809"/>
    <s v="45.49838813365117"/>
    <n v="7.7590184949865497"/>
    <n v="806619333"/>
    <x v="0"/>
    <n v="3.221314E-4"/>
    <x v="0"/>
  </r>
  <r>
    <n v="41"/>
    <n v="1"/>
    <n v="1"/>
    <n v="2"/>
    <n v="1"/>
    <n v="3"/>
    <n v="0"/>
    <n v="30"/>
    <n v="3"/>
    <n v="3"/>
    <n v="2"/>
    <n v="34516"/>
    <n v="2109"/>
    <n v="32407"/>
    <n v="0.70299999999999996"/>
    <n v="6832"/>
    <n v="87"/>
    <n v="0.70599999999999996"/>
    <n v="6.0999999999999999E-2"/>
    <n v="1.6882999999999999E-4"/>
    <n v="0.99983"/>
    <s v="12.650938214876511"/>
    <s v="44.80786961776926"/>
    <s v="44.11439912567562"/>
    <s v="23.83031234587704"/>
    <n v="780707733"/>
    <x v="0"/>
    <n v="4.1022256E-4"/>
    <x v="0"/>
  </r>
  <r>
    <n v="43"/>
    <n v="1"/>
    <n v="2"/>
    <n v="5"/>
    <n v="2"/>
    <n v="2"/>
    <n v="3"/>
    <n v="37"/>
    <n v="4"/>
    <n v="3"/>
    <n v="3"/>
    <n v="27781"/>
    <n v="0"/>
    <n v="27781"/>
    <n v="1"/>
    <n v="3184"/>
    <n v="61"/>
    <n v="0.74299999999999999"/>
    <n v="0"/>
    <n v="2.8104999999999997E-4"/>
    <n v="0.99972000000000005"/>
    <s v="25.482866889790333"/>
    <s v="71.63736856172537"/>
    <s v="29.820898712335936"/>
    <s v="22.784899787298222"/>
    <n v="784263558"/>
    <x v="0"/>
    <n v="8.5208465999999999E-4"/>
    <x v="0"/>
  </r>
  <r>
    <n v="62"/>
    <n v="1"/>
    <n v="1"/>
    <n v="3"/>
    <n v="1"/>
    <n v="4"/>
    <n v="0"/>
    <n v="53"/>
    <n v="5"/>
    <n v="3"/>
    <n v="3"/>
    <n v="2077"/>
    <n v="1571"/>
    <n v="506"/>
    <n v="1.0309999999999999"/>
    <n v="1365"/>
    <n v="38"/>
    <n v="1"/>
    <n v="0.75600000000000001"/>
    <n v="2.7604000000000002E-4"/>
    <n v="0.99972000000000005"/>
    <s v="20.635975368236743"/>
    <s v="52.44924769664153"/>
    <s v="8.849839182566654"/>
    <s v="18.183248801114328"/>
    <n v="712299858"/>
    <x v="0"/>
    <n v="9.8706899999999992E-4"/>
    <x v="0"/>
  </r>
  <r>
    <n v="45"/>
    <n v="0"/>
    <n v="4"/>
    <n v="5"/>
    <n v="1"/>
    <n v="5"/>
    <n v="0"/>
    <n v="39"/>
    <n v="6"/>
    <n v="3"/>
    <n v="1"/>
    <n v="1438.3"/>
    <n v="0"/>
    <n v="1438.3"/>
    <n v="0.82499999999999996"/>
    <n v="4596"/>
    <n v="71"/>
    <n v="0.73199999999999998"/>
    <n v="0"/>
    <n v="1.1697E-4"/>
    <n v="0.99987999999999999"/>
    <s v="19.31310933194207"/>
    <s v="11.926325785803147"/>
    <s v="76.30818523473606"/>
    <s v="8.661720160264053"/>
    <n v="798047583"/>
    <x v="0"/>
    <n v="7.4965424999999997E-4"/>
    <x v="0"/>
  </r>
  <r>
    <n v="26"/>
    <n v="1"/>
    <n v="0"/>
    <n v="0"/>
    <n v="0"/>
    <n v="4"/>
    <n v="0"/>
    <n v="36"/>
    <n v="5"/>
    <n v="2"/>
    <n v="3"/>
    <n v="4150"/>
    <n v="456"/>
    <n v="3694"/>
    <n v="1.1259999999999999"/>
    <n v="2483"/>
    <n v="74"/>
    <n v="0.54200000000000004"/>
    <n v="0.11"/>
    <n v="1.5971E-4"/>
    <n v="0.99983999999999995"/>
    <s v="52.92486642399633"/>
    <s v="15.371305093614902"/>
    <s v="24.95975123104437"/>
    <s v="3.724577486774792"/>
    <n v="715374558"/>
    <x v="0"/>
    <n v="8.0528939999999997E-4"/>
    <x v="0"/>
  </r>
  <r>
    <n v="35"/>
    <n v="1"/>
    <n v="5"/>
    <n v="5"/>
    <n v="2"/>
    <n v="2"/>
    <n v="0"/>
    <n v="28"/>
    <n v="4"/>
    <n v="2"/>
    <n v="3"/>
    <n v="4587"/>
    <n v="1704"/>
    <n v="2883"/>
    <n v="0.90300000000000002"/>
    <n v="2968"/>
    <n v="65"/>
    <n v="0.80600000000000005"/>
    <n v="0.371"/>
    <n v="2.0321E-4"/>
    <n v="0.99980000000000002"/>
    <s v="3.992825342963079"/>
    <s v="20.906395174752397"/>
    <s v="34.91270909837218"/>
    <s v="11.21769136163337"/>
    <n v="748617858"/>
    <x v="0"/>
    <n v="3.8570051999999998E-4"/>
    <x v="0"/>
  </r>
  <r>
    <n v="48"/>
    <n v="0"/>
    <n v="3"/>
    <n v="2"/>
    <n v="1"/>
    <n v="5"/>
    <n v="0"/>
    <n v="41"/>
    <n v="1"/>
    <n v="2"/>
    <n v="2"/>
    <n v="8074"/>
    <n v="2426"/>
    <n v="5648"/>
    <n v="0.72"/>
    <n v="5372"/>
    <n v="93"/>
    <n v="0.78800000000000003"/>
    <n v="0.3"/>
    <n v="1.1811000000000001E-4"/>
    <n v="0.99987999999999999"/>
    <s v="2.365762356553115"/>
    <s v="26.962295251336705"/>
    <s v="68.12800307435454"/>
    <s v="11.279323893979438"/>
    <n v="773177358"/>
    <x v="0"/>
    <n v="3.6588970000000001E-4"/>
    <x v="0"/>
  </r>
  <r>
    <n v="38"/>
    <n v="1"/>
    <n v="1"/>
    <n v="3"/>
    <n v="1"/>
    <n v="3"/>
    <n v="0"/>
    <n v="23"/>
    <n v="4"/>
    <n v="3"/>
    <n v="2"/>
    <n v="22149"/>
    <n v="987"/>
    <n v="21162"/>
    <n v="1.633"/>
    <n v="2409"/>
    <n v="36"/>
    <n v="0.8"/>
    <n v="4.4999999999999998E-2"/>
    <n v="1.6412999999999999E-4"/>
    <n v="0.99983999999999995"/>
    <s v="21.677953743108045"/>
    <s v="92.49583211289956"/>
    <s v="46.75855199969126"/>
    <s v="19.679346491014527"/>
    <n v="778461408"/>
    <x v="0"/>
    <n v="1.3206537E-3"/>
    <x v="0"/>
  </r>
  <r>
    <n v="62"/>
    <n v="0"/>
    <n v="0"/>
    <n v="3"/>
    <n v="3"/>
    <n v="1"/>
    <n v="0"/>
    <n v="49"/>
    <n v="4"/>
    <n v="1"/>
    <n v="1"/>
    <n v="4409"/>
    <n v="785"/>
    <n v="3624"/>
    <n v="0.83799999999999997"/>
    <n v="4160"/>
    <n v="61"/>
    <n v="0.64900000000000002"/>
    <n v="0.17799999999999999"/>
    <s v="2.7707e-05"/>
    <n v="0.99997000000000003"/>
    <s v="17.120880538394562"/>
    <s v="77.56134208302889"/>
    <s v="127.4922429269103"/>
    <s v="25.99249570140859"/>
    <n v="721202058"/>
    <x v="0"/>
    <n v="5.8413829999999999E-4"/>
    <x v="0"/>
  </r>
  <r>
    <n v="38"/>
    <n v="0"/>
    <n v="3"/>
    <n v="3"/>
    <n v="1"/>
    <n v="4"/>
    <n v="0"/>
    <n v="28"/>
    <n v="4"/>
    <n v="2"/>
    <n v="3"/>
    <n v="2435"/>
    <n v="1888"/>
    <n v="547"/>
    <n v="0.92200000000000004"/>
    <n v="1847"/>
    <n v="39"/>
    <n v="0.69599999999999995"/>
    <n v="0.77500000000000002"/>
    <n v="1.9311E-4"/>
    <n v="0.99980999999999998"/>
    <s v="45.36549951682561"/>
    <s v="70.63085100945436"/>
    <s v="101.9720081164268"/>
    <s v="3.221668471497315"/>
    <n v="712475733"/>
    <x v="0"/>
    <n v="1.0337284E-3"/>
    <x v="0"/>
  </r>
  <r>
    <n v="56"/>
    <n v="0"/>
    <n v="4"/>
    <n v="2"/>
    <n v="3"/>
    <n v="4"/>
    <n v="0"/>
    <n v="44"/>
    <n v="5"/>
    <n v="3"/>
    <n v="3"/>
    <n v="1677"/>
    <n v="0"/>
    <n v="1677"/>
    <n v="0.83499999999999996"/>
    <n v="2477"/>
    <n v="45"/>
    <n v="0.32400000000000001"/>
    <n v="0"/>
    <n v="0.99685999999999997"/>
    <n v="3.1411199999999998E-3"/>
    <s v="25.432737486595748"/>
    <s v="47.06351654147837"/>
    <s v="30.098762233432105"/>
    <s v="6.558603204466476"/>
    <n v="719420883"/>
    <x v="1"/>
    <n v="0.99873226999999998"/>
    <x v="1"/>
  </r>
  <r>
    <n v="44"/>
    <n v="0"/>
    <n v="3"/>
    <n v="3"/>
    <n v="0"/>
    <n v="4"/>
    <n v="0"/>
    <n v="28"/>
    <n v="5"/>
    <n v="2"/>
    <n v="3"/>
    <n v="1877"/>
    <n v="1203"/>
    <n v="674"/>
    <n v="0.65400000000000003"/>
    <n v="2581"/>
    <n v="57"/>
    <n v="0.78100000000000003"/>
    <n v="0.64100000000000001"/>
    <n v="0.99485000000000001"/>
    <n v="5.1500000000000001E-3"/>
    <n v="33.685915914800297"/>
    <s v="98.12624043154672"/>
    <s v="55.85227176826055"/>
    <s v="4.252117477071852"/>
    <n v="719384433"/>
    <x v="1"/>
    <n v="0.98841745000000003"/>
    <x v="1"/>
  </r>
  <r>
    <n v="41"/>
    <n v="0"/>
    <n v="2"/>
    <n v="3"/>
    <n v="2"/>
    <n v="1"/>
    <n v="0"/>
    <n v="36"/>
    <n v="4"/>
    <n v="5"/>
    <n v="3"/>
    <n v="1561"/>
    <n v="1169"/>
    <n v="392"/>
    <n v="0.57299999999999995"/>
    <n v="4391"/>
    <n v="67"/>
    <n v="0.59499999999999997"/>
    <n v="0.749"/>
    <n v="3.2845999999999998E-4"/>
    <n v="0.99966999999999995"/>
    <s v="48.52601323195077"/>
    <s v="2.045083007499412"/>
    <s v="52.88508618877815"/>
    <n v="7.2011450498576499"/>
    <n v="806652483"/>
    <x v="0"/>
    <n v="3.2914013999999999E-4"/>
    <x v="0"/>
  </r>
  <r>
    <n v="45"/>
    <n v="1"/>
    <n v="1"/>
    <n v="2"/>
    <n v="2"/>
    <n v="2"/>
    <n v="0"/>
    <n v="36"/>
    <n v="3"/>
    <n v="1"/>
    <n v="3"/>
    <n v="6022"/>
    <n v="1433"/>
    <n v="4589"/>
    <n v="0.95499999999999996"/>
    <n v="3433"/>
    <n v="68"/>
    <n v="0.94299999999999995"/>
    <n v="0.23799999999999999"/>
    <s v="8.6952e-05"/>
    <n v="0.99990999999999997"/>
    <s v="16.347795976909666"/>
    <s v="12.504531791097303"/>
    <s v="64.02283198377016"/>
    <s v="2.9901050724130918"/>
    <n v="715905633"/>
    <x v="0"/>
    <n v="3.3750932000000002E-4"/>
    <x v="0"/>
  </r>
  <r>
    <n v="43"/>
    <n v="1"/>
    <n v="1"/>
    <n v="2"/>
    <n v="2"/>
    <n v="5"/>
    <n v="0"/>
    <n v="36"/>
    <n v="1"/>
    <n v="1"/>
    <n v="2"/>
    <n v="11210"/>
    <n v="1079"/>
    <n v="10131"/>
    <n v="0.65100000000000002"/>
    <n v="7206"/>
    <n v="86"/>
    <n v="0.53600000000000003"/>
    <n v="9.6000000000000002E-2"/>
    <s v="5.1697e-05"/>
    <n v="0.99995000000000001"/>
    <s v="13.288744198224045"/>
    <s v="94.31047553656684"/>
    <s v="4.884493006497335"/>
    <s v="0.6065651282284501"/>
    <n v="761818758"/>
    <x v="0"/>
    <n v="3.7789578000000003E-4"/>
    <x v="0"/>
  </r>
  <r>
    <n v="63"/>
    <n v="0"/>
    <n v="0"/>
    <n v="0"/>
    <n v="2"/>
    <n v="4"/>
    <n v="0"/>
    <n v="44"/>
    <n v="3"/>
    <n v="4"/>
    <n v="2"/>
    <n v="1938"/>
    <n v="0"/>
    <n v="1938"/>
    <n v="0.53600000000000003"/>
    <n v="3974"/>
    <n v="56"/>
    <n v="0.93100000000000005"/>
    <n v="0"/>
    <n v="1.8136000000000001E-4"/>
    <n v="0.99982000000000004"/>
    <s v="37.447612421582406"/>
    <s v="29.13657574635721"/>
    <s v="28.633529372312275"/>
    <s v="8.239719825638806"/>
    <n v="779070033"/>
    <x v="0"/>
    <n v="1.3126813999999999E-3"/>
    <x v="0"/>
  </r>
  <r>
    <n v="44"/>
    <n v="0"/>
    <n v="3"/>
    <n v="6"/>
    <n v="0"/>
    <n v="1"/>
    <n v="0"/>
    <n v="34"/>
    <n v="2"/>
    <n v="3"/>
    <n v="2"/>
    <n v="1689"/>
    <n v="0"/>
    <n v="1689"/>
    <n v="0.20200000000000001"/>
    <n v="1588"/>
    <n v="37"/>
    <n v="0.27600000000000002"/>
    <n v="0"/>
    <n v="0.99514999999999998"/>
    <n v="4.8496700000000004E-3"/>
    <n v="20.006684725366298"/>
    <n v="4.8177506071238003"/>
    <s v="154.8609378506918"/>
    <s v="2.3048777523177466"/>
    <n v="709232808"/>
    <x v="1"/>
    <n v="0.99868020000000002"/>
    <x v="1"/>
  </r>
  <r>
    <n v="54"/>
    <n v="0"/>
    <n v="3"/>
    <n v="5"/>
    <n v="1"/>
    <n v="1"/>
    <n v="0"/>
    <n v="49"/>
    <n v="5"/>
    <n v="3"/>
    <n v="2"/>
    <n v="5335"/>
    <n v="1373"/>
    <n v="3962"/>
    <n v="0.55800000000000005"/>
    <n v="1435"/>
    <n v="29"/>
    <n v="0.61099999999999999"/>
    <n v="0.25700000000000001"/>
    <n v="1.9191E-4"/>
    <n v="0.99980999999999998"/>
    <s v="32.68211494236728"/>
    <s v="1.5498643313963036"/>
    <s v="0.5215182579558872"/>
    <s v="1.0073184313518682"/>
    <n v="814312308"/>
    <x v="0"/>
    <n v="1.0598798E-3"/>
    <x v="0"/>
  </r>
  <r>
    <n v="56"/>
    <n v="1"/>
    <n v="3"/>
    <n v="3"/>
    <n v="2"/>
    <n v="2"/>
    <n v="0"/>
    <n v="45"/>
    <n v="2"/>
    <n v="1"/>
    <n v="3"/>
    <n v="8512"/>
    <n v="0"/>
    <n v="8512"/>
    <n v="1.038"/>
    <n v="811"/>
    <n v="27"/>
    <n v="1.25"/>
    <n v="0"/>
    <n v="0.98941000000000001"/>
    <n v="1.059E-2"/>
    <s v="7.610846645741227"/>
    <s v="11.543804969314431"/>
    <s v="27.391458325127864"/>
    <s v="0.8118849442605303"/>
    <n v="720426708"/>
    <x v="1"/>
    <n v="0.99828510000000004"/>
    <x v="1"/>
  </r>
  <r>
    <n v="52"/>
    <n v="0"/>
    <n v="2"/>
    <n v="2"/>
    <n v="2"/>
    <n v="1"/>
    <n v="0"/>
    <n v="44"/>
    <n v="6"/>
    <n v="2"/>
    <n v="3"/>
    <n v="3360"/>
    <n v="1219"/>
    <n v="2141"/>
    <n v="0.41199999999999998"/>
    <n v="1309"/>
    <n v="30"/>
    <n v="1"/>
    <n v="0.36299999999999999"/>
    <n v="1.9143E-4"/>
    <n v="0.99980999999999998"/>
    <n v="9.7920111872148698"/>
    <s v="4.546158290400079"/>
    <s v="22.588147738361112"/>
    <n v="19.346090146363299"/>
    <n v="710581758"/>
    <x v="0"/>
    <n v="9.8706899999999992E-4"/>
    <x v="0"/>
  </r>
  <r>
    <n v="50"/>
    <n v="0"/>
    <n v="3"/>
    <n v="2"/>
    <n v="1"/>
    <n v="4"/>
    <n v="0"/>
    <n v="36"/>
    <n v="2"/>
    <n v="3"/>
    <n v="2"/>
    <n v="2999"/>
    <n v="1817"/>
    <n v="1182"/>
    <n v="0.67800000000000005"/>
    <n v="5119"/>
    <n v="83"/>
    <n v="0.76600000000000001"/>
    <n v="0.60599999999999998"/>
    <n v="1.8665000000000001E-4"/>
    <n v="0.99980999999999998"/>
    <s v="25.99876206498047"/>
    <s v="59.74517782915814"/>
    <s v="8.678682820338436"/>
    <s v="8.731855106658221"/>
    <n v="715447008"/>
    <x v="0"/>
    <n v="3.2101269999999999E-4"/>
    <x v="0"/>
  </r>
  <r>
    <n v="54"/>
    <n v="1"/>
    <n v="1"/>
    <n v="4"/>
    <n v="3"/>
    <n v="3"/>
    <n v="0"/>
    <n v="36"/>
    <n v="1"/>
    <n v="3"/>
    <n v="2"/>
    <n v="18512"/>
    <n v="1664"/>
    <n v="16848"/>
    <n v="0.88900000000000001"/>
    <n v="8019"/>
    <n v="57"/>
    <n v="0.58299999999999996"/>
    <n v="0.09"/>
    <n v="0.99499000000000004"/>
    <n v="5.0099999999999997E-3"/>
    <s v="12.95462435280593"/>
    <s v="10.479989898511745"/>
    <s v="15.311762178129946"/>
    <s v="19.46593786307807"/>
    <n v="708152358"/>
    <x v="1"/>
    <n v="0.99064260000000004"/>
    <x v="1"/>
  </r>
  <r>
    <n v="52"/>
    <n v="0"/>
    <n v="1"/>
    <n v="2"/>
    <n v="2"/>
    <n v="5"/>
    <n v="0"/>
    <n v="35"/>
    <n v="4"/>
    <n v="4"/>
    <n v="2"/>
    <n v="2411"/>
    <n v="1379"/>
    <n v="1032"/>
    <n v="0.86899999999999999"/>
    <n v="4812"/>
    <n v="79"/>
    <n v="0.71699999999999997"/>
    <n v="0.57199999999999995"/>
    <n v="2.0404E-4"/>
    <n v="0.99980000000000002"/>
    <s v="15.08036225713455"/>
    <s v="18.282826287365182"/>
    <s v="2.512722359902104"/>
    <s v="25.445223373456216"/>
    <n v="709780158"/>
    <x v="0"/>
    <n v="3.2101269999999999E-4"/>
    <x v="0"/>
  </r>
  <r>
    <n v="45"/>
    <n v="1"/>
    <n v="2"/>
    <n v="2"/>
    <n v="2"/>
    <n v="4"/>
    <n v="3"/>
    <n v="32"/>
    <n v="2"/>
    <n v="1"/>
    <n v="3"/>
    <n v="12695"/>
    <n v="1613"/>
    <n v="11082"/>
    <n v="0.85199999999999998"/>
    <n v="8328"/>
    <n v="94"/>
    <n v="0.84299999999999997"/>
    <n v="0.127"/>
    <s v="8.3703e-05"/>
    <n v="0.99992000000000003"/>
    <s v="1.6791417599423828"/>
    <s v="41.03725466292561"/>
    <n v="45.351981987988502"/>
    <s v="1.6202444412052306"/>
    <n v="712938258"/>
    <x v="0"/>
    <n v="3.6856539999999998E-4"/>
    <x v="0"/>
  </r>
  <r>
    <n v="50"/>
    <n v="0"/>
    <n v="0"/>
    <n v="5"/>
    <n v="1"/>
    <n v="4"/>
    <n v="0"/>
    <n v="42"/>
    <n v="3"/>
    <n v="4"/>
    <n v="2"/>
    <n v="3749"/>
    <n v="1594"/>
    <n v="2155"/>
    <n v="0.73799999999999999"/>
    <n v="7990"/>
    <n v="89"/>
    <n v="0.53400000000000003"/>
    <n v="0.42499999999999999"/>
    <n v="1.918E-4"/>
    <n v="0.99980999999999998"/>
    <s v="14.458065039963117"/>
    <s v="99.13599943458485"/>
    <s v="90.46298533737364"/>
    <s v="28.09315406863243"/>
    <n v="789525408"/>
    <x v="0"/>
    <n v="3.7789578000000003E-4"/>
    <x v="0"/>
  </r>
  <r>
    <n v="49"/>
    <n v="0"/>
    <n v="0"/>
    <n v="4"/>
    <n v="1"/>
    <n v="4"/>
    <n v="0"/>
    <n v="36"/>
    <n v="6"/>
    <n v="3"/>
    <n v="3"/>
    <n v="3007"/>
    <n v="2517"/>
    <n v="490"/>
    <n v="0.85299999999999998"/>
    <n v="4423"/>
    <n v="67"/>
    <n v="0.67500000000000004"/>
    <n v="0.83699999999999997"/>
    <n v="3.0545000000000002E-4"/>
    <n v="0.99968999999999997"/>
    <s v="14.811523909605528"/>
    <s v="31.966004826370845"/>
    <n v="2.4130508766682301"/>
    <s v="2.144196888654133"/>
    <n v="710536983"/>
    <x v="0"/>
    <n v="3.4692350000000002E-4"/>
    <x v="0"/>
  </r>
  <r>
    <n v="46"/>
    <n v="1"/>
    <n v="1"/>
    <n v="6"/>
    <n v="1"/>
    <n v="2"/>
    <n v="0"/>
    <n v="39"/>
    <n v="4"/>
    <n v="3"/>
    <n v="3"/>
    <n v="5374"/>
    <n v="2324"/>
    <n v="3050"/>
    <n v="0.42299999999999999"/>
    <n v="1557"/>
    <n v="49"/>
    <n v="0.4"/>
    <n v="0.432"/>
    <n v="3.1210999999999999E-4"/>
    <n v="0.99968999999999997"/>
    <s v="16.36522510564421"/>
    <s v="19.46838595567909"/>
    <s v="72.01829437495847"/>
    <n v="8.6563811026244792"/>
    <n v="759823158"/>
    <x v="0"/>
    <n v="1.0163307E-3"/>
    <x v="0"/>
  </r>
  <r>
    <n v="47"/>
    <n v="0"/>
    <n v="2"/>
    <n v="1"/>
    <n v="1"/>
    <n v="4"/>
    <n v="0"/>
    <n v="35"/>
    <n v="3"/>
    <n v="2"/>
    <n v="2"/>
    <n v="5544"/>
    <n v="1184"/>
    <n v="4360"/>
    <n v="0.85"/>
    <n v="1336"/>
    <n v="38"/>
    <n v="0.65200000000000002"/>
    <n v="0.214"/>
    <n v="1.6470999999999999E-4"/>
    <n v="0.99983999999999995"/>
    <s v="4.301554031476946"/>
    <s v="89.21204955924536"/>
    <s v="9.457238805312771"/>
    <s v="14.755843392950966"/>
    <n v="712027683"/>
    <x v="0"/>
    <n v="1.0634780000000001E-3"/>
    <x v="0"/>
  </r>
  <r>
    <n v="49"/>
    <n v="0"/>
    <n v="1"/>
    <n v="0"/>
    <n v="1"/>
    <n v="4"/>
    <n v="0"/>
    <n v="43"/>
    <n v="4"/>
    <n v="3"/>
    <n v="2"/>
    <n v="1438.3"/>
    <n v="786"/>
    <n v="652.29999999999995"/>
    <n v="0.60899999999999999"/>
    <n v="4094"/>
    <n v="64"/>
    <n v="0.56100000000000005"/>
    <n v="0.54600000000000004"/>
    <n v="1.6415000000000001E-4"/>
    <n v="0.99983999999999995"/>
    <s v="50.421882251630784"/>
    <s v="6.212404821034276"/>
    <s v="46.71841076754346"/>
    <s v="6.271641784524669"/>
    <n v="767574108"/>
    <x v="0"/>
    <n v="5.666534E-4"/>
    <x v="0"/>
  </r>
  <r>
    <n v="65"/>
    <n v="1"/>
    <n v="0"/>
    <n v="2"/>
    <n v="1"/>
    <n v="4"/>
    <n v="0"/>
    <n v="56"/>
    <n v="6"/>
    <n v="3"/>
    <n v="2"/>
    <n v="2541"/>
    <n v="1616"/>
    <n v="925"/>
    <n v="0.41699999999999998"/>
    <n v="1416"/>
    <n v="27"/>
    <n v="0.58799999999999997"/>
    <n v="0.63600000000000001"/>
    <n v="1.5435000000000001E-4"/>
    <n v="0.99985000000000002"/>
    <s v="22.41646749220583"/>
    <s v="80.94084450449786"/>
    <s v="8.257747239536716"/>
    <s v="2.192546714474284"/>
    <n v="710523333"/>
    <x v="0"/>
    <n v="1.0598798E-3"/>
    <x v="0"/>
  </r>
  <r>
    <n v="52"/>
    <n v="0"/>
    <n v="1"/>
    <n v="3"/>
    <n v="2"/>
    <n v="4"/>
    <n v="0"/>
    <n v="36"/>
    <n v="3"/>
    <n v="3"/>
    <n v="2"/>
    <n v="1795"/>
    <n v="0"/>
    <n v="1795"/>
    <n v="0.71799999999999997"/>
    <n v="2281"/>
    <n v="55"/>
    <n v="0.61799999999999999"/>
    <n v="0"/>
    <n v="0.99395"/>
    <n v="6.0499999999999998E-3"/>
    <n v="47.066380673921202"/>
    <s v="23.480043434517103"/>
    <s v="92.83331955204888"/>
    <s v="8.252633438409807"/>
    <n v="712448658"/>
    <x v="1"/>
    <n v="0.99657320000000005"/>
    <x v="1"/>
  </r>
  <r>
    <n v="46"/>
    <n v="1"/>
    <n v="4"/>
    <n v="6"/>
    <n v="0"/>
    <n v="2"/>
    <n v="0"/>
    <n v="32"/>
    <n v="5"/>
    <n v="3"/>
    <n v="3"/>
    <n v="1438.3"/>
    <n v="738"/>
    <n v="700.3"/>
    <n v="0.70899999999999996"/>
    <n v="4368"/>
    <n v="87"/>
    <n v="0.74"/>
    <n v="0.51300000000000001"/>
    <n v="3.4872000000000001E-4"/>
    <n v="0.99965000000000004"/>
    <s v="20.96994087793744"/>
    <s v="19.64754468277024"/>
    <s v="48.95396053235586"/>
    <s v="5.565022872317858"/>
    <n v="717849708"/>
    <x v="0"/>
    <n v="5.4489190000000002E-4"/>
    <x v="0"/>
  </r>
  <r>
    <n v="45"/>
    <n v="1"/>
    <n v="2"/>
    <n v="0"/>
    <n v="0"/>
    <n v="1"/>
    <n v="0"/>
    <n v="37"/>
    <n v="5"/>
    <n v="1"/>
    <n v="2"/>
    <n v="10991"/>
    <n v="1328"/>
    <n v="9663"/>
    <n v="1.0269999999999999"/>
    <n v="3692"/>
    <n v="60"/>
    <n v="0.71399999999999997"/>
    <n v="0.121"/>
    <s v="5.3547e-05"/>
    <n v="0.99995000000000001"/>
    <s v="65.15263560701527"/>
    <s v="49.451768904175744"/>
    <s v="13.72932591086141"/>
    <s v="2.4413635762944668"/>
    <n v="713682708"/>
    <x v="0"/>
    <n v="3.7196460000000001E-4"/>
    <x v="0"/>
  </r>
  <r>
    <n v="36"/>
    <n v="0"/>
    <n v="1"/>
    <n v="6"/>
    <n v="2"/>
    <n v="5"/>
    <n v="0"/>
    <n v="31"/>
    <n v="6"/>
    <n v="1"/>
    <n v="2"/>
    <n v="2222"/>
    <n v="0"/>
    <n v="2222"/>
    <n v="0.76900000000000002"/>
    <n v="4095"/>
    <n v="65"/>
    <n v="0.91200000000000003"/>
    <n v="0"/>
    <s v="5.6825e-05"/>
    <n v="0.99994000000000005"/>
    <s v="5.953994503340044"/>
    <s v="50.36257138078704"/>
    <s v="24.93325233909656"/>
    <s v="1.119071152389555"/>
    <n v="714028083"/>
    <x v="0"/>
    <n v="7.6807226000000001E-4"/>
    <x v="0"/>
  </r>
  <r>
    <n v="49"/>
    <n v="1"/>
    <n v="5"/>
    <n v="3"/>
    <n v="1"/>
    <n v="3"/>
    <n v="0"/>
    <n v="36"/>
    <n v="6"/>
    <n v="2"/>
    <n v="2"/>
    <n v="2292"/>
    <n v="0"/>
    <n v="2292"/>
    <n v="0.97599999999999998"/>
    <n v="2584"/>
    <n v="60"/>
    <n v="0.5"/>
    <n v="0"/>
    <n v="1.1423E-4"/>
    <n v="0.99988999999999995"/>
    <s v="8.634394013690448"/>
    <s v="16.827123985952543"/>
    <s v="89.61209181589354"/>
    <s v="7.181082998119057"/>
    <n v="708382083"/>
    <x v="0"/>
    <n v="1.1309098000000001E-3"/>
    <x v="0"/>
  </r>
  <r>
    <n v="50"/>
    <n v="0"/>
    <n v="2"/>
    <n v="5"/>
    <n v="1"/>
    <n v="1"/>
    <n v="0"/>
    <n v="36"/>
    <n v="1"/>
    <n v="3"/>
    <n v="1"/>
    <n v="1438.3"/>
    <n v="458"/>
    <n v="980.3"/>
    <n v="0.61299999999999999"/>
    <n v="1863"/>
    <n v="42"/>
    <n v="0.312"/>
    <n v="0.318"/>
    <n v="0.99111000000000005"/>
    <n v="8.8900000000000003E-3"/>
    <s v="29.669629817861804"/>
    <s v="1.2559213645135163"/>
    <s v="23.503195341461847"/>
    <s v="11.075967347641178"/>
    <n v="711588708"/>
    <x v="1"/>
    <n v="0.99840622999999995"/>
    <x v="1"/>
  </r>
  <r>
    <n v="37"/>
    <n v="1"/>
    <n v="2"/>
    <n v="5"/>
    <n v="2"/>
    <n v="5"/>
    <n v="0"/>
    <n v="28"/>
    <n v="5"/>
    <n v="3"/>
    <n v="3"/>
    <n v="7147"/>
    <n v="1424"/>
    <n v="5723"/>
    <n v="0.82099999999999995"/>
    <n v="2539"/>
    <n v="50"/>
    <n v="1.2729999999999999"/>
    <n v="0.19900000000000001"/>
    <n v="3.1104E-4"/>
    <n v="0.99968999999999997"/>
    <s v="36.91352527924096"/>
    <s v="40.58355331990688"/>
    <s v="46.18958563056781"/>
    <s v="14.064132491996665"/>
    <n v="713067033"/>
    <x v="0"/>
    <n v="1.0196802000000001E-3"/>
    <x v="0"/>
  </r>
  <r>
    <n v="54"/>
    <n v="0"/>
    <n v="1"/>
    <n v="3"/>
    <n v="1"/>
    <n v="4"/>
    <n v="0"/>
    <n v="43"/>
    <n v="6"/>
    <n v="2"/>
    <n v="3"/>
    <n v="2306"/>
    <n v="2200"/>
    <n v="106"/>
    <n v="0.69699999999999995"/>
    <n v="2097"/>
    <n v="57"/>
    <n v="0.54100000000000004"/>
    <n v="0.95399999999999996"/>
    <n v="1.7468E-4"/>
    <n v="0.99983"/>
    <s v="34.627591843680044"/>
    <s v="5.327414223806806"/>
    <s v="38.65472139603962"/>
    <s v="2.986905875134428"/>
    <n v="712040433"/>
    <x v="0"/>
    <n v="5.6312064000000001E-4"/>
    <x v="0"/>
  </r>
  <r>
    <n v="36"/>
    <n v="1"/>
    <n v="2"/>
    <n v="3"/>
    <n v="2"/>
    <n v="0"/>
    <n v="0"/>
    <n v="36"/>
    <n v="4"/>
    <n v="1"/>
    <n v="2"/>
    <n v="11791"/>
    <n v="1168"/>
    <n v="10623"/>
    <n v="0.66200000000000003"/>
    <n v="14885"/>
    <n v="101"/>
    <n v="0.629"/>
    <n v="9.9000000000000005E-2"/>
    <s v="5.3542e-05"/>
    <n v="0.99995000000000001"/>
    <s v="22.785838642063133"/>
    <s v="9.884120472821513"/>
    <s v="22.73474960867623"/>
    <s v="3.2984757359922705"/>
    <n v="721459008"/>
    <x v="0"/>
    <n v="3.5533762999999998E-4"/>
    <x v="0"/>
  </r>
  <r>
    <n v="50"/>
    <n v="0"/>
    <n v="3"/>
    <n v="2"/>
    <n v="3"/>
    <n v="4"/>
    <n v="0"/>
    <n v="39"/>
    <n v="1"/>
    <n v="1"/>
    <n v="3"/>
    <n v="3287"/>
    <n v="2517"/>
    <n v="770"/>
    <n v="0.58599999999999997"/>
    <n v="4148"/>
    <n v="83"/>
    <n v="0.66"/>
    <n v="0.76600000000000001"/>
    <s v="9.6126e-05"/>
    <n v="0.99990000000000001"/>
    <s v="26.140674176794104"/>
    <s v="3.397774262790522"/>
    <s v="46.52282461179859"/>
    <s v="1.817619477528407"/>
    <n v="710308983"/>
    <x v="0"/>
    <n v="3.4692350000000002E-4"/>
    <x v="0"/>
  </r>
  <r>
    <n v="38"/>
    <n v="0"/>
    <n v="2"/>
    <n v="3"/>
    <n v="2"/>
    <n v="4"/>
    <n v="0"/>
    <n v="16"/>
    <n v="2"/>
    <n v="1"/>
    <n v="2"/>
    <n v="2703"/>
    <n v="0"/>
    <n v="2703"/>
    <n v="0.88200000000000001"/>
    <n v="2752"/>
    <n v="43"/>
    <n v="0.433"/>
    <n v="0"/>
    <n v="0.98167000000000004"/>
    <n v="1.8329999999999999E-2"/>
    <s v="8.845726266286622"/>
    <s v="97.91843527226597"/>
    <s v="27.446740862497524"/>
    <s v="3.686608166966604"/>
    <n v="719821908"/>
    <x v="1"/>
    <n v="0.99872713999999996"/>
    <x v="1"/>
  </r>
  <r>
    <n v="35"/>
    <n v="0"/>
    <n v="2"/>
    <n v="3"/>
    <n v="1"/>
    <n v="4"/>
    <n v="0"/>
    <n v="36"/>
    <n v="4"/>
    <n v="3"/>
    <n v="1"/>
    <n v="1476"/>
    <n v="0"/>
    <n v="1476"/>
    <n v="0.59199999999999997"/>
    <n v="4279"/>
    <n v="76"/>
    <n v="0.76700000000000002"/>
    <n v="0"/>
    <n v="1.0545E-4"/>
    <n v="0.99988999999999995"/>
    <s v="44.86999474779172"/>
    <s v="31.431298364604903"/>
    <s v="86.73067450431165"/>
    <s v="23.716921897049875"/>
    <n v="716201133"/>
    <x v="0"/>
    <n v="6.9517245999999998E-4"/>
    <x v="0"/>
  </r>
  <r>
    <n v="32"/>
    <n v="0"/>
    <n v="2"/>
    <n v="2"/>
    <n v="0"/>
    <n v="5"/>
    <n v="3"/>
    <n v="27"/>
    <n v="2"/>
    <n v="3"/>
    <n v="1"/>
    <n v="33779"/>
    <n v="1526"/>
    <n v="32253"/>
    <n v="0.879"/>
    <n v="15200"/>
    <n v="126"/>
    <n v="0.8"/>
    <n v="4.4999999999999998E-2"/>
    <s v="9.8015e-05"/>
    <n v="0.99990000000000001"/>
    <s v="1.8022016133528915"/>
    <s v="38.80022154940022"/>
    <s v="33.76649482291186"/>
    <s v="14.389702912753195"/>
    <n v="806917983"/>
    <x v="0"/>
    <n v="3.8573547000000003E-4"/>
    <x v="0"/>
  </r>
  <r>
    <n v="41"/>
    <n v="0"/>
    <n v="2"/>
    <n v="2"/>
    <n v="3"/>
    <n v="1"/>
    <n v="0"/>
    <n v="29"/>
    <n v="6"/>
    <n v="2"/>
    <n v="3"/>
    <n v="4663"/>
    <n v="0"/>
    <n v="4663"/>
    <n v="0.89200000000000002"/>
    <n v="3831"/>
    <n v="81"/>
    <n v="0.76100000000000001"/>
    <n v="0"/>
    <n v="1.9143E-4"/>
    <n v="0.99980999999999998"/>
    <s v="32.882432185596365"/>
    <s v="10.754838521528518"/>
    <s v="116.5595435623711"/>
    <n v="2.2195153153398302"/>
    <n v="771516333"/>
    <x v="0"/>
    <n v="7.4699510000000001E-4"/>
    <x v="0"/>
  </r>
  <r>
    <n v="44"/>
    <n v="1"/>
    <n v="3"/>
    <n v="0"/>
    <n v="1"/>
    <n v="2"/>
    <n v="1"/>
    <n v="34"/>
    <n v="3"/>
    <n v="1"/>
    <n v="3"/>
    <n v="34516"/>
    <n v="1543"/>
    <n v="32973"/>
    <n v="0.77400000000000002"/>
    <n v="13967"/>
    <n v="101"/>
    <n v="0.71199999999999997"/>
    <n v="4.4999999999999998E-2"/>
    <n v="1.0767E-4"/>
    <n v="0.99988999999999995"/>
    <s v="1.681931474278051"/>
    <n v="2.1419863471101599E-2"/>
    <s v="90.03035876225321"/>
    <s v="14.773178114456456"/>
    <n v="710244108"/>
    <x v="0"/>
    <n v="3.8573547000000003E-4"/>
    <x v="0"/>
  </r>
  <r>
    <n v="38"/>
    <n v="1"/>
    <n v="2"/>
    <n v="3"/>
    <n v="2"/>
    <n v="2"/>
    <n v="1"/>
    <n v="18"/>
    <n v="1"/>
    <n v="2"/>
    <n v="3"/>
    <n v="34516"/>
    <n v="1494"/>
    <n v="33022"/>
    <n v="0.58799999999999997"/>
    <n v="7885"/>
    <n v="85"/>
    <n v="0.63500000000000001"/>
    <n v="4.2999999999999997E-2"/>
    <n v="2.1440000000000001E-4"/>
    <n v="0.99978999999999996"/>
    <s v="10.135976115828612"/>
    <s v="6.827640511248895"/>
    <s v="0.4387714199280519"/>
    <s v="11.183683981929969"/>
    <n v="719296383"/>
    <x v="0"/>
    <n v="4.2060707000000003E-4"/>
    <x v="0"/>
  </r>
  <r>
    <n v="46"/>
    <n v="1"/>
    <n v="5"/>
    <n v="3"/>
    <n v="2"/>
    <n v="2"/>
    <n v="0"/>
    <n v="41"/>
    <n v="3"/>
    <n v="3"/>
    <n v="4"/>
    <n v="7478"/>
    <n v="1775"/>
    <n v="5703"/>
    <n v="0.54"/>
    <n v="4042"/>
    <n v="79"/>
    <n v="0.49099999999999999"/>
    <n v="0.23699999999999999"/>
    <n v="5.1787999999999997E-4"/>
    <n v="0.99948000000000004"/>
    <s v="35.95571694871694"/>
    <s v="39.55536198163814"/>
    <s v="16.045707426699334"/>
    <s v="2.8016328720859125"/>
    <n v="819151083"/>
    <x v="0"/>
    <n v="3.5747702000000001E-4"/>
    <x v="0"/>
  </r>
  <r>
    <n v="46"/>
    <n v="1"/>
    <n v="5"/>
    <n v="5"/>
    <n v="3"/>
    <n v="1"/>
    <n v="0"/>
    <n v="40"/>
    <n v="5"/>
    <n v="4"/>
    <n v="3"/>
    <n v="6185"/>
    <n v="1960"/>
    <n v="4225"/>
    <n v="0.66900000000000004"/>
    <n v="2225"/>
    <n v="45"/>
    <n v="0.875"/>
    <n v="0.317"/>
    <n v="0.99743000000000004"/>
    <n v="2.5693000000000001E-3"/>
    <s v="44.09358676803088"/>
    <s v="28.888462937942904"/>
    <s v="63.31394412717543"/>
    <s v="17.84586443318436"/>
    <n v="785262333"/>
    <x v="1"/>
    <n v="0.99482179999999998"/>
    <x v="1"/>
  </r>
  <r>
    <n v="49"/>
    <n v="1"/>
    <n v="4"/>
    <n v="6"/>
    <n v="1"/>
    <n v="2"/>
    <n v="3"/>
    <n v="32"/>
    <n v="5"/>
    <n v="2"/>
    <n v="3"/>
    <n v="25620"/>
    <n v="1107"/>
    <n v="24513"/>
    <n v="0.97099999999999997"/>
    <n v="3503"/>
    <n v="66"/>
    <n v="0.65"/>
    <n v="4.2999999999999997E-2"/>
    <n v="1.994E-4"/>
    <n v="0.99980000000000002"/>
    <n v="22.360464048992799"/>
    <s v="68.31411395384494"/>
    <s v="4.834002973919406"/>
    <s v="13.613987841377565"/>
    <n v="779661033"/>
    <x v="0"/>
    <n v="3.756586E-4"/>
    <x v="0"/>
  </r>
  <r>
    <n v="43"/>
    <n v="1"/>
    <n v="3"/>
    <n v="5"/>
    <n v="2"/>
    <n v="2"/>
    <n v="0"/>
    <n v="30"/>
    <n v="1"/>
    <n v="2"/>
    <n v="0"/>
    <n v="1438.3"/>
    <n v="0"/>
    <n v="1438.3"/>
    <n v="0.751"/>
    <n v="5200"/>
    <n v="89"/>
    <n v="0.67900000000000005"/>
    <n v="0"/>
    <s v="4.4796e-05"/>
    <n v="0.99995999999999996"/>
    <n v="110.304876505058"/>
    <s v="112.98840221322192"/>
    <s v="35.61139976110486"/>
    <s v="4.780204452438488"/>
    <n v="712121508"/>
    <x v="0"/>
    <n v="6.9517245999999998E-4"/>
    <x v="0"/>
  </r>
  <r>
    <n v="41"/>
    <n v="1"/>
    <n v="4"/>
    <n v="5"/>
    <n v="2"/>
    <n v="3"/>
    <n v="0"/>
    <n v="33"/>
    <n v="6"/>
    <n v="3"/>
    <n v="3"/>
    <n v="4388"/>
    <n v="1519"/>
    <n v="2869"/>
    <n v="0.78700000000000003"/>
    <n v="4406"/>
    <n v="74"/>
    <n v="0.57399999999999995"/>
    <n v="0.34599999999999997"/>
    <n v="3.2620000000000001E-4"/>
    <n v="0.99966999999999995"/>
    <s v="30.81432493846018"/>
    <s v="41.20022769886643"/>
    <s v="1.0856929925629375"/>
    <n v="9.4012140831617206"/>
    <n v="716628633"/>
    <x v="0"/>
    <n v="3.2914013999999999E-4"/>
    <x v="0"/>
  </r>
  <r>
    <n v="32"/>
    <n v="1"/>
    <n v="3"/>
    <n v="3"/>
    <n v="2"/>
    <n v="1"/>
    <n v="0"/>
    <n v="36"/>
    <n v="2"/>
    <n v="2"/>
    <n v="1"/>
    <n v="3845"/>
    <n v="1871"/>
    <n v="1974"/>
    <n v="0.84699999999999998"/>
    <n v="14593"/>
    <n v="110"/>
    <n v="0.80300000000000005"/>
    <n v="0.48699999999999999"/>
    <s v="6.9242e-05"/>
    <n v="0.99992999999999999"/>
    <n v="64.351492062213197"/>
    <s v="57.635692122655485"/>
    <s v="12.556000789060493"/>
    <n v="3.0686600993110802"/>
    <n v="716947083"/>
    <x v="0"/>
    <n v="3.4656386999999997E-4"/>
    <x v="0"/>
  </r>
  <r>
    <n v="44"/>
    <n v="1"/>
    <n v="2"/>
    <n v="4"/>
    <n v="1"/>
    <n v="3"/>
    <n v="0"/>
    <n v="37"/>
    <n v="5"/>
    <n v="1"/>
    <n v="1"/>
    <n v="34058"/>
    <n v="0"/>
    <n v="34058"/>
    <n v="0.55200000000000005"/>
    <n v="4043"/>
    <n v="57"/>
    <n v="0.78100000000000003"/>
    <n v="0"/>
    <s v="3.9082e-05"/>
    <n v="0.99995999999999996"/>
    <s v="8.641145507344374"/>
    <s v="4.793794072630301"/>
    <s v="112.58374013830642"/>
    <s v="16.341894957305733"/>
    <n v="790108908"/>
    <x v="0"/>
    <n v="1.2228143999999999E-3"/>
    <x v="0"/>
  </r>
  <r>
    <n v="44"/>
    <n v="0"/>
    <n v="2"/>
    <n v="6"/>
    <n v="3"/>
    <n v="4"/>
    <n v="0"/>
    <n v="32"/>
    <n v="5"/>
    <n v="1"/>
    <n v="3"/>
    <n v="4852"/>
    <n v="1777"/>
    <n v="3075"/>
    <n v="0.66700000000000004"/>
    <n v="1775"/>
    <n v="55"/>
    <n v="1.0369999999999999"/>
    <n v="0.36599999999999999"/>
    <n v="1.0183000000000001E-4"/>
    <n v="0.99990000000000001"/>
    <s v="42.76294865729112"/>
    <s v="54.27051532350432"/>
    <s v="130.21000840435647"/>
    <s v="4.570794733866872"/>
    <n v="708679383"/>
    <x v="0"/>
    <n v="4.5326436999999997E-4"/>
    <x v="0"/>
  </r>
  <r>
    <n v="46"/>
    <n v="1"/>
    <n v="5"/>
    <n v="3"/>
    <n v="1"/>
    <n v="0"/>
    <n v="0"/>
    <n v="32"/>
    <n v="5"/>
    <n v="2"/>
    <n v="2"/>
    <n v="34516"/>
    <n v="1024"/>
    <n v="33492"/>
    <n v="0.72"/>
    <n v="2436"/>
    <n v="71"/>
    <n v="0.65100000000000002"/>
    <n v="0.03"/>
    <n v="1.1423E-4"/>
    <n v="0.99988999999999995"/>
    <s v="48.80298609108202"/>
    <s v="41.31319674149972"/>
    <s v="66.54773884576082"/>
    <s v="18.62252722818512"/>
    <n v="710159658"/>
    <x v="0"/>
    <n v="4.390989E-4"/>
    <x v="0"/>
  </r>
  <r>
    <n v="46"/>
    <n v="0"/>
    <n v="4"/>
    <n v="2"/>
    <n v="2"/>
    <n v="1"/>
    <n v="0"/>
    <n v="34"/>
    <n v="6"/>
    <n v="2"/>
    <n v="1"/>
    <n v="2711"/>
    <n v="0"/>
    <n v="2711"/>
    <n v="0.63600000000000001"/>
    <n v="4795"/>
    <n v="65"/>
    <n v="1.0309999999999999"/>
    <n v="0"/>
    <s v="7.1987e-05"/>
    <n v="0.99992999999999999"/>
    <s v="48.59596426502179"/>
    <n v="33.296697701566202"/>
    <s v="79.52291507455053"/>
    <s v="3.311874281269605"/>
    <n v="715686183"/>
    <x v="0"/>
    <n v="7.6807226000000001E-4"/>
    <x v="0"/>
  </r>
  <r>
    <n v="43"/>
    <n v="1"/>
    <n v="3"/>
    <n v="5"/>
    <n v="1"/>
    <n v="3"/>
    <n v="0"/>
    <n v="36"/>
    <n v="6"/>
    <n v="1"/>
    <n v="2"/>
    <n v="28634"/>
    <n v="926"/>
    <n v="27708"/>
    <n v="0.622"/>
    <n v="4549"/>
    <n v="68"/>
    <n v="0.65900000000000003"/>
    <n v="3.2000000000000001E-2"/>
    <s v="5.8763e-05"/>
    <n v="0.99994000000000005"/>
    <s v="24.27237356552444"/>
    <s v="21.775205796010077"/>
    <s v="37.66709280505941"/>
    <s v="1.7458349326289846"/>
    <n v="755399433"/>
    <x v="0"/>
    <n v="4.3989909999999998E-4"/>
    <x v="0"/>
  </r>
  <r>
    <n v="45"/>
    <n v="0"/>
    <n v="3"/>
    <n v="0"/>
    <n v="2"/>
    <n v="5"/>
    <n v="0"/>
    <n v="33"/>
    <n v="5"/>
    <n v="3"/>
    <n v="4"/>
    <n v="4345"/>
    <n v="2198"/>
    <n v="2147"/>
    <n v="0.46500000000000002"/>
    <n v="1918"/>
    <n v="31"/>
    <n v="0.29199999999999998"/>
    <n v="0.50600000000000001"/>
    <n v="0.99807999999999997"/>
    <n v="1.9162999999999999E-3"/>
    <s v="35.93847352355683"/>
    <n v="76.852702115973599"/>
    <s v="14.73555538070333"/>
    <s v="2.953480623762466"/>
    <n v="709505808"/>
    <x v="1"/>
    <n v="0.99398624999999996"/>
    <x v="1"/>
  </r>
  <r>
    <n v="49"/>
    <n v="0"/>
    <n v="2"/>
    <n v="4"/>
    <n v="1"/>
    <n v="4"/>
    <n v="0"/>
    <n v="37"/>
    <n v="2"/>
    <n v="1"/>
    <n v="2"/>
    <n v="5500"/>
    <n v="0"/>
    <n v="5500"/>
    <n v="0.67500000000000004"/>
    <n v="14357"/>
    <n v="110"/>
    <n v="0.61799999999999999"/>
    <n v="0"/>
    <s v="6.4807e-05"/>
    <n v="0.99994000000000005"/>
    <s v="16.884559718561054"/>
    <s v="39.745503553098025"/>
    <s v="9.225115688494125"/>
    <s v="14.895429015398651"/>
    <n v="708387933"/>
    <x v="0"/>
    <n v="7.6947116999999995E-4"/>
    <x v="0"/>
  </r>
  <r>
    <n v="36"/>
    <n v="1"/>
    <n v="4"/>
    <n v="2"/>
    <n v="1"/>
    <n v="3"/>
    <n v="0"/>
    <n v="36"/>
    <n v="5"/>
    <n v="3"/>
    <n v="1"/>
    <n v="2262"/>
    <n v="1450"/>
    <n v="812"/>
    <n v="0.73499999999999999"/>
    <n v="4116"/>
    <n v="84"/>
    <n v="0.78700000000000003"/>
    <n v="0.64100000000000001"/>
    <n v="1.1377E-4"/>
    <n v="0.99988999999999995"/>
    <s v="8.734444148725782"/>
    <n v="21.588821489084602"/>
    <s v="65.28876409554167"/>
    <s v="3.339074540758805"/>
    <n v="712732908"/>
    <x v="0"/>
    <n v="3.2101269999999999E-4"/>
    <x v="0"/>
  </r>
  <r>
    <n v="55"/>
    <n v="0"/>
    <n v="3"/>
    <n v="0"/>
    <n v="2"/>
    <n v="4"/>
    <n v="0"/>
    <n v="42"/>
    <n v="5"/>
    <n v="2"/>
    <n v="1"/>
    <n v="1438.3"/>
    <n v="0"/>
    <n v="1438.3"/>
    <n v="0.61199999999999999"/>
    <n v="4660"/>
    <n v="87"/>
    <n v="0.89100000000000001"/>
    <n v="0"/>
    <s v="6.9248e-05"/>
    <n v="0.99992999999999999"/>
    <s v="8.699234585038438"/>
    <s v="9.787382129577058"/>
    <s v="67.81251227229802"/>
    <s v="6.108909412571888"/>
    <n v="712560558"/>
    <x v="0"/>
    <n v="6.9517245999999998E-4"/>
    <x v="0"/>
  </r>
  <r>
    <n v="49"/>
    <n v="1"/>
    <n v="1"/>
    <n v="1"/>
    <n v="1"/>
    <n v="0"/>
    <n v="0"/>
    <n v="38"/>
    <n v="6"/>
    <n v="1"/>
    <n v="3"/>
    <n v="9364"/>
    <n v="618"/>
    <n v="8746"/>
    <n v="0.55400000000000005"/>
    <n v="1099"/>
    <n v="27"/>
    <n v="0.8"/>
    <n v="6.6000000000000003E-2"/>
    <n v="1.2583000000000001E-4"/>
    <n v="0.99987000000000004"/>
    <s v="16.87960542101213"/>
    <s v="40.36801105938555"/>
    <s v="18.966459021670268"/>
    <s v="24.564450299950387"/>
    <n v="712454058"/>
    <x v="0"/>
    <n v="2.3098576E-3"/>
    <x v="0"/>
  </r>
  <r>
    <n v="52"/>
    <n v="0"/>
    <n v="3"/>
    <n v="2"/>
    <n v="1"/>
    <n v="5"/>
    <n v="0"/>
    <n v="39"/>
    <n v="3"/>
    <n v="3"/>
    <n v="2"/>
    <n v="4173"/>
    <n v="1771"/>
    <n v="2402"/>
    <n v="0.71099999999999997"/>
    <n v="2554"/>
    <n v="47"/>
    <n v="0.51600000000000001"/>
    <n v="0.42399999999999999"/>
    <n v="0.99467000000000005"/>
    <n v="5.3299999999999997E-3"/>
    <s v="16.565455574040687"/>
    <n v="21.358092197713699"/>
    <s v="3.528605862981858"/>
    <s v="3.851486592809937"/>
    <n v="720296808"/>
    <x v="1"/>
    <n v="0.99569339999999995"/>
    <x v="1"/>
  </r>
  <r>
    <n v="41"/>
    <n v="0"/>
    <n v="4"/>
    <n v="2"/>
    <n v="0"/>
    <n v="1"/>
    <n v="0"/>
    <n v="36"/>
    <n v="3"/>
    <n v="3"/>
    <n v="2"/>
    <n v="1919"/>
    <n v="867"/>
    <n v="1052"/>
    <n v="0.74099999999999999"/>
    <n v="4996"/>
    <n v="92"/>
    <n v="0.70399999999999996"/>
    <n v="0.45200000000000001"/>
    <n v="1.8864000000000001E-4"/>
    <n v="0.99980999999999998"/>
    <s v="11.659844215255877"/>
    <s v="27.832990611131176"/>
    <s v="124.80886790900844"/>
    <s v="7.947886183189619"/>
    <n v="710163633"/>
    <x v="0"/>
    <n v="4.3298570000000001E-4"/>
    <x v="0"/>
  </r>
  <r>
    <n v="57"/>
    <n v="1"/>
    <n v="2"/>
    <n v="2"/>
    <n v="1"/>
    <n v="3"/>
    <n v="0"/>
    <n v="40"/>
    <n v="3"/>
    <n v="2"/>
    <n v="3"/>
    <n v="12208"/>
    <n v="1980"/>
    <n v="10228"/>
    <n v="0.61599999999999999"/>
    <n v="1409"/>
    <n v="34"/>
    <n v="0.61899999999999999"/>
    <n v="0.16200000000000001"/>
    <n v="1.9143E-4"/>
    <n v="0.99980999999999998"/>
    <s v="0.6790739855621997"/>
    <s v="12.114920253831464"/>
    <s v="40.32347728497346"/>
    <s v="16.05033184606416"/>
    <n v="794545983"/>
    <x v="0"/>
    <n v="1.0903810999999999E-3"/>
    <x v="0"/>
  </r>
  <r>
    <n v="65"/>
    <n v="0"/>
    <n v="0"/>
    <n v="3"/>
    <n v="2"/>
    <n v="4"/>
    <n v="0"/>
    <n v="56"/>
    <n v="3"/>
    <n v="3"/>
    <n v="2"/>
    <n v="5951"/>
    <n v="2517"/>
    <n v="3434"/>
    <n v="0.78700000000000003"/>
    <n v="4554"/>
    <n v="83"/>
    <n v="0.69399999999999995"/>
    <n v="0.42299999999999999"/>
    <n v="1.5004999999999999E-4"/>
    <n v="0.99985000000000002"/>
    <s v="11.845122422362396"/>
    <s v="43.65759888222001"/>
    <s v="77.25878536176195"/>
    <s v="17.59791840185143"/>
    <n v="805546308"/>
    <x v="0"/>
    <n v="3.4692350000000002E-4"/>
    <x v="0"/>
  </r>
  <r>
    <n v="52"/>
    <n v="1"/>
    <n v="2"/>
    <n v="2"/>
    <n v="2"/>
    <n v="1"/>
    <n v="0"/>
    <n v="41"/>
    <n v="1"/>
    <n v="2"/>
    <n v="2"/>
    <n v="9298"/>
    <n v="1898"/>
    <n v="7400"/>
    <n v="0.65500000000000003"/>
    <n v="8427"/>
    <n v="87"/>
    <n v="0.77600000000000002"/>
    <n v="0.20399999999999999"/>
    <n v="1.1382E-4"/>
    <n v="0.99988999999999995"/>
    <s v="28.67157049841748"/>
    <s v="35.73028007628116"/>
    <s v="7.107601883390125"/>
    <s v="5.953184005185007"/>
    <n v="720474408"/>
    <x v="0"/>
    <n v="3.6856539999999998E-4"/>
    <x v="0"/>
  </r>
  <r>
    <n v="35"/>
    <n v="0"/>
    <n v="3"/>
    <n v="5"/>
    <n v="2"/>
    <n v="4"/>
    <n v="0"/>
    <n v="36"/>
    <n v="4"/>
    <n v="2"/>
    <n v="3"/>
    <n v="2624"/>
    <n v="1458"/>
    <n v="1166"/>
    <n v="0.80900000000000005"/>
    <n v="4487"/>
    <n v="61"/>
    <n v="0.74299999999999999"/>
    <n v="0.55600000000000005"/>
    <n v="2.0424000000000001E-4"/>
    <n v="0.99980000000000002"/>
    <s v="28.14043047245148"/>
    <s v="1.9987001595984617"/>
    <s v="71.66057078260783"/>
    <s v="3.9948937709835706"/>
    <n v="713926308"/>
    <x v="0"/>
    <n v="3.479205E-4"/>
    <x v="0"/>
  </r>
  <r>
    <n v="44"/>
    <n v="0"/>
    <n v="2"/>
    <n v="2"/>
    <n v="1"/>
    <n v="5"/>
    <n v="0"/>
    <n v="39"/>
    <n v="6"/>
    <n v="3"/>
    <n v="3"/>
    <n v="5666"/>
    <n v="2386"/>
    <n v="3280"/>
    <n v="0.56399999999999995"/>
    <n v="1981"/>
    <n v="42"/>
    <n v="1"/>
    <n v="0.42099999999999999"/>
    <n v="0.99670999999999998"/>
    <n v="3.29379E-3"/>
    <s v="21.66840467535739"/>
    <s v="42.71936962050884"/>
    <s v="86.76182601566279"/>
    <s v="14.364385773054156"/>
    <n v="819714408"/>
    <x v="1"/>
    <n v="0.99415189999999998"/>
    <x v="1"/>
  </r>
  <r>
    <n v="65"/>
    <n v="1"/>
    <n v="1"/>
    <n v="3"/>
    <n v="1"/>
    <n v="4"/>
    <n v="0"/>
    <n v="47"/>
    <n v="3"/>
    <n v="2"/>
    <n v="1"/>
    <n v="1759"/>
    <n v="0"/>
    <n v="1759"/>
    <n v="1.0580000000000001"/>
    <n v="821"/>
    <n v="18"/>
    <n v="0.5"/>
    <n v="0"/>
    <n v="0.98429"/>
    <n v="1.5709999999999998E-2"/>
    <s v="28.27760685392993"/>
    <s v="109.05900328319989"/>
    <s v="32.353742930466844"/>
    <s v="7.665188173771026"/>
    <n v="778663458"/>
    <x v="1"/>
    <n v="0.99870884000000004"/>
    <x v="1"/>
  </r>
  <r>
    <n v="56"/>
    <n v="0"/>
    <n v="1"/>
    <n v="2"/>
    <n v="2"/>
    <n v="1"/>
    <n v="0"/>
    <n v="37"/>
    <n v="2"/>
    <n v="4"/>
    <n v="3"/>
    <n v="2339"/>
    <n v="0"/>
    <n v="2339"/>
    <n v="0.49299999999999999"/>
    <n v="1542"/>
    <n v="45"/>
    <n v="0.60699999999999998"/>
    <n v="0"/>
    <n v="0.99709999999999999"/>
    <n v="2.90471E-3"/>
    <s v="29.670727566913826"/>
    <s v="24.02329175806521"/>
    <s v="25.651592598467605"/>
    <s v="5.157081538762104"/>
    <n v="709338633"/>
    <x v="1"/>
    <n v="0.99844339999999998"/>
    <x v="1"/>
  </r>
  <r>
    <n v="43"/>
    <n v="1"/>
    <n v="4"/>
    <n v="0"/>
    <n v="1"/>
    <n v="2"/>
    <n v="0"/>
    <n v="24"/>
    <n v="3"/>
    <n v="5"/>
    <n v="4"/>
    <n v="6231"/>
    <n v="0"/>
    <n v="6231"/>
    <n v="1.054"/>
    <n v="1448"/>
    <n v="30"/>
    <n v="0.875"/>
    <n v="0"/>
    <n v="5.8761999999999996E-4"/>
    <n v="0.99941000000000002"/>
    <s v="51.56952686687396"/>
    <s v="17.038619966369378"/>
    <n v="67.558827965304204"/>
    <s v="8.672876681600345"/>
    <n v="778706508"/>
    <x v="0"/>
    <n v="3.6041236000000001E-3"/>
    <x v="0"/>
  </r>
  <r>
    <n v="39"/>
    <n v="1"/>
    <n v="3"/>
    <n v="6"/>
    <n v="2"/>
    <n v="2"/>
    <n v="0"/>
    <n v="23"/>
    <n v="1"/>
    <n v="2"/>
    <n v="3"/>
    <n v="7821"/>
    <n v="2517"/>
    <n v="5304"/>
    <n v="0.40799999999999997"/>
    <n v="2010"/>
    <n v="43"/>
    <n v="0.34399999999999997"/>
    <n v="0.32200000000000001"/>
    <n v="0.99543999999999999"/>
    <n v="4.5580500000000001E-3"/>
    <n v="10.030085288279601"/>
    <s v="37.00823622363775"/>
    <s v="61.833621426650126"/>
    <s v="3.9879295789023694"/>
    <n v="711646908"/>
    <x v="1"/>
    <n v="0.99619150000000001"/>
    <x v="1"/>
  </r>
  <r>
    <n v="49"/>
    <n v="1"/>
    <n v="1"/>
    <n v="3"/>
    <n v="3"/>
    <n v="2"/>
    <n v="0"/>
    <n v="38"/>
    <n v="3"/>
    <n v="3"/>
    <n v="2"/>
    <n v="15898"/>
    <n v="0"/>
    <n v="15898"/>
    <n v="1.0489999999999999"/>
    <n v="4184"/>
    <n v="54"/>
    <n v="1.077"/>
    <n v="0"/>
    <n v="1.6412999999999999E-4"/>
    <n v="0.99983999999999995"/>
    <s v="22.601019626934637"/>
    <s v="13.386588610503765"/>
    <s v="37.57698253990899"/>
    <s v="17.347803116288645"/>
    <n v="720487308"/>
    <x v="0"/>
    <n v="1.4517274E-3"/>
    <x v="0"/>
  </r>
  <r>
    <n v="55"/>
    <n v="1"/>
    <n v="3"/>
    <n v="2"/>
    <n v="2"/>
    <n v="0"/>
    <n v="3"/>
    <n v="36"/>
    <n v="4"/>
    <n v="3"/>
    <n v="4"/>
    <n v="34516"/>
    <n v="0"/>
    <n v="34516"/>
    <n v="1.0069999999999999"/>
    <n v="9931"/>
    <n v="70"/>
    <n v="0.75"/>
    <n v="0"/>
    <n v="0.99794000000000005"/>
    <n v="2.0616300000000001E-3"/>
    <s v="28.176201576762384"/>
    <s v="14.535979817835477"/>
    <s v="55.913852746243634"/>
    <n v="0.31004302504108"/>
    <n v="716644008"/>
    <x v="1"/>
    <n v="0.99414259999999999"/>
    <x v="1"/>
  </r>
  <r>
    <n v="38"/>
    <n v="1"/>
    <n v="2"/>
    <n v="0"/>
    <n v="1"/>
    <n v="3"/>
    <n v="0"/>
    <n v="36"/>
    <n v="3"/>
    <n v="3"/>
    <n v="3"/>
    <n v="6452"/>
    <n v="1151"/>
    <n v="5301"/>
    <n v="0.88400000000000001"/>
    <n v="4835"/>
    <n v="84"/>
    <n v="0.71399999999999997"/>
    <n v="0.17799999999999999"/>
    <n v="2.9410999999999999E-4"/>
    <n v="0.99970999999999999"/>
    <s v="7.522037683076615"/>
    <s v="95.44154819188122"/>
    <s v="53.81277756944217"/>
    <s v="4.7322145191323575"/>
    <n v="718980633"/>
    <x v="0"/>
    <n v="3.3750932000000002E-4"/>
    <x v="0"/>
  </r>
  <r>
    <n v="49"/>
    <n v="1"/>
    <n v="2"/>
    <n v="0"/>
    <n v="2"/>
    <n v="2"/>
    <n v="0"/>
    <n v="41"/>
    <n v="6"/>
    <n v="3"/>
    <n v="4"/>
    <n v="6205"/>
    <n v="2233"/>
    <n v="3972"/>
    <n v="0.66200000000000003"/>
    <n v="3906"/>
    <n v="64"/>
    <n v="0.68400000000000005"/>
    <n v="0.36"/>
    <n v="5.0168000000000001E-4"/>
    <n v="0.99950000000000006"/>
    <s v="0.4696508200568535"/>
    <s v="8.443100033666916"/>
    <n v="38.711563673034"/>
    <s v="10.23945529943759"/>
    <n v="713368833"/>
    <x v="0"/>
    <n v="3.3750320000000002E-4"/>
    <x v="0"/>
  </r>
  <r>
    <n v="61"/>
    <n v="1"/>
    <n v="0"/>
    <n v="5"/>
    <n v="1"/>
    <n v="3"/>
    <n v="0"/>
    <n v="48"/>
    <n v="2"/>
    <n v="1"/>
    <n v="0"/>
    <n v="5362"/>
    <n v="1274"/>
    <n v="4088"/>
    <n v="1.0149999999999999"/>
    <n v="1876"/>
    <n v="41"/>
    <n v="0.78300000000000003"/>
    <n v="0.23799999999999999"/>
    <s v="1.7925e-05"/>
    <n v="0.99997999999999998"/>
    <s v="40.75268157237176"/>
    <s v="22.942853388945878"/>
    <s v="135.81693700199992"/>
    <s v="3.8283647048426186"/>
    <n v="788977833"/>
    <x v="0"/>
    <n v="1.3209343000000001E-3"/>
    <x v="0"/>
  </r>
  <r>
    <n v="49"/>
    <n v="0"/>
    <n v="1"/>
    <n v="2"/>
    <n v="1"/>
    <n v="4"/>
    <n v="0"/>
    <n v="36"/>
    <n v="3"/>
    <n v="3"/>
    <n v="0"/>
    <n v="8228"/>
    <n v="0"/>
    <n v="8228"/>
    <n v="0.94199999999999995"/>
    <n v="4277"/>
    <n v="80"/>
    <n v="0.70199999999999996"/>
    <n v="0"/>
    <s v="6.2282e-05"/>
    <n v="0.99994000000000005"/>
    <s v="21.70012107361637"/>
    <n v="35.8451013574253"/>
    <s v="88.82119869366554"/>
    <s v="11.577865492050169"/>
    <n v="710166783"/>
    <x v="0"/>
    <n v="7.4699510000000001E-4"/>
    <x v="0"/>
  </r>
  <r>
    <n v="52"/>
    <n v="0"/>
    <n v="1"/>
    <n v="1"/>
    <n v="1"/>
    <n v="4"/>
    <n v="0"/>
    <n v="39"/>
    <n v="3"/>
    <n v="1"/>
    <n v="1"/>
    <n v="1663"/>
    <n v="0"/>
    <n v="1663"/>
    <n v="0.70699999999999996"/>
    <n v="4875"/>
    <n v="86"/>
    <n v="0.65400000000000003"/>
    <n v="0"/>
    <s v="4.5115e-05"/>
    <n v="0.99995000000000001"/>
    <s v="60.88680855200564"/>
    <s v="8.809018738264513"/>
    <s v="36.767551023041385"/>
    <s v="5.810836193959332"/>
    <n v="719633508"/>
    <x v="0"/>
    <n v="6.9517245999999998E-4"/>
    <x v="0"/>
  </r>
  <r>
    <n v="50"/>
    <n v="1"/>
    <n v="2"/>
    <n v="6"/>
    <n v="2"/>
    <n v="2"/>
    <n v="0"/>
    <n v="36"/>
    <n v="3"/>
    <n v="1"/>
    <n v="1"/>
    <n v="8074"/>
    <n v="0"/>
    <n v="8074"/>
    <n v="0.52800000000000002"/>
    <n v="4347"/>
    <n v="66"/>
    <n v="0.53500000000000003"/>
    <n v="0"/>
    <s v="3.6508e-05"/>
    <n v="0.99995999999999996"/>
    <s v="12.025953839350183"/>
    <s v="37.32667168475384"/>
    <s v="6.594181034162785"/>
    <s v="9.881945863643566"/>
    <n v="714256758"/>
    <x v="0"/>
    <n v="7.9661230000000003E-4"/>
    <x v="0"/>
  </r>
  <r>
    <n v="50"/>
    <n v="0"/>
    <n v="2"/>
    <n v="5"/>
    <n v="1"/>
    <n v="5"/>
    <n v="0"/>
    <n v="45"/>
    <n v="6"/>
    <n v="1"/>
    <n v="4"/>
    <n v="5660"/>
    <n v="2401"/>
    <n v="3259"/>
    <n v="0.77900000000000003"/>
    <n v="1932"/>
    <n v="35"/>
    <n v="0.34599999999999997"/>
    <n v="0.42399999999999999"/>
    <n v="1.6249E-4"/>
    <n v="0.99983999999999995"/>
    <s v="36.94300795116862"/>
    <s v="28.415248117964545"/>
    <s v="79.63602772495612"/>
    <s v="14.84061725881284"/>
    <n v="817925058"/>
    <x v="0"/>
    <n v="1.3642918E-3"/>
    <x v="0"/>
  </r>
  <r>
    <n v="55"/>
    <n v="0"/>
    <n v="3"/>
    <n v="3"/>
    <n v="1"/>
    <n v="4"/>
    <n v="0"/>
    <n v="44"/>
    <n v="5"/>
    <n v="1"/>
    <n v="1"/>
    <n v="1438.3"/>
    <n v="0"/>
    <n v="1438.3"/>
    <n v="0.57499999999999996"/>
    <n v="4755"/>
    <n v="76"/>
    <n v="0.9"/>
    <n v="0"/>
    <s v="3.3505e-05"/>
    <n v="0.99997000000000003"/>
    <s v="30.61647095009452"/>
    <s v="1.875132829004152"/>
    <s v="16.670631290767478"/>
    <s v="2.650613089447001"/>
    <n v="710466633"/>
    <x v="0"/>
    <n v="6.9517245999999998E-4"/>
    <x v="0"/>
  </r>
  <r>
    <n v="29"/>
    <n v="1"/>
    <n v="0"/>
    <n v="3"/>
    <n v="2"/>
    <n v="1"/>
    <n v="0"/>
    <n v="36"/>
    <n v="2"/>
    <n v="3"/>
    <n v="1"/>
    <n v="4023"/>
    <n v="1437"/>
    <n v="2586"/>
    <n v="0.69"/>
    <n v="12510"/>
    <n v="96"/>
    <n v="0.92"/>
    <n v="0.35699999999999998"/>
    <s v="9.0493e-05"/>
    <n v="0.99990999999999997"/>
    <s v="22.30698829858539"/>
    <s v="17.368047272409388"/>
    <s v="136.08235918929876"/>
    <s v="7.472434067335042"/>
    <n v="719944458"/>
    <x v="0"/>
    <n v="3.6856539999999998E-4"/>
    <x v="0"/>
  </r>
  <r>
    <n v="46"/>
    <n v="0"/>
    <n v="1"/>
    <n v="6"/>
    <n v="2"/>
    <n v="4"/>
    <n v="0"/>
    <n v="40"/>
    <n v="6"/>
    <n v="4"/>
    <n v="3"/>
    <n v="2711"/>
    <n v="1793"/>
    <n v="918"/>
    <n v="0.68100000000000005"/>
    <n v="5084"/>
    <n v="79"/>
    <n v="0.71699999999999997"/>
    <n v="0.66100000000000003"/>
    <n v="3.7718000000000002E-4"/>
    <n v="0.99961999999999995"/>
    <s v="45.31841199272058"/>
    <s v="59.31367430282339"/>
    <s v="27.88738854356332"/>
    <s v="1.6366401374093842"/>
    <n v="773342808"/>
    <x v="0"/>
    <n v="3.2101269999999999E-4"/>
    <x v="0"/>
  </r>
  <r>
    <n v="55"/>
    <n v="0"/>
    <n v="2"/>
    <n v="6"/>
    <n v="2"/>
    <n v="4"/>
    <n v="0"/>
    <n v="45"/>
    <n v="6"/>
    <n v="2"/>
    <n v="3"/>
    <n v="3185"/>
    <n v="1820"/>
    <n v="1365"/>
    <n v="0.96499999999999997"/>
    <n v="5069"/>
    <n v="81"/>
    <n v="1.0249999999999999"/>
    <n v="0.57099999999999995"/>
    <n v="2.1042000000000001E-4"/>
    <n v="0.99978999999999996"/>
    <s v="15.324548922611111"/>
    <s v="96.64130763690204"/>
    <s v="28.73761967799828"/>
    <s v="1.2489263878642736"/>
    <n v="716662683"/>
    <x v="0"/>
    <n v="3.221314E-4"/>
    <x v="0"/>
  </r>
  <r>
    <n v="39"/>
    <n v="0"/>
    <n v="3"/>
    <n v="4"/>
    <n v="1"/>
    <n v="1"/>
    <n v="0"/>
    <n v="28"/>
    <n v="4"/>
    <n v="2"/>
    <n v="2"/>
    <n v="3249"/>
    <n v="2217"/>
    <n v="1032"/>
    <n v="1.06"/>
    <n v="1988"/>
    <n v="36"/>
    <n v="0.89500000000000002"/>
    <n v="0.68200000000000005"/>
    <n v="1.3897000000000001E-4"/>
    <n v="0.99985999999999997"/>
    <s v="53.70283758855893"/>
    <s v="90.41124951016036"/>
    <s v="67.31997359471204"/>
    <s v="4.048540326964062"/>
    <n v="716829483"/>
    <x v="0"/>
    <n v="1.0934846E-3"/>
    <x v="0"/>
  </r>
  <r>
    <n v="53"/>
    <n v="1"/>
    <n v="5"/>
    <n v="6"/>
    <n v="1"/>
    <n v="3"/>
    <n v="0"/>
    <n v="48"/>
    <n v="6"/>
    <n v="1"/>
    <n v="0"/>
    <n v="9517"/>
    <n v="1869"/>
    <n v="7648"/>
    <n v="0.82099999999999995"/>
    <n v="1453"/>
    <n v="26"/>
    <n v="0.85699999999999998"/>
    <n v="0.19600000000000001"/>
    <s v="2.3055e-05"/>
    <n v="0.99997999999999998"/>
    <s v="22.39816514421432"/>
    <s v="6.376938506621395"/>
    <s v="71.40379116683896"/>
    <s v="16.466043413190125"/>
    <n v="819997983"/>
    <x v="0"/>
    <n v="9.8706899999999992E-4"/>
    <x v="0"/>
  </r>
  <r>
    <n v="30"/>
    <n v="1"/>
    <n v="2"/>
    <n v="3"/>
    <n v="1"/>
    <n v="4"/>
    <n v="0"/>
    <n v="23"/>
    <n v="4"/>
    <n v="2"/>
    <n v="0"/>
    <n v="2997"/>
    <n v="1393"/>
    <n v="1604"/>
    <n v="1.1200000000000001"/>
    <n v="1577"/>
    <n v="35"/>
    <n v="0.52200000000000002"/>
    <n v="0.46500000000000002"/>
    <s v="4.0816e-05"/>
    <n v="0.99995999999999996"/>
    <s v="53.17235097799923"/>
    <s v="21.15301805508221"/>
    <s v="16.74071985301809"/>
    <n v="9.3380372169881305"/>
    <n v="754654383"/>
    <x v="0"/>
    <n v="1.1544054E-3"/>
    <x v="0"/>
  </r>
  <r>
    <n v="43"/>
    <n v="0"/>
    <n v="3"/>
    <n v="2"/>
    <n v="2"/>
    <n v="4"/>
    <n v="0"/>
    <n v="35"/>
    <n v="3"/>
    <n v="1"/>
    <n v="2"/>
    <n v="4469"/>
    <n v="2002"/>
    <n v="2467"/>
    <n v="0.66900000000000004"/>
    <n v="2111"/>
    <n v="38"/>
    <n v="0.46200000000000002"/>
    <n v="0.44800000000000001"/>
    <s v="5.7151e-05"/>
    <n v="0.99994000000000005"/>
    <s v="14.21933073322164"/>
    <s v="14.96614634019224"/>
    <s v="138.49802205620978"/>
    <s v="2.273358516133085"/>
    <n v="715401633"/>
    <x v="0"/>
    <n v="1.5429998E-3"/>
    <x v="0"/>
  </r>
  <r>
    <n v="57"/>
    <n v="0"/>
    <n v="3"/>
    <n v="3"/>
    <n v="1"/>
    <n v="5"/>
    <n v="0"/>
    <n v="51"/>
    <n v="6"/>
    <n v="1"/>
    <n v="0"/>
    <n v="8362"/>
    <n v="0"/>
    <n v="8362"/>
    <n v="0.52800000000000002"/>
    <n v="1175"/>
    <n v="41"/>
    <n v="0.46400000000000002"/>
    <n v="0"/>
    <s v="2.0494e-05"/>
    <n v="0.99997999999999998"/>
    <s v="26.31070624120376"/>
    <s v="49.05624498126966"/>
    <s v="4.504430410997827"/>
    <s v="9.322030008271444"/>
    <n v="798007308"/>
    <x v="0"/>
    <n v="4.459518E-3"/>
    <x v="0"/>
  </r>
  <r>
    <n v="56"/>
    <n v="1"/>
    <n v="1"/>
    <n v="5"/>
    <n v="1"/>
    <n v="3"/>
    <n v="0"/>
    <n v="36"/>
    <n v="6"/>
    <n v="2"/>
    <n v="1"/>
    <n v="33870"/>
    <n v="0"/>
    <n v="33870"/>
    <n v="0.872"/>
    <n v="7661"/>
    <n v="61"/>
    <n v="0.52500000000000002"/>
    <n v="0"/>
    <n v="0.98512999999999995"/>
    <n v="1.487E-2"/>
    <s v="0.4911641607193362"/>
    <s v="15.984581819780088"/>
    <s v="38.999704035892144"/>
    <s v="13.22295940657818"/>
    <n v="719593608"/>
    <x v="1"/>
    <n v="0.99549012999999997"/>
    <x v="1"/>
  </r>
  <r>
    <n v="57"/>
    <n v="0"/>
    <n v="3"/>
    <n v="6"/>
    <n v="2"/>
    <n v="5"/>
    <n v="3"/>
    <n v="36"/>
    <n v="6"/>
    <n v="3"/>
    <n v="2"/>
    <n v="34516"/>
    <n v="1698"/>
    <n v="32818"/>
    <n v="0.82299999999999995"/>
    <n v="3498"/>
    <n v="68"/>
    <n v="0.61899999999999999"/>
    <n v="4.9000000000000002E-2"/>
    <n v="1.8537999999999999E-4"/>
    <n v="0.99980999999999998"/>
    <s v="44.27065084405712"/>
    <s v="3.632234296866183"/>
    <n v="60.317390970108796"/>
    <s v="4.589306734375676"/>
    <n v="712685733"/>
    <x v="0"/>
    <n v="3.6634394000000002E-4"/>
    <x v="0"/>
  </r>
  <r>
    <n v="51"/>
    <n v="0"/>
    <n v="3"/>
    <n v="6"/>
    <n v="3"/>
    <n v="4"/>
    <n v="0"/>
    <n v="25"/>
    <n v="2"/>
    <n v="2"/>
    <n v="2"/>
    <n v="9512"/>
    <n v="1082"/>
    <n v="8430"/>
    <n v="0.70099999999999996"/>
    <n v="1007"/>
    <n v="22"/>
    <n v="1.444"/>
    <n v="0.114"/>
    <n v="1.2982E-4"/>
    <n v="0.99987000000000004"/>
    <s v="23.252914755169428"/>
    <s v="35.109861336681824"/>
    <s v="112.5512769840944"/>
    <s v="1.1927848762398805"/>
    <n v="718464258"/>
    <x v="0"/>
    <n v="1.3272067000000001E-3"/>
    <x v="0"/>
  </r>
  <r>
    <n v="47"/>
    <n v="0"/>
    <n v="3"/>
    <n v="2"/>
    <n v="3"/>
    <n v="1"/>
    <n v="0"/>
    <n v="36"/>
    <n v="5"/>
    <n v="2"/>
    <n v="3"/>
    <n v="5369"/>
    <n v="1854"/>
    <n v="3515"/>
    <n v="0.95899999999999996"/>
    <n v="1898"/>
    <n v="50"/>
    <n v="0.78600000000000003"/>
    <n v="0.34499999999999997"/>
    <n v="1.9864000000000001E-4"/>
    <n v="0.99980000000000002"/>
    <s v="23.920039354632813"/>
    <s v="11.862040217316885"/>
    <s v="45.06346572796678"/>
    <s v="16.979638497032507"/>
    <n v="712847208"/>
    <x v="0"/>
    <n v="8.7616660000000004E-4"/>
    <x v="0"/>
  </r>
  <r>
    <n v="51"/>
    <n v="1"/>
    <n v="1"/>
    <n v="3"/>
    <n v="1"/>
    <n v="3"/>
    <n v="0"/>
    <n v="36"/>
    <n v="5"/>
    <n v="2"/>
    <n v="2"/>
    <n v="9186"/>
    <n v="0"/>
    <n v="9186"/>
    <n v="0.65800000000000003"/>
    <n v="4986"/>
    <n v="88"/>
    <n v="0.76"/>
    <n v="0"/>
    <n v="1.0386E-4"/>
    <n v="0.99990000000000001"/>
    <s v="19.111158526239343"/>
    <s v="104.35165195526234"/>
    <s v="161.85945016935204"/>
    <s v="8.741588285716825"/>
    <n v="712567083"/>
    <x v="0"/>
    <n v="6.9517245999999998E-4"/>
    <x v="0"/>
  </r>
  <r>
    <n v="52"/>
    <n v="0"/>
    <n v="0"/>
    <n v="2"/>
    <n v="2"/>
    <n v="4"/>
    <n v="0"/>
    <n v="36"/>
    <n v="5"/>
    <n v="1"/>
    <n v="2"/>
    <n v="2537"/>
    <n v="1097"/>
    <n v="1440"/>
    <n v="0.874"/>
    <n v="4964"/>
    <n v="84"/>
    <n v="0.90900000000000003"/>
    <n v="0.432"/>
    <s v="4.7263e-05"/>
    <n v="0.99995000000000001"/>
    <s v="12.070351671160935"/>
    <n v="81.975141489176096"/>
    <s v="117.4927895253899"/>
    <s v="0.1214450648457404"/>
    <n v="718188858"/>
    <x v="0"/>
    <n v="3.2101269999999999E-4"/>
    <x v="0"/>
  </r>
  <r>
    <n v="59"/>
    <n v="1"/>
    <n v="1"/>
    <n v="3"/>
    <n v="2"/>
    <n v="2"/>
    <n v="0"/>
    <n v="51"/>
    <n v="6"/>
    <n v="2"/>
    <n v="4"/>
    <n v="8973"/>
    <n v="1300"/>
    <n v="7673"/>
    <n v="0.56799999999999995"/>
    <n v="4699"/>
    <n v="72"/>
    <n v="0.71399999999999997"/>
    <n v="0.14499999999999999"/>
    <n v="2.9798999999999998E-4"/>
    <n v="0.99970000000000003"/>
    <s v="79.08373014459154"/>
    <s v="70.16179689120823"/>
    <s v="9.789395925059704"/>
    <s v="10.923749692114876"/>
    <n v="720190908"/>
    <x v="0"/>
    <n v="3.2101269999999999E-4"/>
    <x v="0"/>
  </r>
  <r>
    <n v="55"/>
    <n v="0"/>
    <n v="2"/>
    <n v="2"/>
    <n v="1"/>
    <n v="1"/>
    <n v="0"/>
    <n v="46"/>
    <n v="6"/>
    <n v="1"/>
    <n v="4"/>
    <n v="2894"/>
    <n v="2077"/>
    <n v="817"/>
    <n v="0.57399999999999995"/>
    <n v="1017"/>
    <n v="25"/>
    <n v="0.56200000000000006"/>
    <n v="0.71799999999999997"/>
    <n v="1.5804E-4"/>
    <n v="0.99983999999999995"/>
    <s v="16.531791611772217"/>
    <s v="21.150918443195888"/>
    <s v="15.525500554647728"/>
    <s v="15.555103458793496"/>
    <n v="709382958"/>
    <x v="0"/>
    <n v="1.1454669E-3"/>
    <x v="0"/>
  </r>
  <r>
    <n v="52"/>
    <n v="0"/>
    <n v="2"/>
    <n v="5"/>
    <n v="1"/>
    <n v="4"/>
    <n v="0"/>
    <n v="42"/>
    <n v="6"/>
    <n v="3"/>
    <n v="0"/>
    <n v="5456"/>
    <n v="0"/>
    <n v="5456"/>
    <n v="0.33700000000000002"/>
    <n v="3470"/>
    <n v="65"/>
    <n v="0.625"/>
    <n v="0"/>
    <s v="6.8225e-05"/>
    <n v="0.99992999999999999"/>
    <n v="9.71353089101226"/>
    <s v="49.29033285604328"/>
    <s v="43.40430568397323"/>
    <s v="7.152025017466214"/>
    <n v="719048133"/>
    <x v="0"/>
    <n v="7.8750840000000005E-4"/>
    <x v="0"/>
  </r>
  <r>
    <n v="46"/>
    <n v="1"/>
    <n v="4"/>
    <n v="2"/>
    <n v="1"/>
    <n v="2"/>
    <n v="0"/>
    <n v="35"/>
    <n v="5"/>
    <n v="1"/>
    <n v="2"/>
    <n v="1535"/>
    <n v="700"/>
    <n v="835"/>
    <n v="2.282"/>
    <n v="1848"/>
    <n v="25"/>
    <n v="1.083"/>
    <n v="0.45600000000000002"/>
    <s v="5.7762e-05"/>
    <n v="0.99994000000000005"/>
    <s v="76.00978190305952"/>
    <s v="51.75308122160947"/>
    <n v="81.282986736844194"/>
    <s v="1.2141489633381377"/>
    <n v="717958833"/>
    <x v="0"/>
    <n v="1.7295938E-3"/>
    <x v="0"/>
  </r>
  <r>
    <n v="36"/>
    <n v="1"/>
    <n v="2"/>
    <n v="5"/>
    <n v="1"/>
    <n v="2"/>
    <n v="0"/>
    <n v="36"/>
    <n v="5"/>
    <n v="3"/>
    <n v="4"/>
    <n v="5605"/>
    <n v="1322"/>
    <n v="4283"/>
    <n v="1.204"/>
    <n v="2338"/>
    <n v="41"/>
    <n v="0.95199999999999996"/>
    <n v="0.23599999999999999"/>
    <n v="5.3054999999999997E-4"/>
    <n v="0.99946999999999997"/>
    <s v="17.46040790600557"/>
    <s v="60.40367929590207"/>
    <s v="59.59442489739327"/>
    <s v="4.742116579660844"/>
    <n v="709149408"/>
    <x v="0"/>
    <n v="1.0481173E-3"/>
    <x v="0"/>
  </r>
  <r>
    <n v="54"/>
    <n v="0"/>
    <n v="1"/>
    <n v="5"/>
    <n v="1"/>
    <n v="5"/>
    <n v="0"/>
    <n v="50"/>
    <n v="4"/>
    <n v="0"/>
    <n v="3"/>
    <n v="2912"/>
    <n v="0"/>
    <n v="2912"/>
    <n v="0.621"/>
    <n v="2465"/>
    <n v="54"/>
    <n v="1.077"/>
    <n v="0"/>
    <n v="0.97065999999999997"/>
    <n v="2.9340000000000001E-2"/>
    <s v="56.00323472020747"/>
    <n v="52.712332465182101"/>
    <s v="35.08235458786306"/>
    <s v="19.642136410662356"/>
    <n v="827898033"/>
    <x v="1"/>
    <n v="0.99626309999999996"/>
    <x v="1"/>
  </r>
  <r>
    <n v="34"/>
    <n v="1"/>
    <n v="3"/>
    <n v="3"/>
    <n v="1"/>
    <n v="1"/>
    <n v="0"/>
    <n v="29"/>
    <n v="6"/>
    <n v="3"/>
    <n v="3"/>
    <n v="2937"/>
    <n v="869"/>
    <n v="2068"/>
    <n v="1.4930000000000001"/>
    <n v="2171"/>
    <n v="45"/>
    <n v="0.875"/>
    <n v="0.29599999999999999"/>
    <n v="3.0516000000000001E-4"/>
    <n v="0.99968999999999997"/>
    <s v="38.11750450484894"/>
    <s v="36.68976099229612"/>
    <s v="65.15484892029502"/>
    <s v="0.7981539351801211"/>
    <n v="807044958"/>
    <x v="0"/>
    <n v="1.4597046E-3"/>
    <x v="0"/>
  </r>
  <r>
    <n v="45"/>
    <n v="0"/>
    <n v="5"/>
    <n v="2"/>
    <n v="1"/>
    <n v="4"/>
    <n v="0"/>
    <n v="39"/>
    <n v="5"/>
    <n v="3"/>
    <n v="2"/>
    <n v="2867"/>
    <n v="1209"/>
    <n v="1658"/>
    <n v="0.72699999999999998"/>
    <n v="5311"/>
    <n v="81"/>
    <n v="0.97599999999999998"/>
    <n v="0.42199999999999999"/>
    <n v="1.8569999999999999E-4"/>
    <n v="0.99980999999999998"/>
    <s v="60.18099240159897"/>
    <s v="44.286080183174455"/>
    <s v="30.12688320810893"/>
    <s v="0.7801955133725856"/>
    <n v="715390608"/>
    <x v="0"/>
    <n v="4.1460690000000002E-4"/>
    <x v="0"/>
  </r>
  <r>
    <n v="49"/>
    <n v="0"/>
    <n v="5"/>
    <n v="5"/>
    <n v="2"/>
    <n v="4"/>
    <n v="0"/>
    <n v="39"/>
    <n v="3"/>
    <n v="2"/>
    <n v="2"/>
    <n v="1993"/>
    <n v="0"/>
    <n v="1993"/>
    <n v="0.53900000000000003"/>
    <n v="4075"/>
    <n v="76"/>
    <n v="0.68899999999999995"/>
    <n v="0"/>
    <n v="1.2082E-4"/>
    <n v="0.99987999999999999"/>
    <s v="2.8638066642206965"/>
    <s v="0.3104392523504298"/>
    <s v="117.9367588181104"/>
    <n v="5.6570658995670096"/>
    <n v="710958033"/>
    <x v="0"/>
    <n v="6.9517245999999998E-4"/>
    <x v="0"/>
  </r>
  <r>
    <n v="48"/>
    <n v="1"/>
    <n v="2"/>
    <n v="4"/>
    <n v="1"/>
    <n v="1"/>
    <n v="0"/>
    <n v="42"/>
    <n v="3"/>
    <n v="2"/>
    <n v="0"/>
    <n v="1898"/>
    <n v="0"/>
    <n v="1898"/>
    <n v="0.83799999999999997"/>
    <n v="3513"/>
    <n v="59"/>
    <n v="0.68600000000000005"/>
    <n v="0"/>
    <s v="4.9404e-05"/>
    <n v="0.99995000000000001"/>
    <s v="23.128307485092005"/>
    <s v="24.58993275774423"/>
    <s v="18.27092341600254"/>
    <s v="9.030039922267155"/>
    <n v="719025333"/>
    <x v="0"/>
    <n v="9.7320019999999998E-4"/>
    <x v="0"/>
  </r>
  <r>
    <n v="52"/>
    <n v="1"/>
    <n v="2"/>
    <n v="5"/>
    <n v="2"/>
    <n v="0"/>
    <n v="0"/>
    <n v="36"/>
    <n v="3"/>
    <n v="2"/>
    <n v="1"/>
    <n v="2507"/>
    <n v="1259"/>
    <n v="1248"/>
    <n v="0.85"/>
    <n v="4461"/>
    <n v="73"/>
    <n v="0.92100000000000004"/>
    <n v="0.502"/>
    <s v="7.0576e-05"/>
    <n v="0.99992999999999999"/>
    <s v="8.801664028704309"/>
    <s v="7.217870247335219"/>
    <s v="68.30067811354601"/>
    <s v="7.941490237839895"/>
    <n v="713922183"/>
    <x v="0"/>
    <n v="3.2101269999999999E-4"/>
    <x v="0"/>
  </r>
  <r>
    <n v="42"/>
    <n v="1"/>
    <n v="4"/>
    <n v="3"/>
    <n v="2"/>
    <n v="3"/>
    <n v="0"/>
    <n v="28"/>
    <n v="3"/>
    <n v="3"/>
    <n v="3"/>
    <n v="1944"/>
    <n v="1804"/>
    <n v="140"/>
    <n v="0.72299999999999998"/>
    <n v="4682"/>
    <n v="90"/>
    <n v="0.66700000000000004"/>
    <n v="0.92800000000000005"/>
    <n v="3.0842E-4"/>
    <n v="0.99968999999999997"/>
    <s v="40.813552922286256"/>
    <s v="3.000919721870957"/>
    <s v="40.94641196297711"/>
    <s v="6.3725882957668425"/>
    <n v="720126033"/>
    <x v="0"/>
    <n v="3.2101269999999999E-4"/>
    <x v="0"/>
  </r>
  <r>
    <n v="53"/>
    <n v="1"/>
    <n v="1"/>
    <n v="0"/>
    <n v="1"/>
    <n v="3"/>
    <n v="3"/>
    <n v="36"/>
    <n v="2"/>
    <n v="2"/>
    <n v="2"/>
    <n v="34516"/>
    <n v="1484"/>
    <n v="33032"/>
    <n v="1.0149999999999999"/>
    <n v="16373"/>
    <n v="114"/>
    <n v="0.9"/>
    <n v="4.2999999999999997E-2"/>
    <s v="9.3852e-05"/>
    <n v="0.99990999999999997"/>
    <s v="10.333047645949303"/>
    <s v="71.80304782209667"/>
    <s v="35.82423858089929"/>
    <s v="14.346919574227895"/>
    <n v="713868033"/>
    <x v="0"/>
    <n v="4.0555582000000002E-4"/>
    <x v="0"/>
  </r>
  <r>
    <n v="30"/>
    <n v="1"/>
    <n v="2"/>
    <n v="0"/>
    <n v="2"/>
    <n v="2"/>
    <n v="0"/>
    <n v="36"/>
    <n v="1"/>
    <n v="3"/>
    <n v="3"/>
    <n v="4192"/>
    <n v="1734"/>
    <n v="2458"/>
    <n v="0.753"/>
    <n v="13345"/>
    <n v="106"/>
    <n v="0.89300000000000002"/>
    <n v="0.41399999999999998"/>
    <n v="2.9410999999999999E-4"/>
    <n v="0.99970999999999999"/>
    <s v="6.085878313461964"/>
    <s v="89.76762591871129"/>
    <s v="49.08838864871061"/>
    <s v="3.336012478220581"/>
    <n v="719850933"/>
    <x v="0"/>
    <n v="3.4656386999999997E-4"/>
    <x v="0"/>
  </r>
  <r>
    <n v="46"/>
    <n v="1"/>
    <n v="5"/>
    <n v="2"/>
    <n v="1"/>
    <n v="4"/>
    <n v="0"/>
    <n v="35"/>
    <n v="6"/>
    <n v="2"/>
    <n v="2"/>
    <n v="2206"/>
    <n v="1722"/>
    <n v="484"/>
    <n v="0.97299999999999998"/>
    <n v="4455"/>
    <n v="67"/>
    <n v="0.76300000000000001"/>
    <n v="0.78100000000000003"/>
    <n v="1.1751E-4"/>
    <n v="0.99987999999999999"/>
    <s v="32.508272952812014"/>
    <s v="92.87972749588847"/>
    <s v="62.25806970448991"/>
    <s v="5.046512092038749"/>
    <n v="717570258"/>
    <x v="0"/>
    <n v="3.221314E-4"/>
    <x v="0"/>
  </r>
  <r>
    <n v="48"/>
    <n v="0"/>
    <n v="2"/>
    <n v="2"/>
    <n v="1"/>
    <n v="5"/>
    <n v="0"/>
    <n v="42"/>
    <n v="4"/>
    <n v="2"/>
    <n v="0"/>
    <n v="10514"/>
    <n v="1494"/>
    <n v="9020"/>
    <n v="0.64900000000000002"/>
    <n v="4949"/>
    <n v="76"/>
    <n v="0.81"/>
    <n v="0.14199999999999999"/>
    <s v="4.1986e-05"/>
    <n v="0.99995999999999996"/>
    <s v="20.16681709978041"/>
    <s v="51.09828218803957"/>
    <s v="19.627888326573903"/>
    <s v="12.06267810000024"/>
    <n v="795613233"/>
    <x v="0"/>
    <n v="3.2101269999999999E-4"/>
    <x v="0"/>
  </r>
  <r>
    <n v="38"/>
    <n v="1"/>
    <n v="3"/>
    <n v="2"/>
    <n v="2"/>
    <n v="1"/>
    <n v="0"/>
    <n v="20"/>
    <n v="1"/>
    <n v="3"/>
    <n v="3"/>
    <n v="10486"/>
    <n v="1544"/>
    <n v="8942"/>
    <n v="0.71599999999999997"/>
    <n v="4042"/>
    <n v="77"/>
    <n v="0.92500000000000004"/>
    <n v="0.14699999999999999"/>
    <n v="3.1389999999999999E-4"/>
    <n v="0.99968999999999997"/>
    <s v="23.323367400617563"/>
    <s v="75.10819748851145"/>
    <s v="59.766425215986665"/>
    <s v="20.37366310544876"/>
    <n v="709927458"/>
    <x v="0"/>
    <n v="3.2101269999999999E-4"/>
    <x v="0"/>
  </r>
  <r>
    <n v="31"/>
    <n v="1"/>
    <n v="0"/>
    <n v="6"/>
    <n v="1"/>
    <n v="4"/>
    <n v="0"/>
    <n v="25"/>
    <n v="2"/>
    <n v="3"/>
    <n v="0"/>
    <n v="4093"/>
    <n v="0"/>
    <n v="4093"/>
    <n v="0.69699999999999995"/>
    <n v="15495"/>
    <n v="112"/>
    <n v="0.77800000000000002"/>
    <n v="0"/>
    <s v="6.2588e-05"/>
    <n v="0.99994000000000005"/>
    <s v="23.751449672771948"/>
    <s v="16.98594526936193"/>
    <s v="63.79716200352846"/>
    <s v="22.145368971173585"/>
    <n v="770205708"/>
    <x v="0"/>
    <n v="7.5047980000000002E-4"/>
    <x v="0"/>
  </r>
  <r>
    <n v="46"/>
    <n v="1"/>
    <n v="1"/>
    <n v="3"/>
    <n v="2"/>
    <n v="2"/>
    <n v="0"/>
    <n v="38"/>
    <n v="5"/>
    <n v="2"/>
    <n v="4"/>
    <n v="23996"/>
    <n v="2517"/>
    <n v="21479"/>
    <n v="0.48799999999999999"/>
    <n v="1339"/>
    <n v="29"/>
    <n v="0.38100000000000001"/>
    <n v="0.105"/>
    <n v="2.9798999999999998E-4"/>
    <n v="0.99970000000000003"/>
    <s v="9.602770060650156"/>
    <s v="38.17302522555282"/>
    <s v="92.28833002747214"/>
    <s v="1.562074683113507"/>
    <n v="718830183"/>
    <x v="0"/>
    <n v="1.2315542E-3"/>
    <x v="0"/>
  </r>
  <r>
    <n v="49"/>
    <n v="0"/>
    <n v="2"/>
    <n v="5"/>
    <n v="1"/>
    <n v="4"/>
    <n v="0"/>
    <n v="34"/>
    <n v="6"/>
    <n v="2"/>
    <n v="4"/>
    <n v="5242"/>
    <n v="1465"/>
    <n v="3777"/>
    <n v="1.0249999999999999"/>
    <n v="4098"/>
    <n v="68"/>
    <n v="0.78900000000000003"/>
    <n v="0.27900000000000003"/>
    <n v="3.3576999999999999E-4"/>
    <n v="0.99965999999999999"/>
    <s v="1.9610557329867369"/>
    <s v="12.236303046102533"/>
    <s v="21.70622314600501"/>
    <s v="18.81175153007128"/>
    <n v="708626058"/>
    <x v="0"/>
    <n v="3.3750932000000002E-4"/>
    <x v="0"/>
  </r>
  <r>
    <n v="61"/>
    <n v="1"/>
    <n v="1"/>
    <n v="2"/>
    <n v="2"/>
    <n v="5"/>
    <n v="0"/>
    <n v="54"/>
    <n v="1"/>
    <n v="1"/>
    <n v="3"/>
    <n v="9070"/>
    <n v="2097"/>
    <n v="6973"/>
    <n v="0.80100000000000005"/>
    <n v="8440"/>
    <n v="102"/>
    <n v="0.7"/>
    <n v="0.23100000000000001"/>
    <s v="8.6952e-05"/>
    <n v="0.99990999999999997"/>
    <s v="52.592484513366486"/>
    <s v="4.510392851821591"/>
    <n v="90.137810341440399"/>
    <s v="29.382275949252325"/>
    <n v="788327358"/>
    <x v="0"/>
    <n v="3.6856539999999998E-4"/>
    <x v="0"/>
  </r>
  <r>
    <n v="35"/>
    <n v="0"/>
    <n v="0"/>
    <n v="1"/>
    <n v="1"/>
    <n v="4"/>
    <n v="0"/>
    <n v="27"/>
    <n v="2"/>
    <n v="3"/>
    <n v="2"/>
    <n v="3876"/>
    <n v="0"/>
    <n v="3876"/>
    <n v="0.84799999999999998"/>
    <n v="7712"/>
    <n v="73"/>
    <n v="0.82499999999999996"/>
    <n v="0"/>
    <n v="0.99553999999999998"/>
    <n v="4.4561599999999998E-3"/>
    <s v="9.467566122967447"/>
    <s v="11.122341120029578"/>
    <s v="38.425625344346834"/>
    <s v="14.532979616045882"/>
    <n v="710895708"/>
    <x v="1"/>
    <n v="0.99482214000000002"/>
    <x v="1"/>
  </r>
  <r>
    <n v="57"/>
    <n v="1"/>
    <n v="0"/>
    <n v="5"/>
    <n v="0"/>
    <n v="3"/>
    <n v="0"/>
    <n v="39"/>
    <n v="4"/>
    <n v="4"/>
    <n v="3"/>
    <n v="2795"/>
    <n v="1832"/>
    <n v="963"/>
    <n v="0.83899999999999997"/>
    <n v="4679"/>
    <n v="67"/>
    <n v="0.86099999999999999"/>
    <n v="0.65500000000000003"/>
    <n v="3.2257E-4"/>
    <n v="0.99968000000000001"/>
    <s v="37.206295239368295"/>
    <s v="21.751211560386324"/>
    <s v="41.54856991977504"/>
    <s v="16.33603973654562"/>
    <n v="817188408"/>
    <x v="0"/>
    <n v="3.2101269999999999E-4"/>
    <x v="0"/>
  </r>
  <r>
    <n v="53"/>
    <n v="1"/>
    <n v="4"/>
    <n v="2"/>
    <n v="1"/>
    <n v="3"/>
    <n v="0"/>
    <n v="36"/>
    <n v="3"/>
    <n v="2"/>
    <n v="2"/>
    <n v="3924"/>
    <n v="2517"/>
    <n v="1407"/>
    <n v="0.51100000000000001"/>
    <n v="1417"/>
    <n v="30"/>
    <n v="0.66700000000000004"/>
    <n v="0.64100000000000001"/>
    <n v="1.1937E-4"/>
    <n v="0.99987999999999999"/>
    <s v="59.30581338932279"/>
    <s v="60.95418873632763"/>
    <n v="80.630977267141603"/>
    <s v="15.392668803313986"/>
    <n v="721491258"/>
    <x v="0"/>
    <n v="1.1048665000000001E-3"/>
    <x v="0"/>
  </r>
  <r>
    <n v="55"/>
    <n v="0"/>
    <n v="2"/>
    <n v="0"/>
    <n v="1"/>
    <n v="4"/>
    <n v="0"/>
    <n v="45"/>
    <n v="5"/>
    <n v="2"/>
    <n v="4"/>
    <n v="1850"/>
    <n v="942"/>
    <n v="908"/>
    <n v="0.75700000000000001"/>
    <n v="4134"/>
    <n v="78"/>
    <n v="0.625"/>
    <n v="0.50900000000000001"/>
    <n v="3.1749000000000002E-4"/>
    <n v="0.99968000000000001"/>
    <s v="12.323186553614164"/>
    <s v="26.516115610692825"/>
    <s v="143.52854868186958"/>
    <n v="2.2310811484673902E-2"/>
    <n v="717740658"/>
    <x v="0"/>
    <n v="4.052347E-4"/>
    <x v="0"/>
  </r>
  <r>
    <n v="51"/>
    <n v="0"/>
    <n v="1"/>
    <n v="0"/>
    <n v="2"/>
    <n v="4"/>
    <n v="0"/>
    <n v="36"/>
    <n v="4"/>
    <n v="4"/>
    <n v="2"/>
    <n v="1737"/>
    <n v="1145"/>
    <n v="592"/>
    <n v="0.80900000000000005"/>
    <n v="1954"/>
    <n v="42"/>
    <n v="1.333"/>
    <n v="0.65900000000000003"/>
    <n v="1.9837000000000001E-4"/>
    <n v="0.99980000000000002"/>
    <s v="21.93776644067564"/>
    <s v="27.10382936653201"/>
    <s v="64.32569449695487"/>
    <s v="3.6073177062010497"/>
    <n v="715379133"/>
    <x v="0"/>
    <n v="1.0934846E-3"/>
    <x v="0"/>
  </r>
  <r>
    <n v="49"/>
    <n v="1"/>
    <n v="5"/>
    <n v="6"/>
    <n v="2"/>
    <n v="2"/>
    <n v="0"/>
    <n v="36"/>
    <n v="6"/>
    <n v="1"/>
    <n v="2"/>
    <n v="5159"/>
    <n v="1532"/>
    <n v="3627"/>
    <n v="0.78700000000000003"/>
    <n v="1826"/>
    <n v="37"/>
    <n v="0.60899999999999999"/>
    <n v="0.29699999999999999"/>
    <s v="6.2502e-05"/>
    <n v="0.99994000000000005"/>
    <s v="16.68328946503496"/>
    <s v="22.65326405180732"/>
    <s v="59.86035334303676"/>
    <n v="0.66919857397299398"/>
    <n v="718861458"/>
    <x v="0"/>
    <n v="1.0598798E-3"/>
    <x v="0"/>
  </r>
  <r>
    <n v="54"/>
    <n v="0"/>
    <n v="2"/>
    <n v="5"/>
    <n v="1"/>
    <n v="1"/>
    <n v="0"/>
    <n v="43"/>
    <n v="5"/>
    <n v="1"/>
    <n v="1"/>
    <n v="1438.3"/>
    <n v="0"/>
    <n v="1438.3"/>
    <n v="0.53100000000000003"/>
    <n v="1707"/>
    <n v="41"/>
    <n v="0.78300000000000003"/>
    <n v="0"/>
    <s v="3.415e-05"/>
    <n v="0.99997000000000003"/>
    <s v="48.15361329278188"/>
    <s v="17.889544078534637"/>
    <s v="78.88134245151865"/>
    <s v="31.41870518988561"/>
    <n v="784719708"/>
    <x v="0"/>
    <n v="3.5235758E-3"/>
    <x v="0"/>
  </r>
  <r>
    <n v="34"/>
    <n v="1"/>
    <n v="1"/>
    <n v="5"/>
    <n v="1"/>
    <n v="2"/>
    <n v="0"/>
    <n v="18"/>
    <n v="3"/>
    <n v="2"/>
    <n v="2"/>
    <n v="10488"/>
    <n v="1636"/>
    <n v="8852"/>
    <n v="0.68100000000000005"/>
    <n v="14719"/>
    <n v="116"/>
    <n v="0.68100000000000005"/>
    <n v="0.156"/>
    <n v="1.0985E-4"/>
    <n v="0.99988999999999995"/>
    <s v="39.95615938503347"/>
    <s v="40.04220720949522"/>
    <s v="0.5407886220540866"/>
    <s v="13.979854826200825"/>
    <n v="779914383"/>
    <x v="0"/>
    <n v="3.4656386999999997E-4"/>
    <x v="0"/>
  </r>
  <r>
    <n v="49"/>
    <n v="0"/>
    <n v="4"/>
    <n v="6"/>
    <n v="0"/>
    <n v="4"/>
    <n v="0"/>
    <n v="36"/>
    <n v="4"/>
    <n v="3"/>
    <n v="1"/>
    <n v="2432"/>
    <n v="0"/>
    <n v="2432"/>
    <n v="1.2929999999999999"/>
    <n v="4340"/>
    <n v="76"/>
    <n v="0.76700000000000002"/>
    <n v="0"/>
    <n v="1.2505E-4"/>
    <n v="0.99987000000000004"/>
    <s v="57.58887926941959"/>
    <n v="1.0251012311023299E-2"/>
    <s v="30.74313517357025"/>
    <s v="2.9636086725894546"/>
    <n v="711393483"/>
    <x v="0"/>
    <n v="7.1297199999999998E-4"/>
    <x v="0"/>
  </r>
  <r>
    <n v="45"/>
    <n v="0"/>
    <n v="4"/>
    <n v="6"/>
    <n v="2"/>
    <n v="4"/>
    <n v="0"/>
    <n v="40"/>
    <n v="5"/>
    <n v="4"/>
    <n v="3"/>
    <n v="1438.3"/>
    <n v="0"/>
    <n v="1438.3"/>
    <n v="0.60499999999999998"/>
    <n v="2207"/>
    <n v="41"/>
    <n v="0.64"/>
    <n v="0"/>
    <n v="0.99763000000000002"/>
    <n v="2.3663500000000001E-3"/>
    <s v="23.69425357121666"/>
    <s v="79.46888957275175"/>
    <s v="161.64775754512905"/>
    <s v="28.250289336195173"/>
    <n v="812406183"/>
    <x v="1"/>
    <n v="0.99850490000000003"/>
    <x v="1"/>
  </r>
  <r>
    <n v="46"/>
    <n v="0"/>
    <n v="4"/>
    <n v="3"/>
    <n v="1"/>
    <n v="4"/>
    <n v="0"/>
    <n v="33"/>
    <n v="1"/>
    <n v="3"/>
    <n v="0"/>
    <n v="1896"/>
    <n v="1738"/>
    <n v="158"/>
    <n v="0.64700000000000002"/>
    <n v="4588"/>
    <n v="75"/>
    <n v="0.92300000000000004"/>
    <n v="0.91700000000000004"/>
    <s v="6.765e-05"/>
    <n v="0.99992999999999999"/>
    <n v="17.630137942991801"/>
    <n v="25.835577660149202"/>
    <s v="24.234271795033845"/>
    <s v="3.7757324406101422"/>
    <n v="710560008"/>
    <x v="0"/>
    <n v="3.2101269999999999E-4"/>
    <x v="0"/>
  </r>
  <r>
    <n v="49"/>
    <n v="1"/>
    <n v="1"/>
    <n v="5"/>
    <n v="2"/>
    <n v="0"/>
    <n v="0"/>
    <n v="30"/>
    <n v="5"/>
    <n v="3"/>
    <n v="3"/>
    <n v="5181"/>
    <n v="0"/>
    <n v="5181"/>
    <n v="0.83"/>
    <n v="8943"/>
    <n v="68"/>
    <n v="1"/>
    <n v="0"/>
    <n v="0.99658999999999998"/>
    <n v="3.4124899999999998E-3"/>
    <s v="12.357951671692676"/>
    <s v="22.39186110320201"/>
    <s v="38.53030367598848"/>
    <s v="5.500289020244351"/>
    <n v="720128658"/>
    <x v="1"/>
    <n v="0.99509144000000005"/>
    <x v="1"/>
  </r>
  <r>
    <n v="49"/>
    <n v="1"/>
    <n v="2"/>
    <n v="3"/>
    <n v="1"/>
    <n v="3"/>
    <n v="0"/>
    <n v="36"/>
    <n v="4"/>
    <n v="3"/>
    <n v="1"/>
    <n v="3989"/>
    <n v="2514"/>
    <n v="1475"/>
    <n v="0.46899999999999997"/>
    <n v="5189"/>
    <n v="82"/>
    <n v="0.51900000000000002"/>
    <n v="0.63"/>
    <n v="1.0545E-4"/>
    <n v="0.99988999999999995"/>
    <s v="4.413283993776051"/>
    <s v="3.785357865744011"/>
    <s v="31.874936928577867"/>
    <s v="5.698023522756452"/>
    <n v="712404483"/>
    <x v="0"/>
    <n v="3.5570623000000002E-4"/>
    <x v="0"/>
  </r>
  <r>
    <n v="42"/>
    <n v="0"/>
    <n v="2"/>
    <n v="2"/>
    <n v="2"/>
    <n v="5"/>
    <n v="3"/>
    <n v="36"/>
    <n v="2"/>
    <n v="2"/>
    <n v="3"/>
    <n v="34516"/>
    <n v="1066"/>
    <n v="33450"/>
    <n v="0.84599999999999997"/>
    <n v="8657"/>
    <n v="98"/>
    <n v="0.75"/>
    <n v="3.1E-2"/>
    <n v="1.7296999999999999E-4"/>
    <n v="0.99983"/>
    <s v="44.89082444343656"/>
    <s v="65.07790963352024"/>
    <s v="0.2737008969904749"/>
    <s v="3.8257365024812615"/>
    <n v="710395233"/>
    <x v="0"/>
    <n v="4.1022256E-4"/>
    <x v="0"/>
  </r>
  <r>
    <n v="42"/>
    <n v="1"/>
    <n v="4"/>
    <n v="3"/>
    <n v="1"/>
    <n v="3"/>
    <n v="0"/>
    <n v="30"/>
    <n v="6"/>
    <n v="1"/>
    <n v="0"/>
    <n v="29801"/>
    <n v="1916"/>
    <n v="27885"/>
    <n v="0.78100000000000003"/>
    <n v="990"/>
    <n v="21"/>
    <n v="0.90900000000000003"/>
    <n v="6.4000000000000001E-2"/>
    <s v="2.0713e-05"/>
    <n v="0.99997999999999998"/>
    <s v="21.396356070500087"/>
    <s v="1.2066415892388973"/>
    <s v="30.597063625928342"/>
    <s v="45.07520607250813"/>
    <n v="778770783"/>
    <x v="0"/>
    <n v="1.1872624E-3"/>
    <x v="0"/>
  </r>
  <r>
    <n v="49"/>
    <n v="1"/>
    <n v="4"/>
    <n v="5"/>
    <n v="1"/>
    <n v="1"/>
    <n v="0"/>
    <n v="33"/>
    <n v="5"/>
    <n v="1"/>
    <n v="3"/>
    <n v="3653"/>
    <n v="881"/>
    <n v="2772"/>
    <n v="0.84599999999999997"/>
    <n v="3297"/>
    <n v="66"/>
    <n v="0.69199999999999995"/>
    <n v="0.24099999999999999"/>
    <s v="9.9893e-05"/>
    <n v="0.99990000000000001"/>
    <s v="64.72204101694388"/>
    <s v="28.94950814700628"/>
    <s v="51.56233019339383"/>
    <s v="5.745829480107678"/>
    <n v="789646158"/>
    <x v="0"/>
    <n v="4.2162873000000002E-4"/>
    <x v="0"/>
  </r>
  <r>
    <n v="46"/>
    <n v="0"/>
    <n v="1"/>
    <n v="3"/>
    <n v="1"/>
    <n v="4"/>
    <n v="0"/>
    <n v="36"/>
    <n v="1"/>
    <n v="3"/>
    <n v="3"/>
    <n v="3073"/>
    <n v="2517"/>
    <n v="556"/>
    <n v="0.84099999999999997"/>
    <n v="4858"/>
    <n v="77"/>
    <n v="0.97399999999999998"/>
    <n v="0.81899999999999995"/>
    <n v="2.7604000000000002E-4"/>
    <n v="0.99972000000000005"/>
    <s v="21.01257180089388"/>
    <s v="44.08426632562488"/>
    <s v="96.48078651465622"/>
    <s v="2.850415070514825"/>
    <n v="715012833"/>
    <x v="0"/>
    <n v="3.4692350000000002E-4"/>
    <x v="0"/>
  </r>
  <r>
    <n v="51"/>
    <n v="1"/>
    <n v="0"/>
    <n v="1"/>
    <n v="2"/>
    <n v="0"/>
    <n v="2"/>
    <n v="44"/>
    <n v="3"/>
    <n v="2"/>
    <n v="3"/>
    <n v="34516"/>
    <n v="1925"/>
    <n v="32591"/>
    <n v="0.76400000000000001"/>
    <n v="8012"/>
    <n v="87"/>
    <n v="0.58199999999999996"/>
    <n v="5.6000000000000001E-2"/>
    <n v="4.1292E-4"/>
    <n v="0.99958999999999998"/>
    <s v="33.97191396098125"/>
    <s v="38.17201853628532"/>
    <s v="19.851454414679992"/>
    <s v="10.16403285376234"/>
    <n v="714754533"/>
    <x v="0"/>
    <n v="4.2060707000000003E-4"/>
    <x v="0"/>
  </r>
  <r>
    <n v="57"/>
    <n v="0"/>
    <n v="4"/>
    <n v="4"/>
    <n v="2"/>
    <n v="4"/>
    <n v="0"/>
    <n v="45"/>
    <n v="2"/>
    <n v="2"/>
    <n v="3"/>
    <n v="3059"/>
    <n v="1744"/>
    <n v="1315"/>
    <n v="0.61399999999999999"/>
    <n v="7709"/>
    <n v="89"/>
    <n v="0.56100000000000005"/>
    <n v="0.56999999999999995"/>
    <n v="2.3623000000000001E-4"/>
    <n v="0.99975999999999998"/>
    <s v="5.369065470912536"/>
    <n v="40.8796317769512"/>
    <s v="17.358227265608086"/>
    <s v="16.405615672272457"/>
    <n v="720935658"/>
    <x v="0"/>
    <n v="3.7789578000000003E-4"/>
    <x v="0"/>
  </r>
  <r>
    <n v="37"/>
    <n v="1"/>
    <n v="3"/>
    <n v="6"/>
    <n v="2"/>
    <n v="1"/>
    <n v="0"/>
    <n v="29"/>
    <n v="6"/>
    <n v="2"/>
    <n v="3"/>
    <n v="13589"/>
    <n v="2517"/>
    <n v="11072"/>
    <n v="0.94099999999999995"/>
    <n v="9456"/>
    <n v="79"/>
    <n v="1.026"/>
    <n v="0.185"/>
    <n v="0.99543999999999999"/>
    <n v="4.5580500000000001E-3"/>
    <s v="30.199299344835115"/>
    <s v="1.3730624553905868"/>
    <s v="72.85541337877227"/>
    <s v="1.8870011162734064"/>
    <n v="713281833"/>
    <x v="1"/>
    <n v="0.98890699999999998"/>
    <x v="1"/>
  </r>
  <r>
    <n v="53"/>
    <n v="0"/>
    <n v="1"/>
    <n v="3"/>
    <n v="1"/>
    <n v="1"/>
    <n v="0"/>
    <n v="39"/>
    <n v="2"/>
    <n v="3"/>
    <n v="3"/>
    <n v="2164"/>
    <n v="1115"/>
    <n v="1049"/>
    <n v="0.624"/>
    <n v="4341"/>
    <n v="69"/>
    <n v="0.64300000000000002"/>
    <n v="0.51500000000000001"/>
    <n v="2.7604000000000002E-4"/>
    <n v="0.99972000000000005"/>
    <s v="54.559930407319975"/>
    <s v="33.55423341344981"/>
    <s v="161.3144127411096"/>
    <s v="7.701854707006852"/>
    <n v="721374033"/>
    <x v="0"/>
    <n v="3.2914013999999999E-4"/>
    <x v="0"/>
  </r>
  <r>
    <n v="65"/>
    <n v="0"/>
    <n v="0"/>
    <n v="6"/>
    <n v="2"/>
    <n v="4"/>
    <n v="0"/>
    <n v="56"/>
    <n v="3"/>
    <n v="2"/>
    <n v="2"/>
    <n v="5441"/>
    <n v="812"/>
    <n v="4629"/>
    <n v="0.53400000000000003"/>
    <n v="4480"/>
    <n v="76"/>
    <n v="0.55100000000000005"/>
    <n v="0.14899999999999999"/>
    <n v="1.0736E-4"/>
    <n v="0.99988999999999995"/>
    <s v="6.671777810676647"/>
    <s v="10.129492800944773"/>
    <s v="46.34105197648308"/>
    <n v="8.2321195432523808"/>
    <n v="709310433"/>
    <x v="0"/>
    <n v="5.2322453000000003E-4"/>
    <x v="0"/>
  </r>
  <r>
    <n v="50"/>
    <n v="1"/>
    <n v="2"/>
    <n v="2"/>
    <n v="1"/>
    <n v="2"/>
    <n v="0"/>
    <n v="45"/>
    <n v="2"/>
    <n v="1"/>
    <n v="0"/>
    <n v="2021"/>
    <n v="1578"/>
    <n v="443"/>
    <n v="0.76100000000000001"/>
    <n v="5298"/>
    <n v="71"/>
    <n v="0.91900000000000004"/>
    <n v="0.78100000000000003"/>
    <s v="2.0316e-05"/>
    <n v="0.99997999999999998"/>
    <s v="14.120875154007228"/>
    <s v="14.674847355830696"/>
    <n v="49.799057930821498"/>
    <s v="11.158138890186258"/>
    <n v="711492258"/>
    <x v="0"/>
    <n v="4.1460690000000002E-4"/>
    <x v="0"/>
  </r>
  <r>
    <n v="38"/>
    <n v="0"/>
    <n v="3"/>
    <n v="3"/>
    <n v="1"/>
    <n v="1"/>
    <n v="0"/>
    <n v="27"/>
    <n v="2"/>
    <n v="3"/>
    <n v="3"/>
    <n v="2363"/>
    <n v="2033"/>
    <n v="330"/>
    <n v="0.498"/>
    <n v="3904"/>
    <n v="66"/>
    <n v="0.61"/>
    <n v="0.86"/>
    <n v="3.0516000000000001E-4"/>
    <n v="0.99968999999999997"/>
    <s v="4.109462365208144"/>
    <s v="0.9517313430766684"/>
    <s v="102.87452175846974"/>
    <s v="17.25851177613638"/>
    <n v="719075883"/>
    <x v="0"/>
    <n v="3.2914013999999999E-4"/>
    <x v="0"/>
  </r>
  <r>
    <n v="50"/>
    <n v="1"/>
    <n v="1"/>
    <n v="1"/>
    <n v="2"/>
    <n v="3"/>
    <n v="0"/>
    <n v="41"/>
    <n v="6"/>
    <n v="1"/>
    <n v="2"/>
    <n v="2826"/>
    <n v="1741"/>
    <n v="1085"/>
    <n v="0.66900000000000004"/>
    <n v="4488"/>
    <n v="73"/>
    <n v="0.82499999999999996"/>
    <n v="0.61599999999999999"/>
    <s v="7.4811e-05"/>
    <n v="0.99992999999999999"/>
    <s v="59.081847460952346"/>
    <s v="24.811614274367383"/>
    <s v="31.26746633227297"/>
    <s v="4.817107416306738"/>
    <n v="721313808"/>
    <x v="0"/>
    <n v="3.2101269999999999E-4"/>
    <x v="0"/>
  </r>
  <r>
    <n v="51"/>
    <n v="1"/>
    <n v="3"/>
    <n v="5"/>
    <n v="1"/>
    <n v="3"/>
    <n v="0"/>
    <n v="44"/>
    <n v="3"/>
    <n v="3"/>
    <n v="3"/>
    <n v="24028"/>
    <n v="0"/>
    <n v="24028"/>
    <n v="0.496"/>
    <n v="3531"/>
    <n v="73"/>
    <n v="0.73799999999999999"/>
    <n v="0"/>
    <n v="3.2275000000000001E-4"/>
    <n v="0.99968000000000001"/>
    <s v="11.83935678204858"/>
    <s v="75.16178591313566"/>
    <s v="27.378285320919584"/>
    <s v="9.968959969382093"/>
    <n v="753094533"/>
    <x v="0"/>
    <n v="6.9517245999999998E-4"/>
    <x v="0"/>
  </r>
  <r>
    <n v="50"/>
    <n v="0"/>
    <n v="1"/>
    <n v="6"/>
    <n v="2"/>
    <n v="4"/>
    <n v="0"/>
    <n v="46"/>
    <n v="4"/>
    <n v="2"/>
    <n v="3"/>
    <n v="2081"/>
    <n v="1235"/>
    <n v="846"/>
    <n v="1.4850000000000001"/>
    <n v="1337"/>
    <n v="29"/>
    <n v="1.071"/>
    <n v="0.59299999999999997"/>
    <n v="1.9751E-4"/>
    <n v="0.99980000000000002"/>
    <s v="31.700686274799345"/>
    <s v="64.97643302485334"/>
    <s v="53.51022426026559"/>
    <s v="13.813020885850964"/>
    <n v="823528833"/>
    <x v="0"/>
    <n v="9.8706899999999992E-4"/>
    <x v="0"/>
  </r>
  <r>
    <n v="56"/>
    <n v="0"/>
    <n v="2"/>
    <n v="5"/>
    <n v="2"/>
    <n v="4"/>
    <n v="0"/>
    <n v="43"/>
    <n v="1"/>
    <n v="2"/>
    <n v="4"/>
    <n v="1440"/>
    <n v="1211"/>
    <n v="229"/>
    <n v="0.46500000000000002"/>
    <n v="2141"/>
    <n v="40"/>
    <n v="0.48099999999999998"/>
    <n v="0.84099999999999997"/>
    <n v="0.99702999999999997"/>
    <n v="2.9684300000000002E-3"/>
    <s v="46.517970343884905"/>
    <s v="25.953304740185004"/>
    <s v="41.91348799215005"/>
    <s v="31.547292836216187"/>
    <n v="711977508"/>
    <x v="1"/>
    <n v="0.9953033"/>
    <x v="1"/>
  </r>
  <r>
    <n v="41"/>
    <n v="1"/>
    <n v="3"/>
    <n v="1"/>
    <n v="2"/>
    <n v="0"/>
    <n v="0"/>
    <n v="28"/>
    <n v="4"/>
    <n v="2"/>
    <n v="3"/>
    <n v="6314"/>
    <n v="0"/>
    <n v="6314"/>
    <n v="0.90300000000000002"/>
    <n v="2718"/>
    <n v="44"/>
    <n v="0.63"/>
    <n v="0"/>
    <n v="0.99653000000000003"/>
    <n v="3.4659199999999999E-3"/>
    <s v="21.207145830218792"/>
    <s v="22.77069374862061"/>
    <s v="11.72777034153107"/>
    <s v="9.661647345350776"/>
    <n v="717502083"/>
    <x v="1"/>
    <n v="0.99848890000000001"/>
    <x v="1"/>
  </r>
  <r>
    <n v="55"/>
    <n v="1"/>
    <n v="1"/>
    <n v="2"/>
    <n v="2"/>
    <n v="3"/>
    <n v="0"/>
    <n v="44"/>
    <n v="4"/>
    <n v="3"/>
    <n v="2"/>
    <n v="2663"/>
    <n v="1784"/>
    <n v="879"/>
    <n v="0.78500000000000003"/>
    <n v="4317"/>
    <n v="81"/>
    <n v="0.92900000000000005"/>
    <n v="0.67"/>
    <n v="1.6882999999999999E-4"/>
    <n v="0.99983"/>
    <s v="19.99208545628797"/>
    <s v="35.632662558595044"/>
    <s v="70.81872141788583"/>
    <s v="16.305042372700427"/>
    <n v="779597133"/>
    <x v="0"/>
    <n v="3.2101269999999999E-4"/>
    <x v="0"/>
  </r>
  <r>
    <n v="49"/>
    <n v="0"/>
    <n v="1"/>
    <n v="3"/>
    <n v="1"/>
    <n v="4"/>
    <n v="0"/>
    <n v="39"/>
    <n v="5"/>
    <n v="2"/>
    <n v="2"/>
    <n v="1909"/>
    <n v="866"/>
    <n v="1043"/>
    <n v="0.88"/>
    <n v="4697"/>
    <n v="83"/>
    <n v="0.84399999999999997"/>
    <n v="0.45400000000000001"/>
    <n v="1.0386E-4"/>
    <n v="0.99990000000000001"/>
    <s v="36.28103051852912"/>
    <s v="17.45746381318902"/>
    <s v="20.562109948266446"/>
    <s v="6.551591745416678"/>
    <n v="711606558"/>
    <x v="0"/>
    <n v="4.3298570000000001E-4"/>
    <x v="0"/>
  </r>
  <r>
    <n v="31"/>
    <n v="1"/>
    <n v="1"/>
    <n v="3"/>
    <n v="1"/>
    <n v="2"/>
    <n v="0"/>
    <n v="24"/>
    <n v="2"/>
    <n v="1"/>
    <n v="3"/>
    <n v="4328"/>
    <n v="1493"/>
    <n v="2835"/>
    <n v="0.65100000000000002"/>
    <n v="14731"/>
    <n v="120"/>
    <n v="0.76500000000000001"/>
    <n v="0.34499999999999997"/>
    <s v="8.453e-05"/>
    <n v="0.99992000000000003"/>
    <s v="15.38811369462163"/>
    <s v="11.025361079157657"/>
    <s v="21.904360657338792"/>
    <s v="4.123819026018035"/>
    <n v="822885033"/>
    <x v="0"/>
    <n v="3.4656386999999997E-4"/>
    <x v="0"/>
  </r>
  <r>
    <n v="50"/>
    <n v="1"/>
    <n v="1"/>
    <n v="5"/>
    <n v="1"/>
    <n v="0"/>
    <n v="0"/>
    <n v="23"/>
    <n v="5"/>
    <n v="2"/>
    <n v="1"/>
    <n v="7116"/>
    <n v="981"/>
    <n v="6135"/>
    <n v="0.85799999999999998"/>
    <n v="4748"/>
    <n v="85"/>
    <n v="0.73499999999999999"/>
    <n v="0.13800000000000001"/>
    <s v="6.6245e-05"/>
    <n v="0.99992999999999999"/>
    <n v="43.974237824886004"/>
    <s v="71.21529966139552"/>
    <s v="19.37316016406111"/>
    <s v="15.935744646749376"/>
    <n v="787596558"/>
    <x v="0"/>
    <n v="3.8272605000000003E-4"/>
    <x v="0"/>
  </r>
  <r>
    <n v="46"/>
    <n v="0"/>
    <n v="4"/>
    <n v="1"/>
    <n v="2"/>
    <n v="4"/>
    <n v="0"/>
    <n v="36"/>
    <n v="2"/>
    <n v="2"/>
    <n v="3"/>
    <n v="2292"/>
    <n v="0"/>
    <n v="2292"/>
    <n v="0.56799999999999995"/>
    <n v="2595"/>
    <n v="31"/>
    <n v="0.40899999999999997"/>
    <n v="0"/>
    <n v="0.99656999999999996"/>
    <n v="3.42939E-3"/>
    <s v="22.501424115816057"/>
    <s v="43.74620912502642"/>
    <s v="48.24856313130412"/>
    <n v="12.134554563743301"/>
    <n v="713027058"/>
    <x v="1"/>
    <n v="0.99876772999999996"/>
    <x v="1"/>
  </r>
  <r>
    <n v="64"/>
    <n v="0"/>
    <n v="0"/>
    <n v="5"/>
    <n v="2"/>
    <n v="4"/>
    <n v="0"/>
    <n v="36"/>
    <n v="3"/>
    <n v="2"/>
    <n v="1"/>
    <n v="1829"/>
    <n v="0"/>
    <n v="1829"/>
    <n v="0.57599999999999996"/>
    <n v="3950"/>
    <n v="65"/>
    <n v="0.54800000000000004"/>
    <n v="0"/>
    <s v="6.0563e-05"/>
    <n v="0.99994000000000005"/>
    <s v="7.174729276211866"/>
    <s v="4.541416637082793"/>
    <s v="48.121358017282056"/>
    <s v="24.34939224910676"/>
    <n v="714351558"/>
    <x v="0"/>
    <n v="8.1618299999999995E-4"/>
    <x v="0"/>
  </r>
  <r>
    <n v="58"/>
    <n v="1"/>
    <n v="2"/>
    <n v="6"/>
    <n v="1"/>
    <n v="2"/>
    <n v="0"/>
    <n v="51"/>
    <n v="4"/>
    <n v="2"/>
    <n v="2"/>
    <n v="14976"/>
    <n v="1463"/>
    <n v="13513"/>
    <n v="0.63500000000000001"/>
    <n v="1599"/>
    <n v="36"/>
    <n v="0.56499999999999995"/>
    <n v="9.8000000000000004E-2"/>
    <n v="1.2511E-4"/>
    <n v="0.99987000000000004"/>
    <s v="47.61814284407277"/>
    <s v="10.92766712428372"/>
    <s v="29.285380511659987"/>
    <n v="14.037016859"/>
    <n v="737944908"/>
    <x v="0"/>
    <n v="1.0598798E-3"/>
    <x v="0"/>
  </r>
  <r>
    <n v="65"/>
    <n v="0"/>
    <n v="0"/>
    <n v="2"/>
    <n v="1"/>
    <n v="1"/>
    <n v="0"/>
    <n v="56"/>
    <n v="5"/>
    <n v="3"/>
    <n v="0"/>
    <n v="2961"/>
    <n v="1570"/>
    <n v="1391"/>
    <n v="0.90800000000000003"/>
    <n v="1937"/>
    <n v="57"/>
    <n v="0.78100000000000003"/>
    <n v="0.53"/>
    <s v="5.694e-05"/>
    <n v="0.99994000000000005"/>
    <s v="8.931975116480183"/>
    <s v="5.070953017383602"/>
    <s v="118.2247599304708"/>
    <s v="17.559429737180917"/>
    <n v="789467508"/>
    <x v="0"/>
    <n v="5.2169719999999996E-4"/>
    <x v="0"/>
  </r>
  <r>
    <n v="46"/>
    <n v="1"/>
    <n v="3"/>
    <n v="2"/>
    <n v="3"/>
    <n v="2"/>
    <n v="3"/>
    <n v="40"/>
    <n v="6"/>
    <n v="3"/>
    <n v="2"/>
    <n v="28829"/>
    <n v="0"/>
    <n v="28829"/>
    <n v="0.46300000000000002"/>
    <n v="4540"/>
    <n v="78"/>
    <n v="0.56000000000000005"/>
    <n v="0"/>
    <n v="1.6865000000000001E-4"/>
    <n v="0.99983"/>
    <s v="3.367686448148983"/>
    <n v="83.160089550088699"/>
    <s v="76.09094485200528"/>
    <s v="2.423085054978494"/>
    <n v="793269933"/>
    <x v="0"/>
    <n v="7.387203E-4"/>
    <x v="0"/>
  </r>
  <r>
    <n v="44"/>
    <n v="0"/>
    <n v="2"/>
    <n v="2"/>
    <n v="2"/>
    <n v="4"/>
    <n v="0"/>
    <n v="36"/>
    <n v="5"/>
    <n v="2"/>
    <n v="3"/>
    <n v="2368"/>
    <n v="1244"/>
    <n v="1124"/>
    <n v="0.93500000000000005"/>
    <n v="4289"/>
    <n v="71"/>
    <n v="0.86799999999999999"/>
    <n v="0.52500000000000002"/>
    <n v="1.9143E-4"/>
    <n v="0.99980999999999998"/>
    <s v="0.8697219112588499"/>
    <n v="4.5361590367813197E-2"/>
    <s v="16.129391883010005"/>
    <s v="4.568479710376583"/>
    <n v="718436133"/>
    <x v="0"/>
    <n v="3.221314E-4"/>
    <x v="0"/>
  </r>
  <r>
    <n v="47"/>
    <n v="0"/>
    <n v="4"/>
    <n v="6"/>
    <n v="3"/>
    <n v="4"/>
    <n v="0"/>
    <n v="34"/>
    <n v="6"/>
    <n v="2"/>
    <n v="4"/>
    <n v="2424"/>
    <n v="0"/>
    <n v="2424"/>
    <n v="0.66200000000000003"/>
    <n v="3890"/>
    <n v="66"/>
    <n v="0.65"/>
    <n v="0"/>
    <n v="3.7644000000000002E-4"/>
    <n v="0.99961999999999995"/>
    <s v="2.0475275600546654"/>
    <s v="41.13242939841272"/>
    <s v="40.52004262560282"/>
    <n v="2.6708526447893E-2"/>
    <n v="712312908"/>
    <x v="0"/>
    <n v="7.4965424999999997E-4"/>
    <x v="0"/>
  </r>
  <r>
    <n v="47"/>
    <n v="1"/>
    <n v="3"/>
    <n v="5"/>
    <n v="3"/>
    <n v="1"/>
    <n v="0"/>
    <n v="36"/>
    <n v="3"/>
    <n v="3"/>
    <n v="3"/>
    <n v="10960"/>
    <n v="1333"/>
    <n v="9627"/>
    <n v="0.67800000000000005"/>
    <n v="3480"/>
    <n v="62"/>
    <n v="0.63200000000000001"/>
    <n v="0.122"/>
    <n v="3.2275000000000001E-4"/>
    <n v="0.99968000000000001"/>
    <s v="59.60812472218469"/>
    <s v="41.28209879979504"/>
    <s v="23.799299096878222"/>
    <s v="1.301342409724032"/>
    <n v="708504783"/>
    <x v="0"/>
    <n v="3.5672840999999999E-4"/>
    <x v="0"/>
  </r>
  <r>
    <n v="41"/>
    <n v="0"/>
    <n v="3"/>
    <n v="3"/>
    <n v="0"/>
    <n v="5"/>
    <n v="0"/>
    <n v="31"/>
    <n v="3"/>
    <n v="1"/>
    <n v="2"/>
    <n v="2416"/>
    <n v="1305"/>
    <n v="1111"/>
    <n v="0.93"/>
    <n v="4163"/>
    <n v="73"/>
    <n v="0.69799999999999995"/>
    <n v="0.54"/>
    <s v="5.5559e-05"/>
    <n v="0.99994000000000005"/>
    <s v="10.838092785230296"/>
    <s v="25.00139548104395"/>
    <s v="80.72381875334004"/>
    <s v="14.056898277010577"/>
    <n v="711206958"/>
    <x v="0"/>
    <n v="3.221314E-4"/>
    <x v="0"/>
  </r>
  <r>
    <n v="48"/>
    <n v="1"/>
    <n v="2"/>
    <n v="1"/>
    <n v="2"/>
    <n v="2"/>
    <n v="0"/>
    <n v="43"/>
    <n v="2"/>
    <n v="1"/>
    <n v="1"/>
    <n v="8086"/>
    <n v="0"/>
    <n v="8086"/>
    <n v="0.79200000000000004"/>
    <n v="4775"/>
    <n v="78"/>
    <n v="0.66"/>
    <n v="0"/>
    <s v="4.8064e-05"/>
    <n v="0.99995000000000001"/>
    <s v="15.613762756552626"/>
    <n v="76.214234169765405"/>
    <s v="83.24832962924191"/>
    <s v="3.040714460518327"/>
    <n v="809844108"/>
    <x v="0"/>
    <n v="6.9517245999999998E-4"/>
    <x v="0"/>
  </r>
  <r>
    <n v="48"/>
    <n v="0"/>
    <n v="3"/>
    <n v="6"/>
    <n v="2"/>
    <n v="4"/>
    <n v="0"/>
    <n v="37"/>
    <n v="2"/>
    <n v="2"/>
    <n v="1"/>
    <n v="2105"/>
    <n v="1072"/>
    <n v="1033"/>
    <n v="0.51400000000000001"/>
    <n v="4833"/>
    <n v="81"/>
    <n v="1.077"/>
    <n v="0.50900000000000001"/>
    <s v="7.8291e-05"/>
    <n v="0.99992000000000003"/>
    <s v="25.033007861561973"/>
    <s v="2.066490585555373"/>
    <s v="1.3698790491294002"/>
    <s v="20.634207360569317"/>
    <n v="717979008"/>
    <x v="0"/>
    <n v="3.2101269999999999E-4"/>
    <x v="0"/>
  </r>
  <r>
    <n v="40"/>
    <n v="1"/>
    <n v="2"/>
    <n v="3"/>
    <n v="3"/>
    <n v="3"/>
    <n v="3"/>
    <n v="32"/>
    <n v="5"/>
    <n v="2"/>
    <n v="3"/>
    <n v="34516"/>
    <n v="1182"/>
    <n v="33334"/>
    <n v="0.61299999999999999"/>
    <n v="2440"/>
    <n v="54"/>
    <n v="0.54300000000000004"/>
    <n v="3.4000000000000002E-2"/>
    <n v="1.6814999999999999E-4"/>
    <n v="0.99983"/>
    <s v="41.36986259329502"/>
    <s v="50.18113098016856"/>
    <s v="20.665921860390476"/>
    <s v="7.431609697293427"/>
    <n v="708195633"/>
    <x v="0"/>
    <n v="7.485549E-4"/>
    <x v="0"/>
  </r>
  <r>
    <n v="56"/>
    <n v="0"/>
    <n v="4"/>
    <n v="3"/>
    <n v="2"/>
    <n v="1"/>
    <n v="0"/>
    <n v="44"/>
    <n v="3"/>
    <n v="2"/>
    <n v="2"/>
    <n v="2610"/>
    <n v="1988"/>
    <n v="622"/>
    <n v="0.57599999999999996"/>
    <n v="4127"/>
    <n v="69"/>
    <n v="0.53300000000000003"/>
    <n v="0.76200000000000001"/>
    <n v="1.1603999999999999E-4"/>
    <n v="0.99987999999999999"/>
    <s v="1.8820818244532116"/>
    <s v="56.40388625694681"/>
    <s v="104.85812760699966"/>
    <s v="0.9233145820426796"/>
    <n v="712048008"/>
    <x v="0"/>
    <n v="3.2914013999999999E-4"/>
    <x v="0"/>
  </r>
  <r>
    <n v="59"/>
    <n v="0"/>
    <n v="2"/>
    <n v="6"/>
    <n v="2"/>
    <n v="5"/>
    <n v="0"/>
    <n v="45"/>
    <n v="1"/>
    <n v="3"/>
    <n v="3"/>
    <n v="2721"/>
    <n v="1885"/>
    <n v="836"/>
    <n v="0.85299999999999998"/>
    <n v="2594"/>
    <n v="48"/>
    <n v="0.45500000000000002"/>
    <n v="0.69299999999999995"/>
    <n v="0.997"/>
    <n v="2.9974300000000001E-3"/>
    <s v="24.399674579422605"/>
    <s v="24.58291125403529"/>
    <s v="76.12378999695413"/>
    <s v="3.6492282910935354"/>
    <n v="720519333"/>
    <x v="1"/>
    <n v="0.99633706"/>
    <x v="1"/>
  </r>
  <r>
    <n v="38"/>
    <n v="0"/>
    <n v="2"/>
    <n v="3"/>
    <n v="1"/>
    <n v="1"/>
    <n v="0"/>
    <n v="27"/>
    <n v="3"/>
    <n v="2"/>
    <n v="3"/>
    <n v="1776"/>
    <n v="1586"/>
    <n v="190"/>
    <n v="0.79800000000000004"/>
    <n v="4350"/>
    <n v="71"/>
    <n v="0.86799999999999999"/>
    <n v="0.89300000000000002"/>
    <n v="1.861E-4"/>
    <n v="0.99980999999999998"/>
    <s v="40.54238101198551"/>
    <s v="48.27164743589197"/>
    <s v="66.89622966204166"/>
    <s v="7.018034793635797"/>
    <n v="717855933"/>
    <x v="0"/>
    <n v="3.2101269999999999E-4"/>
    <x v="0"/>
  </r>
  <r>
    <n v="38"/>
    <n v="0"/>
    <n v="2"/>
    <n v="5"/>
    <n v="2"/>
    <n v="1"/>
    <n v="0"/>
    <n v="31"/>
    <n v="5"/>
    <n v="2"/>
    <n v="2"/>
    <n v="12228"/>
    <n v="2137"/>
    <n v="10091"/>
    <n v="0.55300000000000005"/>
    <n v="3831"/>
    <n v="68"/>
    <n v="0.51100000000000001"/>
    <n v="0.17499999999999999"/>
    <n v="1.1703E-4"/>
    <n v="0.99987999999999999"/>
    <s v="58.43071110243124"/>
    <s v="74.39108639861684"/>
    <s v="45.48367873372092"/>
    <s v="13.641430096134922"/>
    <n v="716093133"/>
    <x v="0"/>
    <n v="3.4439339999999999E-4"/>
    <x v="0"/>
  </r>
  <r>
    <n v="26"/>
    <n v="0"/>
    <n v="0"/>
    <n v="3"/>
    <n v="2"/>
    <n v="5"/>
    <n v="0"/>
    <n v="13"/>
    <n v="3"/>
    <n v="3"/>
    <n v="4"/>
    <n v="10286"/>
    <n v="2286"/>
    <n v="8000"/>
    <n v="0.67100000000000004"/>
    <n v="2564"/>
    <n v="57"/>
    <n v="0.46200000000000002"/>
    <n v="0.222"/>
    <n v="4.3049000000000001E-4"/>
    <n v="0.99956999999999996"/>
    <s v="8.266456966720101"/>
    <n v="37.7968190370296"/>
    <s v="33.80233917633244"/>
    <s v="13.533283296076792"/>
    <n v="788761608"/>
    <x v="0"/>
    <n v="6.1807514000000003E-4"/>
    <x v="0"/>
  </r>
  <r>
    <n v="42"/>
    <n v="0"/>
    <n v="3"/>
    <n v="2"/>
    <n v="1"/>
    <n v="4"/>
    <n v="0"/>
    <n v="33"/>
    <n v="6"/>
    <n v="3"/>
    <n v="3"/>
    <n v="8628"/>
    <n v="1077"/>
    <n v="7551"/>
    <n v="0.872"/>
    <n v="1675"/>
    <n v="58"/>
    <n v="0.41499999999999998"/>
    <n v="0.125"/>
    <n v="3.1389999999999999E-4"/>
    <n v="0.99968999999999997"/>
    <n v="35.388451392882097"/>
    <s v="33.61839297254889"/>
    <s v="125.43837271386266"/>
    <s v="8.729080759895103"/>
    <n v="717713283"/>
    <x v="0"/>
    <n v="4.7270640000000001E-4"/>
    <x v="0"/>
  </r>
  <r>
    <n v="48"/>
    <n v="1"/>
    <n v="4"/>
    <n v="2"/>
    <n v="1"/>
    <n v="3"/>
    <n v="0"/>
    <n v="33"/>
    <n v="1"/>
    <n v="3"/>
    <n v="2"/>
    <n v="4963"/>
    <n v="2115"/>
    <n v="2848"/>
    <n v="0.76700000000000002"/>
    <n v="4989"/>
    <n v="78"/>
    <n v="0.69599999999999995"/>
    <n v="0.42599999999999999"/>
    <n v="1.8864000000000001E-4"/>
    <n v="0.99980999999999998"/>
    <s v="14.578666839640432"/>
    <s v="24.231781914297475"/>
    <s v="37.09822040560022"/>
    <s v="15.71559806118867"/>
    <n v="779141658"/>
    <x v="0"/>
    <n v="3.2101269999999999E-4"/>
    <x v="0"/>
  </r>
  <r>
    <n v="52"/>
    <n v="1"/>
    <n v="3"/>
    <n v="2"/>
    <n v="1"/>
    <n v="3"/>
    <n v="0"/>
    <n v="42"/>
    <n v="5"/>
    <n v="2"/>
    <n v="4"/>
    <n v="17302"/>
    <n v="1339"/>
    <n v="15963"/>
    <n v="0.63100000000000001"/>
    <n v="1181"/>
    <n v="30"/>
    <n v="1"/>
    <n v="7.6999999999999999E-2"/>
    <n v="3.3886000000000002E-4"/>
    <n v="0.99965999999999999"/>
    <s v="39.05138171334557"/>
    <s v="73.01892235743738"/>
    <s v="83.87451209173663"/>
    <n v="26.709223090399401"/>
    <n v="719506983"/>
    <x v="0"/>
    <n v="1.041906E-3"/>
    <x v="0"/>
  </r>
  <r>
    <n v="45"/>
    <n v="0"/>
    <n v="2"/>
    <n v="0"/>
    <n v="3"/>
    <n v="4"/>
    <n v="0"/>
    <n v="29"/>
    <n v="2"/>
    <n v="2"/>
    <n v="3"/>
    <n v="1438.3"/>
    <n v="0"/>
    <n v="1438.3"/>
    <n v="0.72899999999999998"/>
    <n v="5025"/>
    <n v="85"/>
    <n v="0.73499999999999999"/>
    <n v="0"/>
    <n v="1.8611999999999999E-4"/>
    <n v="0.99980999999999998"/>
    <s v="41.790355806809046"/>
    <n v="68.958180992657006"/>
    <s v="50.29147112624573"/>
    <s v="15.286529906034456"/>
    <n v="769662033"/>
    <x v="0"/>
    <n v="6.9517245999999998E-4"/>
    <x v="0"/>
  </r>
  <r>
    <n v="63"/>
    <n v="1"/>
    <n v="1"/>
    <n v="2"/>
    <n v="2"/>
    <n v="3"/>
    <n v="0"/>
    <n v="55"/>
    <n v="6"/>
    <n v="1"/>
    <n v="2"/>
    <n v="21430"/>
    <n v="0"/>
    <n v="21430"/>
    <n v="0.51100000000000001"/>
    <n v="3561"/>
    <n v="57"/>
    <n v="0.67600000000000005"/>
    <n v="0"/>
    <s v="5.1697e-05"/>
    <n v="0.99995000000000001"/>
    <s v="31.57451169625068"/>
    <s v="11.161323080772174"/>
    <s v="69.97964730131332"/>
    <s v="6.490417360352384"/>
    <n v="713037333"/>
    <x v="0"/>
    <n v="1.2228143999999999E-3"/>
    <x v="0"/>
  </r>
  <r>
    <n v="41"/>
    <n v="0"/>
    <n v="3"/>
    <n v="2"/>
    <n v="1"/>
    <n v="4"/>
    <n v="0"/>
    <n v="36"/>
    <n v="4"/>
    <n v="3"/>
    <n v="3"/>
    <n v="3203"/>
    <n v="2366"/>
    <n v="837"/>
    <n v="0.66500000000000004"/>
    <n v="4282"/>
    <n v="82"/>
    <n v="0.78300000000000003"/>
    <n v="0.73899999999999999"/>
    <n v="3.1389999999999999E-4"/>
    <n v="0.99968999999999997"/>
    <s v="11.90377074850896"/>
    <s v="32.93159829085938"/>
    <s v="51.128752197450325"/>
    <s v="5.4083319114460044"/>
    <n v="709732608"/>
    <x v="0"/>
    <n v="3.2101269999999999E-4"/>
    <x v="0"/>
  </r>
  <r>
    <n v="55"/>
    <n v="0"/>
    <n v="3"/>
    <n v="0"/>
    <n v="1"/>
    <n v="1"/>
    <n v="0"/>
    <n v="36"/>
    <n v="5"/>
    <n v="1"/>
    <n v="3"/>
    <n v="2240"/>
    <n v="1231"/>
    <n v="1009"/>
    <n v="0.63700000000000001"/>
    <n v="3623"/>
    <n v="71"/>
    <n v="0.69"/>
    <n v="0.55000000000000004"/>
    <s v="9.3457e-05"/>
    <n v="0.99990999999999997"/>
    <s v="34.322848811665544"/>
    <s v="19.27284170782345"/>
    <s v="20.31880762797745"/>
    <s v="12.023151131875148"/>
    <n v="713503983"/>
    <x v="0"/>
    <n v="3.2101269999999999E-4"/>
    <x v="0"/>
  </r>
  <r>
    <n v="50"/>
    <n v="1"/>
    <n v="3"/>
    <n v="6"/>
    <n v="1"/>
    <n v="2"/>
    <n v="0"/>
    <n v="36"/>
    <n v="4"/>
    <n v="3"/>
    <n v="2"/>
    <n v="3276"/>
    <n v="2353"/>
    <n v="923"/>
    <n v="0.72499999999999998"/>
    <n v="4488"/>
    <n v="92"/>
    <n v="0.73599999999999999"/>
    <n v="0.71799999999999997"/>
    <n v="2.0515999999999999E-4"/>
    <n v="0.99978999999999996"/>
    <s v="12.667075057003348"/>
    <s v="60.146958786685765"/>
    <s v="60.66334261090751"/>
    <s v="5.691605683327264"/>
    <n v="710369658"/>
    <x v="0"/>
    <n v="3.2101269999999999E-4"/>
    <x v="0"/>
  </r>
  <r>
    <n v="55"/>
    <n v="0"/>
    <n v="2"/>
    <n v="0"/>
    <n v="3"/>
    <n v="5"/>
    <n v="0"/>
    <n v="41"/>
    <n v="6"/>
    <n v="2"/>
    <n v="2"/>
    <n v="7613"/>
    <n v="0"/>
    <n v="7613"/>
    <n v="0.68"/>
    <n v="4268"/>
    <n v="69"/>
    <n v="0.72499999999999998"/>
    <n v="0"/>
    <n v="1.1066E-4"/>
    <n v="0.99988999999999995"/>
    <s v="13.623437098397034"/>
    <s v="43.27925744709232"/>
    <s v="33.272586117107124"/>
    <s v="2.9374172019598164"/>
    <n v="817616433"/>
    <x v="0"/>
    <n v="7.4965424999999997E-4"/>
    <x v="0"/>
  </r>
  <r>
    <n v="61"/>
    <n v="0"/>
    <n v="0"/>
    <n v="2"/>
    <n v="1"/>
    <n v="1"/>
    <n v="0"/>
    <n v="50"/>
    <n v="3"/>
    <n v="3"/>
    <n v="0"/>
    <n v="4906"/>
    <n v="2185"/>
    <n v="2721"/>
    <n v="0.66"/>
    <n v="3999"/>
    <n v="71"/>
    <n v="1.0880000000000001"/>
    <n v="0.44500000000000001"/>
    <s v="5.694e-05"/>
    <n v="0.99994000000000005"/>
    <s v="57.89660485203943"/>
    <n v="9.9062429908071792"/>
    <s v="36.717523970849584"/>
    <s v="0.9197773450624036"/>
    <n v="708145908"/>
    <x v="0"/>
    <n v="3.2101269999999999E-4"/>
    <x v="0"/>
  </r>
  <r>
    <n v="38"/>
    <n v="0"/>
    <n v="1"/>
    <n v="1"/>
    <n v="2"/>
    <n v="4"/>
    <n v="0"/>
    <n v="26"/>
    <n v="5"/>
    <n v="2"/>
    <n v="4"/>
    <n v="1934"/>
    <n v="985"/>
    <n v="949"/>
    <n v="0.72"/>
    <n v="4019"/>
    <n v="78"/>
    <n v="0.85699999999999998"/>
    <n v="0.50900000000000001"/>
    <n v="4.4352999999999998E-4"/>
    <n v="0.99956"/>
    <s v="5.706770374334957"/>
    <s v="51.82063327642446"/>
    <s v="57.47904694813997"/>
    <s v="3.686738387355285"/>
    <n v="720014358"/>
    <x v="0"/>
    <n v="3.6347970000000002E-4"/>
    <x v="0"/>
  </r>
  <r>
    <n v="45"/>
    <n v="0"/>
    <n v="5"/>
    <n v="2"/>
    <n v="2"/>
    <n v="4"/>
    <n v="0"/>
    <n v="34"/>
    <n v="5"/>
    <n v="1"/>
    <n v="0"/>
    <n v="8694"/>
    <n v="961"/>
    <n v="7733"/>
    <n v="0.55100000000000005"/>
    <n v="1753"/>
    <n v="49"/>
    <n v="0.441"/>
    <n v="0.111"/>
    <s v="2.0974e-05"/>
    <n v="0.99997999999999998"/>
    <s v="21.65114448883113"/>
    <s v="3.5896817197898305"/>
    <s v="3.1975318600536107"/>
    <s v="5.004830060835303"/>
    <n v="720135333"/>
    <x v="0"/>
    <n v="1.2571698999999999E-3"/>
    <x v="0"/>
  </r>
  <r>
    <n v="32"/>
    <n v="0"/>
    <n v="1"/>
    <n v="3"/>
    <n v="1"/>
    <n v="4"/>
    <n v="0"/>
    <n v="36"/>
    <n v="1"/>
    <n v="1"/>
    <n v="2"/>
    <n v="4097"/>
    <n v="1293"/>
    <n v="2804"/>
    <n v="0.67100000000000004"/>
    <n v="15925"/>
    <n v="100"/>
    <n v="0.78600000000000003"/>
    <n v="0.316"/>
    <s v="5.0256e-05"/>
    <n v="0.99995000000000001"/>
    <s v="59.96110513868962"/>
    <s v="81.79224947533964"/>
    <s v="42.10177638179064"/>
    <s v="3.820702489537435"/>
    <n v="713379258"/>
    <x v="0"/>
    <n v="3.4656386999999997E-4"/>
    <x v="0"/>
  </r>
  <r>
    <n v="37"/>
    <n v="0"/>
    <n v="2"/>
    <n v="3"/>
    <n v="2"/>
    <n v="4"/>
    <n v="0"/>
    <n v="36"/>
    <n v="5"/>
    <n v="2"/>
    <n v="1"/>
    <n v="2535"/>
    <n v="1352"/>
    <n v="1183"/>
    <n v="0.50900000000000001"/>
    <n v="3840"/>
    <n v="72"/>
    <n v="0.56499999999999995"/>
    <n v="0.53300000000000003"/>
    <s v="6.6728e-05"/>
    <n v="0.99992999999999999"/>
    <s v="10.348587301817563"/>
    <s v="33.936210893655534"/>
    <s v="23.47533898411797"/>
    <s v="10.17795020063252"/>
    <n v="715866033"/>
    <x v="0"/>
    <n v="3.2914013999999999E-4"/>
    <x v="0"/>
  </r>
  <r>
    <n v="49"/>
    <n v="0"/>
    <n v="2"/>
    <n v="5"/>
    <n v="1"/>
    <n v="4"/>
    <n v="0"/>
    <n v="38"/>
    <n v="6"/>
    <n v="3"/>
    <n v="3"/>
    <n v="2468"/>
    <n v="0"/>
    <n v="2468"/>
    <n v="1.0569999999999999"/>
    <n v="3371"/>
    <n v="62"/>
    <n v="0.67600000000000005"/>
    <n v="0"/>
    <n v="3.1104E-4"/>
    <n v="0.99968999999999997"/>
    <s v="32.02746532623795"/>
    <s v="73.21329190165763"/>
    <s v="49.52562452632996"/>
    <s v="7.647629296714312"/>
    <n v="712263258"/>
    <x v="0"/>
    <n v="8.1327866000000003E-4"/>
    <x v="0"/>
  </r>
  <r>
    <n v="37"/>
    <n v="1"/>
    <n v="1"/>
    <n v="2"/>
    <n v="1"/>
    <n v="3"/>
    <n v="0"/>
    <n v="26"/>
    <n v="6"/>
    <n v="3"/>
    <n v="1"/>
    <n v="8058"/>
    <n v="1176"/>
    <n v="6882"/>
    <n v="1.1639999999999999"/>
    <n v="2774"/>
    <n v="52"/>
    <n v="0.625"/>
    <n v="0.14599999999999999"/>
    <n v="1.0182E-4"/>
    <n v="0.99990000000000001"/>
    <s v="0.9521044321848902"/>
    <s v="10.952846269761936"/>
    <s v="0.5228623466245108"/>
    <n v="5.0411972037496096"/>
    <n v="717399183"/>
    <x v="0"/>
    <n v="7.9170620000000005E-4"/>
    <x v="0"/>
  </r>
  <r>
    <n v="44"/>
    <n v="0"/>
    <n v="3"/>
    <n v="5"/>
    <n v="2"/>
    <n v="4"/>
    <n v="0"/>
    <n v="32"/>
    <n v="2"/>
    <n v="2"/>
    <n v="1"/>
    <n v="1438.3"/>
    <n v="894"/>
    <n v="544.29999999999995"/>
    <n v="0.76200000000000001"/>
    <n v="4687"/>
    <n v="85"/>
    <n v="0.93200000000000005"/>
    <n v="0.622"/>
    <s v="7.3235e-05"/>
    <n v="0.99992999999999999"/>
    <s v="58.26454403594264"/>
    <s v="21.751948971962157"/>
    <s v="125.9706079168363"/>
    <s v="17.257095357317663"/>
    <n v="713068833"/>
    <x v="0"/>
    <n v="4.2162873000000002E-4"/>
    <x v="0"/>
  </r>
  <r>
    <n v="46"/>
    <n v="0"/>
    <n v="2"/>
    <n v="0"/>
    <n v="2"/>
    <n v="4"/>
    <n v="0"/>
    <n v="36"/>
    <n v="3"/>
    <n v="2"/>
    <n v="2"/>
    <n v="1438.3"/>
    <n v="0"/>
    <n v="1438.3"/>
    <n v="0.75700000000000001"/>
    <n v="5005"/>
    <n v="79"/>
    <n v="0.79500000000000004"/>
    <n v="0"/>
    <n v="1.1066E-4"/>
    <n v="0.99988999999999995"/>
    <s v="44.18374359004596"/>
    <s v="28.586062202304262"/>
    <s v="43.128081288633645"/>
    <s v="9.705490296725728"/>
    <n v="718566858"/>
    <x v="0"/>
    <n v="6.9517245999999998E-4"/>
    <x v="0"/>
  </r>
  <r>
    <n v="53"/>
    <n v="0"/>
    <n v="1"/>
    <n v="5"/>
    <n v="2"/>
    <n v="4"/>
    <n v="0"/>
    <n v="39"/>
    <n v="4"/>
    <n v="3"/>
    <n v="4"/>
    <n v="1773"/>
    <n v="1539"/>
    <n v="234"/>
    <n v="0.89300000000000002"/>
    <n v="4087"/>
    <n v="74"/>
    <n v="0.76200000000000001"/>
    <n v="0.86799999999999999"/>
    <n v="4.9799999999999996E-4"/>
    <n v="0.99950000000000006"/>
    <s v="24.492460808313083"/>
    <s v="13.498933953768162"/>
    <s v="102.95906943357056"/>
    <s v="7.128407363152089"/>
    <n v="719245083"/>
    <x v="0"/>
    <n v="3.221314E-4"/>
    <x v="0"/>
  </r>
  <r>
    <n v="45"/>
    <n v="0"/>
    <n v="4"/>
    <n v="0"/>
    <n v="3"/>
    <n v="4"/>
    <n v="0"/>
    <n v="40"/>
    <n v="1"/>
    <n v="2"/>
    <n v="1"/>
    <n v="1795"/>
    <n v="1058"/>
    <n v="737"/>
    <n v="0.77800000000000002"/>
    <n v="5575"/>
    <n v="73"/>
    <n v="0.73799999999999999"/>
    <n v="0.58899999999999997"/>
    <s v="6.9988e-05"/>
    <n v="0.99992999999999999"/>
    <s v="8.385368188497482"/>
    <s v="0.5677408531565817"/>
    <s v="91.89170567257904"/>
    <s v="0.6793776949960658"/>
    <n v="814989933"/>
    <x v="0"/>
    <n v="5.5846529999999995E-4"/>
    <x v="0"/>
  </r>
  <r>
    <n v="50"/>
    <n v="0"/>
    <n v="2"/>
    <n v="0"/>
    <n v="3"/>
    <n v="5"/>
    <n v="0"/>
    <n v="39"/>
    <n v="2"/>
    <n v="3"/>
    <n v="2"/>
    <n v="1438.3"/>
    <n v="0"/>
    <n v="1438.3"/>
    <n v="0.58799999999999997"/>
    <n v="1859"/>
    <n v="41"/>
    <n v="0.46400000000000002"/>
    <n v="0"/>
    <n v="0.99431999999999998"/>
    <n v="5.6800000000000002E-3"/>
    <s v="32.92955319485469"/>
    <n v="70.776499616787206"/>
    <s v="41.27623804163253"/>
    <s v="14.829366511613369"/>
    <n v="716575758"/>
    <x v="1"/>
    <n v="0.99868020000000002"/>
    <x v="1"/>
  </r>
  <r>
    <n v="48"/>
    <n v="1"/>
    <n v="4"/>
    <n v="3"/>
    <n v="1"/>
    <n v="3"/>
    <n v="0"/>
    <n v="36"/>
    <n v="6"/>
    <n v="2"/>
    <n v="4"/>
    <n v="19762"/>
    <n v="507"/>
    <n v="19255"/>
    <n v="0.85"/>
    <n v="2793"/>
    <n v="67"/>
    <n v="0.59499999999999997"/>
    <n v="2.5999999999999999E-2"/>
    <n v="3.3293999999999999E-4"/>
    <n v="0.99966999999999995"/>
    <s v="18.65191840793107"/>
    <s v="8.952583362988324"/>
    <s v="45.77424733109746"/>
    <s v="9.503538894150331"/>
    <n v="715855083"/>
    <x v="0"/>
    <n v="9.6636479999999999E-4"/>
    <x v="0"/>
  </r>
  <r>
    <n v="44"/>
    <n v="0"/>
    <n v="4"/>
    <n v="5"/>
    <n v="2"/>
    <n v="1"/>
    <n v="0"/>
    <n v="34"/>
    <n v="1"/>
    <n v="3"/>
    <n v="3"/>
    <n v="3657"/>
    <n v="0"/>
    <n v="3657"/>
    <n v="0.78500000000000003"/>
    <n v="14802"/>
    <n v="95"/>
    <n v="0.66700000000000004"/>
    <n v="0"/>
    <n v="3.2620000000000001E-4"/>
    <n v="0.99966999999999995"/>
    <s v="39.58366503945698"/>
    <s v="54.99662715777701"/>
    <s v="51.92323507288436"/>
    <s v="5.024989947180129"/>
    <n v="802622733"/>
    <x v="0"/>
    <n v="7.5047980000000002E-4"/>
    <x v="0"/>
  </r>
  <r>
    <n v="47"/>
    <n v="0"/>
    <n v="4"/>
    <n v="0"/>
    <n v="1"/>
    <n v="5"/>
    <n v="0"/>
    <n v="38"/>
    <n v="3"/>
    <n v="2"/>
    <n v="1"/>
    <n v="1438.3"/>
    <n v="0"/>
    <n v="1438.3"/>
    <n v="0.68"/>
    <n v="4503"/>
    <n v="89"/>
    <n v="0.97799999999999998"/>
    <n v="0"/>
    <s v="6.9988e-05"/>
    <n v="0.99992999999999999"/>
    <s v="28.741985990168544"/>
    <s v="21.50512446841404"/>
    <s v="49.49853902689837"/>
    <s v="8.158029370274624"/>
    <n v="789419658"/>
    <x v="0"/>
    <n v="6.9517245999999998E-4"/>
    <x v="0"/>
  </r>
  <r>
    <n v="49"/>
    <n v="0"/>
    <n v="1"/>
    <n v="2"/>
    <n v="1"/>
    <n v="4"/>
    <n v="0"/>
    <n v="44"/>
    <n v="2"/>
    <n v="1"/>
    <n v="1"/>
    <n v="8284"/>
    <n v="797"/>
    <n v="7487"/>
    <n v="0.82399999999999995"/>
    <n v="13092"/>
    <n v="102"/>
    <n v="0.56899999999999995"/>
    <n v="9.6000000000000002E-2"/>
    <s v="3.1176e-05"/>
    <n v="0.99997000000000003"/>
    <s v="6.307556308878596"/>
    <s v="17.27897956670707"/>
    <s v="62.30224796889953"/>
    <s v="20.72651655943398"/>
    <n v="806992533"/>
    <x v="0"/>
    <n v="5.8186149999999999E-4"/>
    <x v="0"/>
  </r>
  <r>
    <n v="51"/>
    <n v="0"/>
    <n v="1"/>
    <n v="3"/>
    <n v="2"/>
    <n v="4"/>
    <n v="0"/>
    <n v="43"/>
    <n v="4"/>
    <n v="3"/>
    <n v="2"/>
    <n v="2827"/>
    <n v="1308"/>
    <n v="1519"/>
    <n v="0.79"/>
    <n v="3291"/>
    <n v="55"/>
    <n v="0.61799999999999999"/>
    <n v="0.46300000000000002"/>
    <n v="1.6412999999999999E-4"/>
    <n v="0.99983999999999995"/>
    <s v="22.17211265197958"/>
    <s v="38.08628987105632"/>
    <s v="27.995233735011453"/>
    <s v="14.325076235916043"/>
    <n v="716532258"/>
    <x v="0"/>
    <n v="4.9584946999999999E-4"/>
    <x v="0"/>
  </r>
  <r>
    <n v="44"/>
    <n v="0"/>
    <n v="1"/>
    <n v="3"/>
    <n v="2"/>
    <n v="4"/>
    <n v="0"/>
    <n v="36"/>
    <n v="3"/>
    <n v="3"/>
    <n v="3"/>
    <n v="6159"/>
    <n v="1640"/>
    <n v="4519"/>
    <n v="0.61899999999999999"/>
    <n v="13517"/>
    <n v="106"/>
    <n v="0.65600000000000003"/>
    <n v="0.26600000000000001"/>
    <n v="2.7604000000000002E-4"/>
    <n v="0.99972000000000005"/>
    <s v="0.8395739454740174"/>
    <s v="17.715266618646304"/>
    <s v="16.473607959462658"/>
    <s v="1.957378414212888"/>
    <n v="709332408"/>
    <x v="0"/>
    <n v="3.4656386999999997E-4"/>
    <x v="0"/>
  </r>
  <r>
    <n v="51"/>
    <n v="1"/>
    <n v="3"/>
    <n v="0"/>
    <n v="2"/>
    <n v="1"/>
    <n v="0"/>
    <n v="45"/>
    <n v="4"/>
    <n v="3"/>
    <n v="0"/>
    <n v="3272"/>
    <n v="1896"/>
    <n v="1376"/>
    <n v="0.72499999999999998"/>
    <n v="4220"/>
    <n v="74"/>
    <n v="0.89700000000000002"/>
    <n v="0.57899999999999996"/>
    <s v="6.6941e-05"/>
    <n v="0.99992999999999999"/>
    <n v="2.7078735982336299"/>
    <s v="14.567377869981708"/>
    <s v="25.07724589155251"/>
    <s v="0.4077786810441155"/>
    <n v="768141558"/>
    <x v="0"/>
    <n v="3.2101269999999999E-4"/>
    <x v="0"/>
  </r>
  <r>
    <n v="35"/>
    <n v="1"/>
    <n v="3"/>
    <n v="3"/>
    <n v="1"/>
    <n v="1"/>
    <n v="0"/>
    <n v="27"/>
    <n v="1"/>
    <n v="2"/>
    <n v="3"/>
    <n v="14382"/>
    <n v="1950"/>
    <n v="12432"/>
    <n v="0.57799999999999996"/>
    <n v="12941"/>
    <n v="131"/>
    <n v="0.81899999999999995"/>
    <n v="0.13600000000000001"/>
    <n v="1.9311E-4"/>
    <n v="0.99980999999999998"/>
    <s v="54.39031382496503"/>
    <s v="11.12501328260886"/>
    <s v="86.24549722176681"/>
    <s v="4.266231775245015"/>
    <n v="711010683"/>
    <x v="0"/>
    <n v="3.4656386999999997E-4"/>
    <x v="0"/>
  </r>
  <r>
    <n v="27"/>
    <n v="0"/>
    <n v="0"/>
    <n v="5"/>
    <n v="2"/>
    <n v="4"/>
    <n v="3"/>
    <n v="19"/>
    <n v="3"/>
    <n v="3"/>
    <n v="3"/>
    <n v="10982"/>
    <n v="2517"/>
    <n v="8465"/>
    <n v="0.84"/>
    <n v="13563"/>
    <n v="97"/>
    <n v="0.73199999999999998"/>
    <n v="0.22900000000000001"/>
    <n v="2.4117999999999999E-4"/>
    <n v="0.99975999999999998"/>
    <s v="67.18356765064401"/>
    <s v="5.550959385944518"/>
    <s v="2.1065014814644987"/>
    <s v="9.280238382050564"/>
    <n v="721086483"/>
    <x v="0"/>
    <n v="3.7453471999999999E-4"/>
    <x v="0"/>
  </r>
  <r>
    <n v="43"/>
    <n v="0"/>
    <n v="1"/>
    <n v="2"/>
    <n v="3"/>
    <n v="4"/>
    <n v="0"/>
    <n v="32"/>
    <n v="4"/>
    <n v="4"/>
    <n v="3"/>
    <n v="1834"/>
    <n v="1416"/>
    <n v="418"/>
    <n v="0.86799999999999999"/>
    <n v="5653"/>
    <n v="79"/>
    <n v="0.92700000000000005"/>
    <n v="0.77200000000000002"/>
    <n v="3.4315000000000002E-4"/>
    <n v="0.99965999999999999"/>
    <n v="5.6286014148912002"/>
    <s v="35.802479182924266"/>
    <s v="30.03539321011897"/>
    <s v="2.2318768535352445"/>
    <n v="720003558"/>
    <x v="0"/>
    <n v="5.0494296000000004E-4"/>
    <x v="0"/>
  </r>
  <r>
    <n v="36"/>
    <n v="1"/>
    <n v="2"/>
    <n v="1"/>
    <n v="2"/>
    <n v="1"/>
    <n v="0"/>
    <n v="26"/>
    <n v="4"/>
    <n v="3"/>
    <n v="2"/>
    <n v="2845"/>
    <n v="2517"/>
    <n v="328"/>
    <n v="0.68600000000000005"/>
    <n v="2396"/>
    <n v="51"/>
    <n v="0.5"/>
    <n v="0.88500000000000001"/>
    <n v="2.6027999999999999E-4"/>
    <n v="0.99973999999999996"/>
    <s v="0.7625715401691392"/>
    <s v="13.41181186118006"/>
    <s v="3.162586323171175"/>
    <s v="7.452594362686101"/>
    <n v="718934058"/>
    <x v="0"/>
    <n v="1.2722325E-3"/>
    <x v="0"/>
  </r>
  <r>
    <n v="47"/>
    <n v="1"/>
    <n v="1"/>
    <n v="6"/>
    <n v="0"/>
    <n v="3"/>
    <n v="3"/>
    <n v="38"/>
    <n v="3"/>
    <n v="2"/>
    <n v="3"/>
    <n v="34516"/>
    <n v="802"/>
    <n v="33714"/>
    <n v="0.89900000000000002"/>
    <n v="1823"/>
    <n v="27"/>
    <n v="0.8"/>
    <n v="2.3E-2"/>
    <n v="1.7846E-4"/>
    <n v="0.99982000000000004"/>
    <s v="7.805845993559632"/>
    <n v="93.450505015068202"/>
    <s v="32.56735715234891"/>
    <s v="17.206856082069933"/>
    <n v="772935108"/>
    <x v="0"/>
    <n v="2.0312112999999999E-3"/>
    <x v="0"/>
  </r>
  <r>
    <n v="57"/>
    <n v="1"/>
    <n v="2"/>
    <n v="2"/>
    <n v="2"/>
    <n v="4"/>
    <n v="0"/>
    <n v="39"/>
    <n v="3"/>
    <n v="4"/>
    <n v="3"/>
    <n v="3451"/>
    <n v="0"/>
    <n v="3451"/>
    <n v="0.74399999999999999"/>
    <n v="3031"/>
    <n v="57"/>
    <n v="0.67600000000000005"/>
    <n v="0"/>
    <n v="3.6558000000000001E-4"/>
    <n v="0.99963000000000002"/>
    <s v="27.54742319074961"/>
    <s v="45.78229346198842"/>
    <s v="120.9676362312644"/>
    <s v="2.075077824806843"/>
    <n v="720231108"/>
    <x v="0"/>
    <n v="1.3684089000000001E-3"/>
    <x v="0"/>
  </r>
  <r>
    <n v="46"/>
    <n v="1"/>
    <n v="5"/>
    <n v="1"/>
    <n v="0"/>
    <n v="0"/>
    <n v="0"/>
    <n v="31"/>
    <n v="1"/>
    <n v="2"/>
    <n v="2"/>
    <n v="34516"/>
    <n v="1802"/>
    <n v="32714"/>
    <n v="0.871"/>
    <n v="7936"/>
    <n v="101"/>
    <n v="0.48499999999999999"/>
    <n v="5.1999999999999998E-2"/>
    <n v="1.7003999999999999E-4"/>
    <n v="0.99983"/>
    <s v="1.9068742420847815"/>
    <s v="28.33904073912179"/>
    <s v="47.589448616056345"/>
    <s v="16.65668728324738"/>
    <n v="708153558"/>
    <x v="0"/>
    <n v="4.3658480000000001E-4"/>
    <x v="0"/>
  </r>
  <r>
    <n v="44"/>
    <n v="0"/>
    <n v="4"/>
    <n v="5"/>
    <n v="1"/>
    <n v="4"/>
    <n v="3"/>
    <n v="36"/>
    <n v="6"/>
    <n v="3"/>
    <n v="0"/>
    <n v="11879"/>
    <n v="0"/>
    <n v="11879"/>
    <n v="0.73499999999999999"/>
    <n v="3490"/>
    <n v="62"/>
    <n v="0.93799999999999994"/>
    <n v="0"/>
    <s v="6.4651e-05"/>
    <n v="0.99994000000000005"/>
    <s v="9.730625475303423"/>
    <n v="44.7107546705247"/>
    <s v="77.19525714082616"/>
    <s v="0.7049036252277622"/>
    <n v="712934583"/>
    <x v="0"/>
    <n v="8.1245880000000001E-4"/>
    <x v="0"/>
  </r>
  <r>
    <n v="44"/>
    <n v="0"/>
    <n v="4"/>
    <n v="2"/>
    <n v="1"/>
    <n v="4"/>
    <n v="0"/>
    <n v="31"/>
    <n v="3"/>
    <n v="3"/>
    <n v="4"/>
    <n v="2184"/>
    <n v="0"/>
    <n v="2184"/>
    <n v="0.67100000000000004"/>
    <n v="1973"/>
    <n v="42"/>
    <n v="0.55600000000000005"/>
    <n v="0"/>
    <n v="0.99816000000000005"/>
    <n v="1.84351E-3"/>
    <s v="31.778693349887902"/>
    <s v="8.465782638831238"/>
    <s v="26.59274009833724"/>
    <s v="10.66140051161343"/>
    <n v="715514133"/>
    <x v="1"/>
    <n v="0.99833554000000002"/>
    <x v="1"/>
  </r>
  <r>
    <n v="51"/>
    <n v="0"/>
    <n v="0"/>
    <n v="3"/>
    <n v="1"/>
    <n v="1"/>
    <n v="0"/>
    <n v="40"/>
    <n v="6"/>
    <n v="2"/>
    <n v="2"/>
    <n v="5450"/>
    <n v="1674"/>
    <n v="3776"/>
    <n v="0.58799999999999997"/>
    <n v="3722"/>
    <n v="77"/>
    <n v="0.71099999999999997"/>
    <n v="0.307"/>
    <s v="9.4951e-05"/>
    <n v="0.99990999999999997"/>
    <s v="37.37287901012136"/>
    <n v="67.185993285209904"/>
    <s v="65.39869789500034"/>
    <s v="12.945820836803724"/>
    <n v="714907908"/>
    <x v="0"/>
    <n v="3.2101269999999999E-4"/>
    <x v="0"/>
  </r>
  <r>
    <n v="50"/>
    <n v="0"/>
    <n v="2"/>
    <n v="2"/>
    <n v="0"/>
    <n v="1"/>
    <n v="0"/>
    <n v="40"/>
    <n v="6"/>
    <n v="2"/>
    <n v="5"/>
    <n v="8307"/>
    <n v="2517"/>
    <n v="5790"/>
    <n v="1.7430000000000001"/>
    <n v="2293"/>
    <n v="36"/>
    <n v="0.8"/>
    <n v="0.30299999999999999"/>
    <n v="5.6497999999999997E-4"/>
    <n v="0.99944"/>
    <s v="15.51652790165453"/>
    <s v="26.423385587255066"/>
    <s v="28.40002915816213"/>
    <n v="3.3790378919003601"/>
    <n v="720986958"/>
    <x v="0"/>
    <n v="1.0889086E-3"/>
    <x v="0"/>
  </r>
  <r>
    <n v="45"/>
    <n v="0"/>
    <n v="5"/>
    <n v="0"/>
    <n v="2"/>
    <n v="1"/>
    <n v="3"/>
    <n v="39"/>
    <n v="3"/>
    <n v="2"/>
    <n v="2"/>
    <n v="15677"/>
    <n v="1227"/>
    <n v="14450"/>
    <n v="0.76"/>
    <n v="3818"/>
    <n v="81"/>
    <n v="0.58799999999999997"/>
    <n v="7.8E-2"/>
    <n v="1.0323E-4"/>
    <n v="0.99990000000000001"/>
    <s v="16.212507023495714"/>
    <n v="9.4117592845947105"/>
    <n v="46.573757048050197"/>
    <s v="1.254998315122316"/>
    <n v="773457558"/>
    <x v="0"/>
    <n v="3.4743935000000002E-4"/>
    <x v="0"/>
  </r>
  <r>
    <n v="46"/>
    <n v="0"/>
    <n v="3"/>
    <n v="2"/>
    <n v="0"/>
    <n v="4"/>
    <n v="0"/>
    <n v="36"/>
    <n v="3"/>
    <n v="2"/>
    <n v="2"/>
    <n v="2391"/>
    <n v="1625"/>
    <n v="766"/>
    <n v="0.66200000000000003"/>
    <n v="7649"/>
    <n v="101"/>
    <n v="0.60299999999999998"/>
    <n v="0.68"/>
    <n v="1.1811000000000001E-4"/>
    <n v="0.99987999999999999"/>
    <s v="95.85793163162872"/>
    <s v="1.6133629145269506"/>
    <s v="21.525822034271854"/>
    <s v="21.995842396780777"/>
    <n v="715195383"/>
    <x v="0"/>
    <n v="3.7789578000000003E-4"/>
    <x v="0"/>
  </r>
  <r>
    <n v="42"/>
    <n v="1"/>
    <n v="3"/>
    <n v="2"/>
    <n v="0"/>
    <n v="1"/>
    <n v="0"/>
    <n v="33"/>
    <n v="4"/>
    <n v="2"/>
    <n v="4"/>
    <n v="3178"/>
    <n v="1800"/>
    <n v="1378"/>
    <n v="0.89"/>
    <n v="4605"/>
    <n v="86"/>
    <n v="0.623"/>
    <n v="0.56599999999999995"/>
    <n v="3.3886000000000002E-4"/>
    <n v="0.99965999999999999"/>
    <n v="9.9699859341519392"/>
    <s v="30.979958257099355"/>
    <s v="141.10991191895417"/>
    <s v="14.055498678173286"/>
    <n v="719013108"/>
    <x v="0"/>
    <n v="3.3028650000000001E-4"/>
    <x v="0"/>
  </r>
  <r>
    <n v="43"/>
    <n v="1"/>
    <n v="3"/>
    <n v="2"/>
    <n v="2"/>
    <n v="2"/>
    <n v="2"/>
    <n v="35"/>
    <n v="4"/>
    <n v="3"/>
    <n v="3"/>
    <n v="34516"/>
    <n v="1774"/>
    <n v="32742"/>
    <n v="0.66700000000000004"/>
    <n v="13966"/>
    <n v="115"/>
    <n v="0.66700000000000004"/>
    <n v="5.0999999999999997E-2"/>
    <n v="5.4522999999999996E-4"/>
    <n v="0.99944999999999995"/>
    <s v="13.999161060805902"/>
    <s v="10.86439036619194"/>
    <n v="53.6913672417448"/>
    <s v="7.943140044224284"/>
    <n v="709969758"/>
    <x v="0"/>
    <n v="3.8573547000000003E-4"/>
    <x v="0"/>
  </r>
  <r>
    <n v="48"/>
    <n v="0"/>
    <n v="2"/>
    <n v="0"/>
    <n v="1"/>
    <n v="4"/>
    <n v="0"/>
    <n v="41"/>
    <n v="2"/>
    <n v="2"/>
    <n v="2"/>
    <n v="5550"/>
    <n v="2517"/>
    <n v="3033"/>
    <n v="0.76700000000000002"/>
    <n v="6984"/>
    <n v="85"/>
    <n v="0.54500000000000004"/>
    <n v="0.45400000000000001"/>
    <n v="1.1066E-4"/>
    <n v="0.99988999999999995"/>
    <s v="36.552170201436695"/>
    <s v="7.931988609636571"/>
    <s v="23.70473346316256"/>
    <s v="19.05513811572256"/>
    <n v="736786908"/>
    <x v="0"/>
    <n v="4.0839396999999998E-4"/>
    <x v="0"/>
  </r>
  <r>
    <n v="46"/>
    <n v="0"/>
    <n v="2"/>
    <n v="2"/>
    <n v="1"/>
    <n v="1"/>
    <n v="0"/>
    <n v="22"/>
    <n v="6"/>
    <n v="1"/>
    <n v="3"/>
    <n v="2305"/>
    <n v="1627"/>
    <n v="678"/>
    <n v="0.747"/>
    <n v="1230"/>
    <n v="36"/>
    <n v="0.56499999999999995"/>
    <n v="0.70599999999999996"/>
    <s v="9.2637e-05"/>
    <n v="0.99990999999999997"/>
    <s v="38.10222549586779"/>
    <s v="22.63304881800677"/>
    <s v="80.88821158770901"/>
    <s v="3.879650442926098"/>
    <n v="779031033"/>
    <x v="0"/>
    <n v="1.0598798E-3"/>
    <x v="0"/>
  </r>
  <r>
    <n v="53"/>
    <n v="1"/>
    <n v="2"/>
    <n v="6"/>
    <n v="1"/>
    <n v="3"/>
    <n v="0"/>
    <n v="34"/>
    <n v="4"/>
    <n v="3"/>
    <n v="2"/>
    <n v="1837"/>
    <n v="875"/>
    <n v="962"/>
    <n v="0.57999999999999996"/>
    <n v="2169"/>
    <n v="43"/>
    <n v="0.65400000000000003"/>
    <n v="0.47599999999999998"/>
    <n v="0.99497000000000002"/>
    <n v="5.0299999999999997E-3"/>
    <s v="23.17071450966854"/>
    <s v="18.934813935187027"/>
    <s v="78.43635369614304"/>
    <s v="2.1585173477983792"/>
    <n v="778910883"/>
    <x v="1"/>
    <n v="0.99635017000000003"/>
    <x v="1"/>
  </r>
  <r>
    <n v="50"/>
    <n v="0"/>
    <n v="1"/>
    <n v="3"/>
    <n v="1"/>
    <n v="1"/>
    <n v="0"/>
    <n v="43"/>
    <n v="4"/>
    <n v="3"/>
    <n v="4"/>
    <n v="2961"/>
    <n v="2048"/>
    <n v="913"/>
    <n v="0.91300000000000003"/>
    <n v="4056"/>
    <n v="92"/>
    <n v="0.76900000000000002"/>
    <n v="0.69199999999999995"/>
    <n v="4.7085999999999997E-4"/>
    <n v="0.99953000000000003"/>
    <s v="30.40573306384981"/>
    <s v="2.3746156015951296"/>
    <s v="34.87799243693639"/>
    <s v="10.493204893151342"/>
    <n v="709638783"/>
    <x v="0"/>
    <n v="3.221314E-4"/>
    <x v="0"/>
  </r>
  <r>
    <n v="32"/>
    <n v="1"/>
    <n v="0"/>
    <n v="2"/>
    <n v="2"/>
    <n v="1"/>
    <n v="0"/>
    <n v="21"/>
    <n v="6"/>
    <n v="2"/>
    <n v="3"/>
    <n v="2801"/>
    <n v="1472"/>
    <n v="1329"/>
    <n v="1.0269999999999999"/>
    <n v="2467"/>
    <n v="54"/>
    <n v="0.8"/>
    <n v="0.52600000000000002"/>
    <n v="1.6427999999999999E-4"/>
    <n v="0.99983999999999995"/>
    <s v="7.834990272537924"/>
    <s v="85.66392003529063"/>
    <s v="122.68144018577384"/>
    <s v="31.86400583666423"/>
    <n v="789247458"/>
    <x v="0"/>
    <n v="5.8818930000000002E-4"/>
    <x v="0"/>
  </r>
  <r>
    <n v="44"/>
    <n v="1"/>
    <n v="4"/>
    <n v="2"/>
    <n v="1"/>
    <n v="2"/>
    <n v="0"/>
    <n v="28"/>
    <n v="6"/>
    <n v="2"/>
    <n v="3"/>
    <n v="11338"/>
    <n v="0"/>
    <n v="11338"/>
    <n v="0.69499999999999995"/>
    <n v="1227"/>
    <n v="24"/>
    <n v="0.5"/>
    <n v="0"/>
    <n v="2.0076999999999999E-4"/>
    <n v="0.99980000000000002"/>
    <n v="45.263752625176501"/>
    <s v="15.731457237052092"/>
    <s v="22.95714310762696"/>
    <s v="19.219572014310817"/>
    <n v="721379433"/>
    <x v="0"/>
    <n v="4.459518E-3"/>
    <x v="0"/>
  </r>
  <r>
    <n v="56"/>
    <n v="1"/>
    <n v="2"/>
    <n v="2"/>
    <n v="1"/>
    <n v="0"/>
    <n v="0"/>
    <n v="36"/>
    <n v="1"/>
    <n v="3"/>
    <n v="3"/>
    <n v="15769"/>
    <n v="0"/>
    <n v="15769"/>
    <n v="1.0409999999999999"/>
    <n v="602"/>
    <n v="15"/>
    <n v="0.36399999999999999"/>
    <n v="0"/>
    <n v="0.99670999999999998"/>
    <n v="3.29379E-3"/>
    <s v="31.97243350248577"/>
    <s v="88.28753139814577"/>
    <s v="39.59427986211725"/>
    <s v="1.539575375716434"/>
    <n v="714374133"/>
    <x v="1"/>
    <n v="0.99877890000000003"/>
    <x v="1"/>
  </r>
  <r>
    <n v="40"/>
    <n v="1"/>
    <n v="5"/>
    <n v="2"/>
    <n v="1"/>
    <n v="3"/>
    <n v="0"/>
    <n v="34"/>
    <n v="6"/>
    <n v="2"/>
    <n v="4"/>
    <n v="11942"/>
    <n v="1651"/>
    <n v="10291"/>
    <n v="0.59799999999999998"/>
    <n v="1085"/>
    <n v="29"/>
    <n v="0.20799999999999999"/>
    <n v="0.13800000000000001"/>
    <n v="3.3713999999999999E-4"/>
    <n v="0.99965999999999999"/>
    <s v="11.848919156686916"/>
    <s v="0.2012548270672597"/>
    <s v="22.67509176374851"/>
    <s v="13.98896404491442"/>
    <n v="769732233"/>
    <x v="0"/>
    <n v="1.2949685E-3"/>
    <x v="0"/>
  </r>
  <r>
    <n v="30"/>
    <n v="1"/>
    <n v="2"/>
    <n v="0"/>
    <n v="0"/>
    <n v="1"/>
    <n v="0"/>
    <n v="22"/>
    <n v="3"/>
    <n v="3"/>
    <n v="4"/>
    <n v="3143"/>
    <n v="1075"/>
    <n v="2068"/>
    <n v="0.64300000000000002"/>
    <n v="2510"/>
    <n v="57"/>
    <n v="0.629"/>
    <n v="0.34200000000000003"/>
    <n v="5.0168000000000001E-4"/>
    <n v="0.99950000000000006"/>
    <s v="12.275490052071255"/>
    <s v="63.78225660277111"/>
    <s v="81.78081486280249"/>
    <s v="9.125475015763314"/>
    <n v="711817158"/>
    <x v="0"/>
    <n v="5.7933444999999997E-4"/>
    <x v="0"/>
  </r>
  <r>
    <n v="35"/>
    <n v="1"/>
    <n v="0"/>
    <n v="6"/>
    <n v="2"/>
    <n v="2"/>
    <n v="0"/>
    <n v="36"/>
    <n v="3"/>
    <n v="1"/>
    <n v="2"/>
    <n v="17236"/>
    <n v="0"/>
    <n v="17236"/>
    <n v="0.95799999999999996"/>
    <n v="3013"/>
    <n v="78"/>
    <n v="0.69599999999999995"/>
    <n v="0"/>
    <s v="5.1951e-05"/>
    <n v="0.99995000000000001"/>
    <s v="3.263131631317088"/>
    <s v="57.96311884290179"/>
    <s v="25.172325994767814"/>
    <s v="17.95301487769325"/>
    <n v="717499083"/>
    <x v="0"/>
    <n v="8.7041634999999995E-4"/>
    <x v="0"/>
  </r>
  <r>
    <n v="44"/>
    <n v="0"/>
    <n v="2"/>
    <n v="4"/>
    <n v="1"/>
    <n v="4"/>
    <n v="0"/>
    <n v="32"/>
    <n v="1"/>
    <n v="3"/>
    <n v="3"/>
    <n v="2540"/>
    <n v="1561"/>
    <n v="979"/>
    <n v="0.89400000000000002"/>
    <n v="5039"/>
    <n v="82"/>
    <n v="0.745"/>
    <n v="0.61499999999999999"/>
    <n v="3.5594000000000001E-4"/>
    <n v="0.99963999999999997"/>
    <s v="7.304220773130638"/>
    <s v="40.29899738086272"/>
    <s v="34.515175968278434"/>
    <s v="27.18211976423543"/>
    <n v="720734583"/>
    <x v="0"/>
    <n v="3.221314E-4"/>
    <x v="0"/>
  </r>
  <r>
    <n v="46"/>
    <n v="0"/>
    <n v="2"/>
    <n v="0"/>
    <n v="2"/>
    <n v="5"/>
    <n v="0"/>
    <n v="33"/>
    <n v="2"/>
    <n v="3"/>
    <n v="1"/>
    <n v="2168"/>
    <n v="1334"/>
    <n v="834"/>
    <n v="0.622"/>
    <n v="4043"/>
    <n v="73"/>
    <n v="0.73799999999999999"/>
    <n v="0.61499999999999999"/>
    <n v="1.0546E-4"/>
    <n v="0.99988999999999995"/>
    <s v="35.78267334360888"/>
    <s v="53.24296331857019"/>
    <s v="12.592359576878865"/>
    <s v="7.058445429779413"/>
    <n v="715534083"/>
    <x v="0"/>
    <n v="3.2101269999999999E-4"/>
    <x v="0"/>
  </r>
  <r>
    <n v="39"/>
    <n v="0"/>
    <n v="3"/>
    <n v="2"/>
    <n v="1"/>
    <n v="5"/>
    <n v="0"/>
    <n v="26"/>
    <n v="2"/>
    <n v="2"/>
    <n v="3"/>
    <n v="4376"/>
    <n v="855"/>
    <n v="3521"/>
    <n v="0.83899999999999997"/>
    <n v="2862"/>
    <n v="52"/>
    <n v="0.73299999999999998"/>
    <n v="0.19500000000000001"/>
    <n v="0.99499000000000004"/>
    <n v="5.0099999999999997E-3"/>
    <s v="9.480058917604964"/>
    <s v="27.125435359381363"/>
    <s v="24.75808621953213"/>
    <s v="3.680695116544632"/>
    <n v="711092658"/>
    <x v="1"/>
    <n v="0.99616855000000004"/>
    <x v="1"/>
  </r>
  <r>
    <n v="51"/>
    <n v="1"/>
    <n v="2"/>
    <n v="5"/>
    <n v="2"/>
    <n v="0"/>
    <n v="0"/>
    <n v="39"/>
    <n v="3"/>
    <n v="3"/>
    <n v="1"/>
    <n v="16868"/>
    <n v="0"/>
    <n v="16868"/>
    <n v="0.93799999999999994"/>
    <n v="940"/>
    <n v="25"/>
    <n v="0.47099999999999997"/>
    <n v="0"/>
    <n v="0.99111000000000005"/>
    <n v="8.8900000000000003E-3"/>
    <s v="14.26522686855236"/>
    <s v="26.05707337378638"/>
    <s v="28.05272018319832"/>
    <s v="15.517798716721426"/>
    <n v="708983658"/>
    <x v="1"/>
    <n v="0.99870884000000004"/>
    <x v="1"/>
  </r>
  <r>
    <n v="54"/>
    <n v="0"/>
    <n v="2"/>
    <n v="3"/>
    <n v="1"/>
    <n v="4"/>
    <n v="0"/>
    <n v="45"/>
    <n v="6"/>
    <n v="1"/>
    <n v="1"/>
    <n v="2513"/>
    <n v="1126"/>
    <n v="1387"/>
    <n v="0.32400000000000001"/>
    <n v="1454"/>
    <n v="30"/>
    <n v="0.25"/>
    <n v="0.44800000000000001"/>
    <s v="3.2288e-05"/>
    <n v="0.99997000000000003"/>
    <s v="17.495319204948306"/>
    <s v="6.251939022467199"/>
    <s v="23.951045638956924"/>
    <s v="8.596360490827585"/>
    <n v="789970233"/>
    <x v="0"/>
    <n v="1.1982243E-3"/>
    <x v="0"/>
  </r>
  <r>
    <n v="44"/>
    <n v="1"/>
    <n v="2"/>
    <n v="2"/>
    <n v="1"/>
    <n v="3"/>
    <n v="3"/>
    <n v="35"/>
    <n v="4"/>
    <n v="1"/>
    <n v="3"/>
    <n v="34516"/>
    <n v="1726"/>
    <n v="32790"/>
    <n v="0.86699999999999999"/>
    <n v="1729"/>
    <n v="52"/>
    <n v="0.67700000000000005"/>
    <n v="0.05"/>
    <s v="8.3703e-05"/>
    <n v="0.99992000000000003"/>
    <s v="12.624931053409831"/>
    <n v="42.032010910779498"/>
    <s v="55.063173346285815"/>
    <n v="9.9273401094335796"/>
    <n v="719070108"/>
    <x v="0"/>
    <n v="8.3597800000000002E-4"/>
    <x v="0"/>
  </r>
  <r>
    <n v="30"/>
    <n v="0"/>
    <n v="1"/>
    <n v="2"/>
    <n v="1"/>
    <n v="4"/>
    <n v="0"/>
    <n v="17"/>
    <n v="3"/>
    <n v="1"/>
    <n v="3"/>
    <n v="1512"/>
    <n v="810"/>
    <n v="702"/>
    <n v="1.294"/>
    <n v="2558"/>
    <n v="44"/>
    <n v="0.57099999999999995"/>
    <n v="0.53600000000000003"/>
    <s v="8.6952e-05"/>
    <n v="0.99990999999999997"/>
    <s v="0.5497133492996188"/>
    <s v="57.65211485218303"/>
    <s v="53.501044675547696"/>
    <s v="0.2520488088378158"/>
    <n v="770901258"/>
    <x v="0"/>
    <n v="1.8999468000000001E-3"/>
    <x v="0"/>
  </r>
  <r>
    <n v="52"/>
    <n v="1"/>
    <n v="2"/>
    <n v="3"/>
    <n v="2"/>
    <n v="3"/>
    <n v="0"/>
    <n v="43"/>
    <n v="4"/>
    <n v="3"/>
    <n v="3"/>
    <n v="11617"/>
    <n v="2517"/>
    <n v="9100"/>
    <n v="0.45700000000000002"/>
    <n v="1643"/>
    <n v="43"/>
    <n v="0.48299999999999998"/>
    <n v="0.217"/>
    <n v="0.99661"/>
    <n v="3.3878799999999998E-3"/>
    <s v="0.4174263779857105"/>
    <s v="17.46633268996443"/>
    <s v="121.28581436408176"/>
    <s v="25.39407200076236"/>
    <n v="710278458"/>
    <x v="1"/>
    <n v="0.99480480000000004"/>
    <x v="1"/>
  </r>
  <r>
    <n v="43"/>
    <n v="1"/>
    <n v="3"/>
    <n v="2"/>
    <n v="2"/>
    <n v="2"/>
    <n v="0"/>
    <n v="34"/>
    <n v="6"/>
    <n v="1"/>
    <n v="2"/>
    <n v="20755"/>
    <n v="2276"/>
    <n v="18479"/>
    <n v="0.80100000000000005"/>
    <n v="4615"/>
    <n v="79"/>
    <n v="0.83699999999999997"/>
    <n v="0.11"/>
    <s v="5.7151e-05"/>
    <n v="0.99994000000000005"/>
    <s v="10.478949192434555"/>
    <n v="17.089014691327499"/>
    <s v="18.749002113851382"/>
    <s v="2.1041157838446725"/>
    <n v="715540233"/>
    <x v="0"/>
    <n v="3.2101269999999999E-4"/>
    <x v="0"/>
  </r>
  <r>
    <n v="49"/>
    <n v="0"/>
    <n v="4"/>
    <n v="2"/>
    <n v="0"/>
    <n v="4"/>
    <n v="0"/>
    <n v="37"/>
    <n v="2"/>
    <n v="6"/>
    <n v="1"/>
    <n v="1838"/>
    <n v="1155"/>
    <n v="683"/>
    <n v="0.74199999999999999"/>
    <n v="7688"/>
    <n v="93"/>
    <n v="0.40899999999999997"/>
    <n v="0.628"/>
    <s v="8.9806e-05"/>
    <n v="0.99990999999999997"/>
    <s v="14.318430154658484"/>
    <s v="15.70627663915809"/>
    <s v="24.235486152899608"/>
    <s v="11.24134845713106"/>
    <n v="718308558"/>
    <x v="0"/>
    <n v="3.9225167999999998E-4"/>
    <x v="0"/>
  </r>
  <r>
    <n v="36"/>
    <n v="0"/>
    <n v="1"/>
    <n v="4"/>
    <n v="1"/>
    <n v="4"/>
    <n v="0"/>
    <n v="23"/>
    <n v="6"/>
    <n v="3"/>
    <n v="3"/>
    <n v="3107"/>
    <n v="2354"/>
    <n v="753"/>
    <n v="1.248"/>
    <n v="2720"/>
    <n v="48"/>
    <n v="1.1819999999999999"/>
    <n v="0.75800000000000001"/>
    <n v="3.3410999999999998E-4"/>
    <n v="0.99966999999999995"/>
    <s v="20.065719932424187"/>
    <s v="12.831905025760204"/>
    <s v="65.49320189263999"/>
    <s v="7.256769449977772"/>
    <n v="718838808"/>
    <x v="0"/>
    <n v="1.0147218E-3"/>
    <x v="0"/>
  </r>
  <r>
    <n v="45"/>
    <n v="0"/>
    <n v="4"/>
    <n v="2"/>
    <n v="1"/>
    <n v="4"/>
    <n v="0"/>
    <n v="41"/>
    <n v="5"/>
    <n v="1"/>
    <n v="2"/>
    <n v="1927"/>
    <n v="1337"/>
    <n v="590"/>
    <n v="0.66700000000000004"/>
    <n v="5127"/>
    <n v="81"/>
    <n v="0.65300000000000002"/>
    <n v="0.69399999999999995"/>
    <s v="5.7762e-05"/>
    <n v="0.99994000000000005"/>
    <s v="23.00885883608574"/>
    <s v="82.39214678587746"/>
    <s v="28.344269540372757"/>
    <s v="1.0160789249069184"/>
    <n v="709836258"/>
    <x v="0"/>
    <n v="3.2101269999999999E-4"/>
    <x v="0"/>
  </r>
  <r>
    <n v="40"/>
    <n v="1"/>
    <n v="2"/>
    <n v="3"/>
    <n v="2"/>
    <n v="3"/>
    <n v="0"/>
    <n v="28"/>
    <n v="6"/>
    <n v="2"/>
    <n v="4"/>
    <n v="19279"/>
    <n v="1427"/>
    <n v="17852"/>
    <n v="0.89200000000000002"/>
    <n v="1777"/>
    <n v="56"/>
    <n v="0.64700000000000002"/>
    <n v="7.3999999999999996E-2"/>
    <n v="3.1745999999999999E-4"/>
    <n v="0.99968000000000001"/>
    <s v="30.139884552641394"/>
    <s v="38.13455099413415"/>
    <s v="128.30061396570815"/>
    <s v="4.292675543965515"/>
    <n v="713469333"/>
    <x v="0"/>
    <n v="5.2685685999999995E-4"/>
    <x v="0"/>
  </r>
  <r>
    <n v="46"/>
    <n v="1"/>
    <n v="2"/>
    <n v="3"/>
    <n v="2"/>
    <n v="1"/>
    <n v="0"/>
    <n v="32"/>
    <n v="2"/>
    <n v="3"/>
    <n v="2"/>
    <n v="5972"/>
    <n v="0"/>
    <n v="5972"/>
    <n v="0.60599999999999998"/>
    <n v="14227"/>
    <n v="116"/>
    <n v="0.70599999999999996"/>
    <n v="0"/>
    <n v="1.7485999999999999E-4"/>
    <n v="0.99983"/>
    <s v="8.922921126989634"/>
    <s v="113.56758692593472"/>
    <s v="60.408121285656925"/>
    <s v="32.54130490766039"/>
    <n v="788908308"/>
    <x v="0"/>
    <n v="7.5047980000000002E-4"/>
    <x v="0"/>
  </r>
  <r>
    <n v="40"/>
    <n v="0"/>
    <n v="5"/>
    <n v="5"/>
    <n v="1"/>
    <n v="4"/>
    <n v="0"/>
    <n v="24"/>
    <n v="6"/>
    <n v="1"/>
    <n v="1"/>
    <n v="2038"/>
    <n v="793"/>
    <n v="1245"/>
    <n v="0.68200000000000005"/>
    <n v="3513"/>
    <n v="67"/>
    <n v="0.63400000000000001"/>
    <n v="0.38900000000000001"/>
    <s v="3.5257e-05"/>
    <n v="0.99995999999999996"/>
    <s v="19.389293611600117"/>
    <s v="82.30869100121213"/>
    <s v="21.68309856867388"/>
    <s v="7.969747521236733"/>
    <n v="779866458"/>
    <x v="0"/>
    <n v="5.3897389999999997E-4"/>
    <x v="0"/>
  </r>
  <r>
    <n v="52"/>
    <n v="0"/>
    <n v="2"/>
    <n v="4"/>
    <n v="2"/>
    <n v="4"/>
    <n v="0"/>
    <n v="34"/>
    <n v="3"/>
    <n v="3"/>
    <n v="3"/>
    <n v="6265"/>
    <n v="1677"/>
    <n v="4588"/>
    <n v="0.76900000000000002"/>
    <n v="8162"/>
    <n v="89"/>
    <n v="0.58899999999999997"/>
    <n v="0.26800000000000002"/>
    <n v="3.5594000000000001E-4"/>
    <n v="0.99963999999999997"/>
    <s v="6.814294696386611"/>
    <s v="43.96721060639918"/>
    <s v="8.199786142608659"/>
    <s v="4.115768383342921"/>
    <n v="721445658"/>
    <x v="0"/>
    <n v="3.7789578000000003E-4"/>
    <x v="0"/>
  </r>
  <r>
    <n v="63"/>
    <n v="1"/>
    <n v="0"/>
    <n v="2"/>
    <n v="1"/>
    <n v="2"/>
    <n v="0"/>
    <n v="55"/>
    <n v="4"/>
    <n v="1"/>
    <n v="4"/>
    <n v="3556"/>
    <n v="2517"/>
    <n v="1039"/>
    <n v="0.98299999999999998"/>
    <n v="2279"/>
    <n v="56"/>
    <n v="0.6"/>
    <n v="0.70799999999999996"/>
    <n v="1.3562000000000001E-4"/>
    <n v="0.99985999999999997"/>
    <s v="2.670992904530727"/>
    <s v="90.14510252717764"/>
    <s v="4.201824456182109"/>
    <s v="18.296714853089448"/>
    <n v="717551358"/>
    <x v="0"/>
    <n v="6.5851666000000001E-4"/>
    <x v="0"/>
  </r>
  <r>
    <n v="51"/>
    <n v="0"/>
    <n v="2"/>
    <n v="2"/>
    <n v="2"/>
    <n v="4"/>
    <n v="0"/>
    <n v="46"/>
    <n v="3"/>
    <n v="3"/>
    <n v="3"/>
    <n v="2429"/>
    <n v="1250"/>
    <n v="1179"/>
    <n v="0.98299999999999998"/>
    <n v="4761"/>
    <n v="99"/>
    <n v="0.70699999999999996"/>
    <n v="0.51500000000000001"/>
    <n v="3.0250999999999998E-4"/>
    <n v="0.99970000000000003"/>
    <s v="5.524175198435812"/>
    <s v="3.718124494312208"/>
    <s v="54.52239663082539"/>
    <s v="0.7057971089164773"/>
    <n v="807722658"/>
    <x v="0"/>
    <n v="3.221314E-4"/>
    <x v="0"/>
  </r>
  <r>
    <n v="55"/>
    <n v="1"/>
    <n v="4"/>
    <n v="2"/>
    <n v="2"/>
    <n v="3"/>
    <n v="0"/>
    <n v="44"/>
    <n v="2"/>
    <n v="3"/>
    <n v="2"/>
    <n v="1854"/>
    <n v="794"/>
    <n v="1060"/>
    <n v="0.61399999999999999"/>
    <n v="4035"/>
    <n v="80"/>
    <n v="0.73899999999999999"/>
    <n v="0.42799999999999999"/>
    <n v="1.8864000000000001E-4"/>
    <n v="0.99980999999999998"/>
    <s v="17.519452508723038"/>
    <s v="7.041612362333924"/>
    <s v="15.743788312149665"/>
    <s v="20.58454250435642"/>
    <n v="789191358"/>
    <x v="0"/>
    <n v="5.2566850000000003E-4"/>
    <x v="0"/>
  </r>
  <r>
    <n v="49"/>
    <n v="1"/>
    <n v="4"/>
    <n v="1"/>
    <n v="1"/>
    <n v="1"/>
    <n v="0"/>
    <n v="39"/>
    <n v="5"/>
    <n v="1"/>
    <n v="2"/>
    <n v="1438.3"/>
    <n v="0"/>
    <n v="1438.3"/>
    <n v="0.56200000000000006"/>
    <n v="3691"/>
    <n v="77"/>
    <n v="0.51"/>
    <n v="0"/>
    <s v="8.3588e-05"/>
    <n v="0.99992000000000003"/>
    <n v="53.504132070732197"/>
    <s v="48.36000436786465"/>
    <s v="76.53861055787397"/>
    <s v="11.297049504893378"/>
    <n v="716901858"/>
    <x v="0"/>
    <n v="7.7293770000000004E-4"/>
    <x v="0"/>
  </r>
  <r>
    <n v="59"/>
    <n v="0"/>
    <n v="1"/>
    <n v="2"/>
    <n v="2"/>
    <n v="4"/>
    <n v="0"/>
    <n v="49"/>
    <n v="4"/>
    <n v="3"/>
    <n v="4"/>
    <n v="3214"/>
    <n v="424"/>
    <n v="2790"/>
    <n v="0.877"/>
    <n v="2720"/>
    <n v="53"/>
    <n v="0.71"/>
    <n v="0.13200000000000001"/>
    <n v="0.99794000000000005"/>
    <n v="2.05937E-3"/>
    <s v="15.031267065442208"/>
    <s v="18.931852182919176"/>
    <n v="92.748654848566801"/>
    <s v="7.6765216433568275"/>
    <n v="717646983"/>
    <x v="1"/>
    <n v="0.99649759999999998"/>
    <x v="1"/>
  </r>
  <r>
    <n v="44"/>
    <n v="0"/>
    <n v="0"/>
    <n v="0"/>
    <n v="1"/>
    <n v="4"/>
    <n v="0"/>
    <n v="40"/>
    <n v="5"/>
    <n v="4"/>
    <n v="2"/>
    <n v="7499"/>
    <n v="1083"/>
    <n v="6416"/>
    <n v="0.71599999999999997"/>
    <n v="2478"/>
    <n v="45"/>
    <n v="0.66700000000000004"/>
    <n v="0.14399999999999999"/>
    <n v="0.99451999999999996"/>
    <n v="5.4799999999999996E-3"/>
    <s v="30.45985585305223"/>
    <s v="33.88517285603307"/>
    <s v="38.30623395416516"/>
    <s v="12.228363543287278"/>
    <n v="827051808"/>
    <x v="1"/>
    <n v="0.99505460000000001"/>
    <x v="1"/>
  </r>
  <r>
    <n v="44"/>
    <n v="1"/>
    <n v="1"/>
    <n v="3"/>
    <n v="1"/>
    <n v="4"/>
    <n v="0"/>
    <n v="33"/>
    <n v="5"/>
    <n v="2"/>
    <n v="2"/>
    <n v="6130"/>
    <n v="808"/>
    <n v="5322"/>
    <n v="0.747"/>
    <n v="3411"/>
    <n v="78"/>
    <n v="0.59199999999999997"/>
    <n v="0.13200000000000001"/>
    <n v="1.0386E-4"/>
    <n v="0.99990000000000001"/>
    <s v="16.84677919918386"/>
    <s v="56.18714010233221"/>
    <s v="21.38005023906776"/>
    <s v="10.947197401712096"/>
    <n v="713089458"/>
    <x v="0"/>
    <n v="5.2322453000000003E-4"/>
    <x v="0"/>
  </r>
  <r>
    <n v="43"/>
    <n v="1"/>
    <n v="3"/>
    <n v="4"/>
    <n v="2"/>
    <n v="2"/>
    <n v="0"/>
    <n v="31"/>
    <n v="4"/>
    <n v="2"/>
    <n v="1"/>
    <n v="11186"/>
    <n v="2231"/>
    <n v="8955"/>
    <n v="0.70799999999999996"/>
    <n v="3692"/>
    <n v="84"/>
    <n v="0.64700000000000002"/>
    <n v="0.19900000000000001"/>
    <s v="8.381e-05"/>
    <n v="0.99992000000000003"/>
    <n v="46.6266452403095"/>
    <s v="112.6665635361631"/>
    <s v="203.51317840068424"/>
    <s v="6.480408605699173"/>
    <n v="789053883"/>
    <x v="0"/>
    <n v="3.2914013999999999E-4"/>
    <x v="0"/>
  </r>
  <r>
    <n v="29"/>
    <n v="1"/>
    <n v="0"/>
    <n v="2"/>
    <n v="1"/>
    <n v="1"/>
    <n v="0"/>
    <n v="36"/>
    <n v="3"/>
    <n v="3"/>
    <n v="4"/>
    <n v="1459"/>
    <n v="590"/>
    <n v="869"/>
    <n v="1.1639999999999999"/>
    <n v="2229"/>
    <n v="52"/>
    <n v="1.08"/>
    <n v="0.40400000000000003"/>
    <n v="4.4282000000000002E-4"/>
    <n v="0.99956"/>
    <s v="33.25316125386333"/>
    <s v="14.696491701214772"/>
    <s v="34.45777996322687"/>
    <s v="24.259814924718444"/>
    <n v="719904333"/>
    <x v="0"/>
    <n v="1.8171204999999999E-3"/>
    <x v="0"/>
  </r>
  <r>
    <n v="44"/>
    <n v="0"/>
    <n v="4"/>
    <n v="2"/>
    <n v="1"/>
    <n v="4"/>
    <n v="0"/>
    <n v="36"/>
    <n v="6"/>
    <n v="3"/>
    <n v="3"/>
    <n v="1905"/>
    <n v="0"/>
    <n v="1905"/>
    <n v="0.84499999999999997"/>
    <n v="3120"/>
    <n v="46"/>
    <n v="0.58599999999999997"/>
    <n v="0"/>
    <n v="0.99685999999999997"/>
    <n v="3.1411199999999998E-3"/>
    <s v="1.718175961442221"/>
    <n v="88.773634308268896"/>
    <s v="19.87695528759992"/>
    <n v="5.9217244156297104"/>
    <n v="719590458"/>
    <x v="1"/>
    <n v="0.99853979999999998"/>
    <x v="1"/>
  </r>
  <r>
    <n v="56"/>
    <n v="1"/>
    <n v="2"/>
    <n v="3"/>
    <n v="3"/>
    <n v="3"/>
    <n v="0"/>
    <n v="36"/>
    <n v="1"/>
    <n v="1"/>
    <n v="1"/>
    <n v="4731"/>
    <n v="831"/>
    <n v="3900"/>
    <n v="0.96"/>
    <n v="14952"/>
    <n v="118"/>
    <n v="0.78800000000000003"/>
    <n v="0.17599999999999999"/>
    <s v="3.2288e-05"/>
    <n v="0.99997000000000003"/>
    <s v="3.5007496299751946"/>
    <s v="27.517785330818025"/>
    <s v="20.016517930770814"/>
    <s v="0.9510959358799056"/>
    <n v="709410033"/>
    <x v="0"/>
    <n v="5.5579900000000005E-4"/>
    <x v="0"/>
  </r>
  <r>
    <n v="53"/>
    <n v="1"/>
    <n v="3"/>
    <n v="3"/>
    <n v="1"/>
    <n v="0"/>
    <n v="0"/>
    <n v="36"/>
    <n v="3"/>
    <n v="1"/>
    <n v="3"/>
    <n v="21178"/>
    <n v="1796"/>
    <n v="19382"/>
    <n v="1.1819999999999999"/>
    <n v="1872"/>
    <n v="59"/>
    <n v="1.107"/>
    <n v="8.5000000000000006E-2"/>
    <s v="9.3448e-05"/>
    <n v="0.99990999999999997"/>
    <s v="16.572646225550443"/>
    <s v="79.79663918854192"/>
    <s v="6.316015534683718"/>
    <s v="1.6195053649520297"/>
    <n v="716580033"/>
    <x v="0"/>
    <n v="4.6084309999999999E-4"/>
    <x v="0"/>
  </r>
  <r>
    <n v="57"/>
    <n v="1"/>
    <n v="1"/>
    <n v="6"/>
    <n v="2"/>
    <n v="2"/>
    <n v="0"/>
    <n v="43"/>
    <n v="3"/>
    <n v="3"/>
    <n v="1"/>
    <n v="19090"/>
    <n v="0"/>
    <n v="19090"/>
    <n v="0.53"/>
    <n v="4712"/>
    <n v="88"/>
    <n v="0.51700000000000002"/>
    <n v="0"/>
    <n v="1.1192E-4"/>
    <n v="0.99988999999999995"/>
    <s v="24.173181725368032"/>
    <s v="12.063477756922016"/>
    <n v="33.892061831173002"/>
    <s v="12.061922459614443"/>
    <n v="787450758"/>
    <x v="0"/>
    <n v="7.387203E-4"/>
    <x v="0"/>
  </r>
  <r>
    <n v="55"/>
    <n v="0"/>
    <n v="2"/>
    <n v="2"/>
    <n v="1"/>
    <n v="1"/>
    <n v="0"/>
    <n v="49"/>
    <n v="3"/>
    <n v="3"/>
    <n v="4"/>
    <n v="1809"/>
    <n v="0"/>
    <n v="1809"/>
    <n v="0.56899999999999995"/>
    <n v="2123"/>
    <n v="44"/>
    <n v="0.57099999999999995"/>
    <n v="0"/>
    <n v="0.99807000000000001"/>
    <n v="1.93323E-3"/>
    <s v="4.413727595620905"/>
    <s v="37.92525132605269"/>
    <s v="50.33966258208859"/>
    <s v="6.389424385459663"/>
    <n v="714097683"/>
    <x v="1"/>
    <n v="0.99841880000000005"/>
    <x v="1"/>
  </r>
  <r>
    <n v="47"/>
    <n v="1"/>
    <n v="4"/>
    <n v="0"/>
    <n v="3"/>
    <n v="2"/>
    <n v="0"/>
    <n v="35"/>
    <n v="4"/>
    <n v="2"/>
    <n v="3"/>
    <n v="6623"/>
    <n v="1823"/>
    <n v="4800"/>
    <n v="0.81100000000000005"/>
    <n v="2293"/>
    <n v="47"/>
    <n v="0.56699999999999995"/>
    <n v="0.27500000000000002"/>
    <n v="1.9519000000000001E-4"/>
    <n v="0.99980000000000002"/>
    <s v="36.03154385766067"/>
    <s v="15.51849841000397"/>
    <s v="29.471963237931057"/>
    <s v="0.2537560601855729"/>
    <n v="710568333"/>
    <x v="0"/>
    <n v="1.3267322E-3"/>
    <x v="0"/>
  </r>
  <r>
    <n v="52"/>
    <n v="1"/>
    <n v="1"/>
    <n v="2"/>
    <n v="1"/>
    <n v="3"/>
    <n v="0"/>
    <n v="43"/>
    <n v="6"/>
    <n v="1"/>
    <n v="1"/>
    <n v="2689"/>
    <n v="2077"/>
    <n v="612"/>
    <n v="0.378"/>
    <n v="1356"/>
    <n v="33"/>
    <n v="0.435"/>
    <n v="0.77200000000000002"/>
    <s v="3.1176e-05"/>
    <n v="0.99997000000000003"/>
    <s v="54.02354013744863"/>
    <s v="11.914014870159797"/>
    <s v="22.467768369741076"/>
    <s v="5.824281741112905"/>
    <n v="720746208"/>
    <x v="0"/>
    <n v="1.1982243E-3"/>
    <x v="0"/>
  </r>
  <r>
    <n v="37"/>
    <n v="1"/>
    <n v="2"/>
    <n v="2"/>
    <n v="2"/>
    <n v="2"/>
    <n v="0"/>
    <n v="28"/>
    <n v="2"/>
    <n v="6"/>
    <n v="1"/>
    <n v="7349"/>
    <n v="994"/>
    <n v="6355"/>
    <n v="0.86399999999999999"/>
    <n v="13970"/>
    <n v="109"/>
    <n v="0.84699999999999998"/>
    <n v="0.13500000000000001"/>
    <s v="8.5631e-05"/>
    <n v="0.99990999999999997"/>
    <s v="23.876740845233652"/>
    <s v="38.63865320388759"/>
    <s v="54.43612394522758"/>
    <s v="3.974668293465444"/>
    <n v="713705358"/>
    <x v="0"/>
    <n v="3.4656386999999997E-4"/>
    <x v="0"/>
  </r>
  <r>
    <n v="44"/>
    <n v="1"/>
    <n v="2"/>
    <n v="5"/>
    <n v="1"/>
    <n v="1"/>
    <n v="0"/>
    <n v="36"/>
    <n v="3"/>
    <n v="3"/>
    <n v="2"/>
    <n v="3843"/>
    <n v="1460"/>
    <n v="2383"/>
    <n v="0.81100000000000005"/>
    <n v="16461"/>
    <n v="105"/>
    <n v="0.90900000000000003"/>
    <n v="0.38"/>
    <n v="1.8494E-4"/>
    <n v="0.99982000000000004"/>
    <s v="8.111515730331618"/>
    <s v="21.648587757689658"/>
    <s v="42.05478132461627"/>
    <s v="6.059642573618999"/>
    <n v="717991533"/>
    <x v="0"/>
    <n v="3.4656386999999997E-4"/>
    <x v="0"/>
  </r>
  <r>
    <n v="28"/>
    <n v="0"/>
    <n v="0"/>
    <n v="0"/>
    <n v="1"/>
    <n v="5"/>
    <n v="0"/>
    <n v="36"/>
    <n v="3"/>
    <n v="2"/>
    <n v="3"/>
    <n v="5685"/>
    <n v="0"/>
    <n v="5685"/>
    <n v="1.3340000000000001"/>
    <n v="2395"/>
    <n v="62"/>
    <n v="1"/>
    <n v="0"/>
    <n v="1.5971E-4"/>
    <n v="0.99983999999999995"/>
    <s v="8.532519995818316"/>
    <s v="25.13790223849412"/>
    <s v="88.89808831224944"/>
    <s v="5.6761227364104325"/>
    <n v="713426358"/>
    <x v="0"/>
    <n v="1.0026513999999999E-3"/>
    <x v="0"/>
  </r>
  <r>
    <n v="42"/>
    <n v="1"/>
    <n v="4"/>
    <n v="2"/>
    <n v="1"/>
    <n v="1"/>
    <n v="0"/>
    <n v="27"/>
    <n v="5"/>
    <n v="1"/>
    <n v="2"/>
    <n v="1503"/>
    <n v="929"/>
    <n v="574"/>
    <n v="0.89200000000000002"/>
    <n v="4680"/>
    <n v="67"/>
    <n v="0.97099999999999997"/>
    <n v="0.61799999999999999"/>
    <s v="5.7762e-05"/>
    <n v="0.99994000000000005"/>
    <s v="18.772361811447443"/>
    <s v="52.88622723308876"/>
    <s v="28.89126340454434"/>
    <s v="23.35970773666994"/>
    <n v="715030308"/>
    <x v="0"/>
    <n v="3.9660546000000002E-4"/>
    <x v="0"/>
  </r>
  <r>
    <n v="39"/>
    <n v="0"/>
    <n v="2"/>
    <n v="3"/>
    <n v="1"/>
    <n v="5"/>
    <n v="0"/>
    <n v="27"/>
    <n v="6"/>
    <n v="1"/>
    <n v="3"/>
    <n v="9347"/>
    <n v="1988"/>
    <n v="7359"/>
    <n v="1.173"/>
    <n v="2201"/>
    <n v="46"/>
    <n v="1.091"/>
    <n v="0.21299999999999999"/>
    <s v="9.0056e-05"/>
    <n v="0.99990999999999997"/>
    <s v="1.3913858777376888"/>
    <s v="5.664940777961689"/>
    <n v="87.688207901021102"/>
    <s v="2.9656550906471586"/>
    <n v="714278958"/>
    <x v="0"/>
    <n v="1.0481173E-3"/>
    <x v="0"/>
  </r>
  <r>
    <n v="33"/>
    <n v="1"/>
    <n v="4"/>
    <n v="5"/>
    <n v="1"/>
    <n v="3"/>
    <n v="0"/>
    <n v="36"/>
    <n v="5"/>
    <n v="3"/>
    <n v="4"/>
    <n v="1438.3"/>
    <n v="0"/>
    <n v="1438.3"/>
    <n v="0.98"/>
    <n v="2439"/>
    <n v="43"/>
    <n v="0.72"/>
    <n v="0"/>
    <n v="0.99821000000000004"/>
    <n v="1.7930400000000001E-3"/>
    <s v="16.513799636209974"/>
    <s v="32.00748463256113"/>
    <s v="26.79282593791121"/>
    <s v="8.015175548805066"/>
    <n v="710284233"/>
    <x v="1"/>
    <n v="0.9980755"/>
    <x v="1"/>
  </r>
  <r>
    <n v="37"/>
    <n v="1"/>
    <n v="1"/>
    <n v="0"/>
    <n v="2"/>
    <n v="2"/>
    <n v="0"/>
    <n v="26"/>
    <n v="6"/>
    <n v="3"/>
    <n v="2"/>
    <n v="15755"/>
    <n v="1410"/>
    <n v="14345"/>
    <n v="0.83899999999999997"/>
    <n v="2061"/>
    <n v="61"/>
    <n v="0.64900000000000002"/>
    <n v="8.8999999999999996E-2"/>
    <n v="1.6415000000000001E-4"/>
    <n v="0.99983999999999995"/>
    <n v="27.591885407764899"/>
    <s v="74.80989934997464"/>
    <s v="12.331349356935172"/>
    <s v="15.674684540459824"/>
    <n v="717267108"/>
    <x v="0"/>
    <n v="4.5097456000000002E-4"/>
    <x v="0"/>
  </r>
  <r>
    <n v="45"/>
    <n v="1"/>
    <n v="3"/>
    <n v="3"/>
    <n v="0"/>
    <n v="2"/>
    <n v="0"/>
    <n v="40"/>
    <n v="4"/>
    <n v="1"/>
    <n v="2"/>
    <n v="17576"/>
    <n v="0"/>
    <n v="17576"/>
    <n v="0.66700000000000004"/>
    <n v="3494"/>
    <n v="67"/>
    <n v="0.71799999999999997"/>
    <n v="0"/>
    <s v="5.5559e-05"/>
    <n v="0.99994000000000005"/>
    <s v="18.51298898504703"/>
    <s v="10.322998232258843"/>
    <s v="16.004023683717847"/>
    <s v="5.798046817850805"/>
    <n v="807137808"/>
    <x v="0"/>
    <n v="7.4965424999999997E-4"/>
    <x v="0"/>
  </r>
  <r>
    <n v="49"/>
    <n v="1"/>
    <n v="2"/>
    <n v="6"/>
    <n v="1"/>
    <n v="3"/>
    <n v="0"/>
    <n v="39"/>
    <n v="2"/>
    <n v="3"/>
    <n v="4"/>
    <n v="29865"/>
    <n v="2097"/>
    <n v="27768"/>
    <n v="0.90200000000000002"/>
    <n v="8636"/>
    <n v="74"/>
    <n v="0.94699999999999995"/>
    <n v="7.0000000000000007E-2"/>
    <n v="0.99824000000000002"/>
    <n v="1.7590699999999999E-3"/>
    <s v="52.45735731586262"/>
    <s v="62.587086313449845"/>
    <s v="38.72037842574016"/>
    <s v="28.09537534262703"/>
    <n v="713399583"/>
    <x v="1"/>
    <n v="0.98751812999999999"/>
    <x v="1"/>
  </r>
  <r>
    <n v="49"/>
    <n v="1"/>
    <n v="3"/>
    <n v="2"/>
    <n v="0"/>
    <n v="2"/>
    <n v="0"/>
    <n v="30"/>
    <n v="6"/>
    <n v="1"/>
    <n v="2"/>
    <n v="2536"/>
    <n v="1823"/>
    <n v="713"/>
    <n v="0.70299999999999996"/>
    <n v="1468"/>
    <n v="23"/>
    <n v="0.35299999999999998"/>
    <n v="0.71899999999999997"/>
    <s v="5.7151e-05"/>
    <n v="0.99994000000000005"/>
    <s v="19.91398129148109"/>
    <s v="44.67898914224853"/>
    <s v="0.7313399927240274"/>
    <s v="7.803464986908005"/>
    <n v="779058108"/>
    <x v="0"/>
    <n v="1.1982243E-3"/>
    <x v="0"/>
  </r>
  <r>
    <n v="50"/>
    <n v="1"/>
    <n v="1"/>
    <n v="3"/>
    <n v="2"/>
    <n v="0"/>
    <n v="0"/>
    <n v="37"/>
    <n v="4"/>
    <n v="1"/>
    <n v="4"/>
    <n v="9758"/>
    <n v="1792"/>
    <n v="7966"/>
    <n v="0.626"/>
    <n v="4134"/>
    <n v="60"/>
    <n v="0.76500000000000001"/>
    <n v="0.184"/>
    <n v="1.4421E-4"/>
    <n v="0.99985999999999997"/>
    <s v="35.566179804382614"/>
    <s v="9.015589501663772"/>
    <s v="20.572011259519986"/>
    <s v="6.642345536560112"/>
    <n v="710516283"/>
    <x v="0"/>
    <n v="3.6248067000000002E-4"/>
    <x v="0"/>
  </r>
  <r>
    <n v="46"/>
    <n v="0"/>
    <n v="2"/>
    <n v="4"/>
    <n v="2"/>
    <n v="5"/>
    <n v="0"/>
    <n v="37"/>
    <n v="1"/>
    <n v="3"/>
    <n v="3"/>
    <n v="4848"/>
    <n v="2517"/>
    <n v="2331"/>
    <n v="0.65100000000000002"/>
    <n v="2353"/>
    <n v="53"/>
    <n v="0.82799999999999996"/>
    <n v="0.51900000000000002"/>
    <n v="0.99719999999999998"/>
    <n v="2.8005899999999999E-3"/>
    <s v="9.630907696031269"/>
    <s v="43.02964980264761"/>
    <s v="92.72600301823536"/>
    <s v="6.760632529487298"/>
    <n v="715530258"/>
    <x v="1"/>
    <n v="0.99363637000000005"/>
    <x v="1"/>
  </r>
  <r>
    <n v="61"/>
    <n v="1"/>
    <n v="1"/>
    <n v="2"/>
    <n v="3"/>
    <n v="2"/>
    <n v="0"/>
    <n v="49"/>
    <n v="6"/>
    <n v="2"/>
    <n v="2"/>
    <n v="16929"/>
    <n v="1838"/>
    <n v="15091"/>
    <n v="0.55100000000000005"/>
    <n v="4799"/>
    <n v="79"/>
    <n v="0.51900000000000002"/>
    <n v="0.109"/>
    <n v="1.0684E-4"/>
    <n v="0.99988999999999995"/>
    <s v="13.775561564331474"/>
    <s v="26.19513328029246"/>
    <s v="0.9503536626961409"/>
    <s v="9.062176658327632"/>
    <n v="719231583"/>
    <x v="0"/>
    <n v="3.2914013999999999E-4"/>
    <x v="0"/>
  </r>
  <r>
    <n v="46"/>
    <n v="1"/>
    <n v="3"/>
    <n v="5"/>
    <n v="1"/>
    <n v="4"/>
    <n v="3"/>
    <n v="33"/>
    <n v="5"/>
    <n v="2"/>
    <n v="2"/>
    <n v="12685"/>
    <n v="0"/>
    <n v="12685"/>
    <n v="0.67400000000000004"/>
    <n v="4454"/>
    <n v="74"/>
    <n v="0.57399999999999995"/>
    <n v="0"/>
    <n v="1.0972999999999999E-4"/>
    <n v="0.99988999999999995"/>
    <n v="1.27938142046446"/>
    <s v="29.022933701583657"/>
    <s v="21.58760885797421"/>
    <s v="1.633575321693197"/>
    <n v="713271708"/>
    <x v="0"/>
    <n v="7.387203E-4"/>
    <x v="0"/>
  </r>
  <r>
    <n v="52"/>
    <n v="0"/>
    <n v="1"/>
    <n v="0"/>
    <n v="2"/>
    <n v="4"/>
    <n v="0"/>
    <n v="43"/>
    <n v="5"/>
    <n v="2"/>
    <n v="3"/>
    <n v="1438.3"/>
    <n v="604"/>
    <n v="834.3"/>
    <n v="0.81"/>
    <n v="4219"/>
    <n v="83"/>
    <n v="0.69399999999999995"/>
    <n v="0.42"/>
    <n v="1.7469999999999999E-4"/>
    <n v="0.99983"/>
    <s v="10.257554825739144"/>
    <s v="45.021748833373024"/>
    <s v="164.44968118426024"/>
    <s v="9.407441841856915"/>
    <n v="719464758"/>
    <x v="0"/>
    <n v="5.6367530000000002E-4"/>
    <x v="0"/>
  </r>
  <r>
    <n v="57"/>
    <n v="0"/>
    <n v="1"/>
    <n v="3"/>
    <n v="1"/>
    <n v="4"/>
    <n v="0"/>
    <n v="36"/>
    <n v="6"/>
    <n v="2"/>
    <n v="2"/>
    <n v="3101"/>
    <n v="1257"/>
    <n v="1844"/>
    <n v="0.41599999999999998"/>
    <n v="1681"/>
    <n v="32"/>
    <n v="0.52400000000000002"/>
    <n v="0.40500000000000003"/>
    <n v="1.0386E-4"/>
    <n v="0.99990000000000001"/>
    <s v="3.017199525905643"/>
    <s v="2.0301761988781752"/>
    <s v="118.57774031519064"/>
    <s v="8.688751090918363"/>
    <n v="710892408"/>
    <x v="0"/>
    <n v="1.1544054E-3"/>
    <x v="0"/>
  </r>
  <r>
    <n v="48"/>
    <n v="1"/>
    <n v="3"/>
    <n v="5"/>
    <n v="0"/>
    <n v="1"/>
    <n v="0"/>
    <n v="35"/>
    <n v="3"/>
    <n v="5"/>
    <n v="3"/>
    <n v="11427"/>
    <n v="2307"/>
    <n v="9120"/>
    <n v="0.84799999999999998"/>
    <n v="15243"/>
    <n v="107"/>
    <n v="0.754"/>
    <n v="0.20200000000000001"/>
    <n v="3.6047999999999999E-4"/>
    <n v="0.99963999999999997"/>
    <s v="24.460519943536053"/>
    <n v="18.9923845674601"/>
    <s v="53.19195898421784"/>
    <s v="2.2922144667032334"/>
    <n v="720105933"/>
    <x v="0"/>
    <n v="3.4656386999999997E-4"/>
    <x v="0"/>
  </r>
  <r>
    <n v="37"/>
    <n v="0"/>
    <n v="2"/>
    <n v="6"/>
    <n v="1"/>
    <n v="4"/>
    <n v="0"/>
    <n v="18"/>
    <n v="3"/>
    <n v="3"/>
    <n v="1"/>
    <n v="2023"/>
    <n v="1587"/>
    <n v="436"/>
    <n v="0.64700000000000002"/>
    <n v="4391"/>
    <n v="79"/>
    <n v="0.83699999999999997"/>
    <n v="0.78400000000000003"/>
    <n v="1.1924E-4"/>
    <n v="0.99987999999999999"/>
    <s v="16.69637911269051"/>
    <s v="13.607601990643865"/>
    <s v="92.93127965068126"/>
    <s v="6.921019521205329"/>
    <n v="708989358"/>
    <x v="0"/>
    <n v="3.2101269999999999E-4"/>
    <x v="0"/>
  </r>
  <r>
    <n v="49"/>
    <n v="0"/>
    <n v="3"/>
    <n v="2"/>
    <n v="2"/>
    <n v="4"/>
    <n v="0"/>
    <n v="43"/>
    <n v="6"/>
    <n v="3"/>
    <n v="4"/>
    <n v="1675"/>
    <n v="0"/>
    <n v="1675"/>
    <n v="0.76"/>
    <n v="2622"/>
    <n v="53"/>
    <n v="0.71"/>
    <n v="0"/>
    <n v="0.99814000000000003"/>
    <n v="1.8631699999999999E-3"/>
    <n v="6.0187543398210801"/>
    <s v="36.65816379596689"/>
    <s v="30.228146100183714"/>
    <s v="3.3831434226804737"/>
    <n v="785285883"/>
    <x v="1"/>
    <n v="0.99704367000000005"/>
    <x v="1"/>
  </r>
  <r>
    <n v="36"/>
    <n v="1"/>
    <n v="4"/>
    <n v="2"/>
    <n v="0"/>
    <n v="0"/>
    <n v="0"/>
    <n v="29"/>
    <n v="3"/>
    <n v="2"/>
    <n v="2"/>
    <n v="1651"/>
    <n v="770"/>
    <n v="881"/>
    <n v="0.73599999999999999"/>
    <n v="2516"/>
    <n v="54"/>
    <n v="0.38500000000000001"/>
    <n v="0.46600000000000003"/>
    <n v="1.1937E-4"/>
    <n v="0.99987999999999999"/>
    <s v="43.40834863424067"/>
    <s v="18.36499349471151"/>
    <s v="81.24735025982162"/>
    <s v="18.44884171499982"/>
    <n v="711173883"/>
    <x v="0"/>
    <n v="1.2806259E-3"/>
    <x v="0"/>
  </r>
  <r>
    <n v="30"/>
    <n v="0"/>
    <n v="1"/>
    <n v="2"/>
    <n v="1"/>
    <n v="5"/>
    <n v="0"/>
    <n v="18"/>
    <n v="4"/>
    <n v="1"/>
    <n v="4"/>
    <n v="4377"/>
    <n v="2517"/>
    <n v="1860"/>
    <n v="0.94099999999999995"/>
    <n v="8759"/>
    <n v="74"/>
    <n v="0.60899999999999999"/>
    <n v="0.57499999999999996"/>
    <n v="0.99329999999999996"/>
    <n v="6.7000000000000002E-3"/>
    <s v="1.0041713692343486"/>
    <s v="13.40860880262226"/>
    <s v="23.23067492137435"/>
    <s v="6.882263449154102"/>
    <n v="711149133"/>
    <x v="1"/>
    <n v="0.98687210000000003"/>
    <x v="1"/>
  </r>
  <r>
    <n v="46"/>
    <n v="0"/>
    <n v="4"/>
    <n v="3"/>
    <n v="2"/>
    <n v="4"/>
    <n v="0"/>
    <n v="34"/>
    <n v="5"/>
    <n v="5"/>
    <n v="2"/>
    <n v="3322"/>
    <n v="2517"/>
    <n v="805"/>
    <n v="0.78900000000000003"/>
    <n v="3913"/>
    <n v="86"/>
    <n v="0.91100000000000003"/>
    <n v="0.75800000000000001"/>
    <n v="2.0483E-4"/>
    <n v="0.99980000000000002"/>
    <s v="2.0933264649795134"/>
    <s v="91.84329798347372"/>
    <s v="10.818320402107885"/>
    <s v="21.309412666701466"/>
    <n v="711784908"/>
    <x v="0"/>
    <n v="3.4692350000000002E-4"/>
    <x v="0"/>
  </r>
  <r>
    <n v="53"/>
    <n v="0"/>
    <n v="1"/>
    <n v="2"/>
    <n v="2"/>
    <n v="4"/>
    <n v="0"/>
    <n v="36"/>
    <n v="2"/>
    <n v="2"/>
    <n v="3"/>
    <n v="1438.3"/>
    <n v="0"/>
    <n v="1438.3"/>
    <n v="0.67200000000000004"/>
    <n v="799"/>
    <n v="17"/>
    <n v="0.214"/>
    <n v="0"/>
    <n v="0.99446999999999997"/>
    <n v="5.5300000000000002E-3"/>
    <s v="52.27416824661765"/>
    <n v="45.495486204417602"/>
    <s v="71.94923788318641"/>
    <s v="11.814749133322424"/>
    <n v="720605808"/>
    <x v="1"/>
    <n v="0.99877890000000003"/>
    <x v="1"/>
  </r>
  <r>
    <n v="48"/>
    <n v="0"/>
    <n v="2"/>
    <n v="6"/>
    <n v="2"/>
    <n v="5"/>
    <n v="0"/>
    <n v="40"/>
    <n v="3"/>
    <n v="3"/>
    <n v="4"/>
    <n v="8012"/>
    <n v="0"/>
    <n v="8012"/>
    <n v="0.59599999999999997"/>
    <n v="2645"/>
    <n v="63"/>
    <n v="0.8"/>
    <n v="0"/>
    <n v="5.6716000000000004E-4"/>
    <n v="0.99943000000000004"/>
    <s v="7.385035440686007"/>
    <s v="9.609842399059785"/>
    <s v="78.08627460722477"/>
    <s v="19.46517187903538"/>
    <n v="712709508"/>
    <x v="0"/>
    <n v="1.0180222E-3"/>
    <x v="0"/>
  </r>
  <r>
    <n v="51"/>
    <n v="1"/>
    <n v="4"/>
    <n v="5"/>
    <n v="0"/>
    <n v="3"/>
    <n v="0"/>
    <n v="38"/>
    <n v="5"/>
    <n v="3"/>
    <n v="2"/>
    <n v="34516"/>
    <n v="0"/>
    <n v="34516"/>
    <n v="0.50600000000000001"/>
    <n v="3250"/>
    <n v="63"/>
    <n v="0.65800000000000003"/>
    <n v="0"/>
    <n v="1.9395999999999999E-4"/>
    <n v="0.99980999999999998"/>
    <s v="50.44829699552981"/>
    <s v="19.99876881835289"/>
    <s v="65.42578127446188"/>
    <s v="2.6764642926004294"/>
    <n v="714505683"/>
    <x v="0"/>
    <n v="8.1245880000000001E-4"/>
    <x v="0"/>
  </r>
  <r>
    <n v="54"/>
    <n v="0"/>
    <n v="3"/>
    <n v="2"/>
    <n v="1"/>
    <n v="4"/>
    <n v="0"/>
    <n v="49"/>
    <n v="4"/>
    <n v="1"/>
    <n v="3"/>
    <n v="1906"/>
    <n v="1271"/>
    <n v="635"/>
    <n v="0.57399999999999995"/>
    <n v="1343"/>
    <n v="37"/>
    <n v="0.68200000000000005"/>
    <n v="0.66700000000000004"/>
    <s v="9.6126e-05"/>
    <n v="0.99990000000000001"/>
    <n v="8.5835710914373298"/>
    <s v="87.72683254011442"/>
    <s v="51.15458283145212"/>
    <s v="16.632925447875856"/>
    <n v="818497758"/>
    <x v="0"/>
    <n v="1.0337284E-3"/>
    <x v="0"/>
  </r>
  <r>
    <n v="36"/>
    <n v="1"/>
    <n v="3"/>
    <n v="3"/>
    <n v="2"/>
    <n v="3"/>
    <n v="0"/>
    <n v="31"/>
    <n v="6"/>
    <n v="1"/>
    <n v="1"/>
    <n v="5228"/>
    <n v="1443"/>
    <n v="3785"/>
    <n v="0.93400000000000005"/>
    <n v="2683"/>
    <n v="62"/>
    <n v="0.93799999999999994"/>
    <n v="0.27600000000000002"/>
    <s v="3.3505e-05"/>
    <n v="0.99997000000000003"/>
    <s v="18.98557670674937"/>
    <s v="45.63336469145621"/>
    <s v="8.562694154543834"/>
    <s v="25.012483949293777"/>
    <n v="815727183"/>
    <x v="0"/>
    <n v="4.2477261999999998E-4"/>
    <x v="0"/>
  </r>
  <r>
    <n v="44"/>
    <n v="1"/>
    <n v="5"/>
    <n v="6"/>
    <n v="2"/>
    <n v="3"/>
    <n v="0"/>
    <n v="34"/>
    <n v="6"/>
    <n v="2"/>
    <n v="3"/>
    <n v="8206"/>
    <n v="763"/>
    <n v="7443"/>
    <n v="0.87"/>
    <n v="1715"/>
    <n v="43"/>
    <n v="0.72"/>
    <n v="9.2999999999999999E-2"/>
    <n v="2.1724E-4"/>
    <n v="0.99978"/>
    <s v="28.720979297163503"/>
    <s v="8.394007814732154"/>
    <s v="61.23952875325981"/>
    <s v="12.441262423448904"/>
    <n v="712216533"/>
    <x v="0"/>
    <n v="1.8631766E-3"/>
    <x v="0"/>
  </r>
  <r>
    <n v="36"/>
    <n v="0"/>
    <n v="3"/>
    <n v="0"/>
    <n v="2"/>
    <n v="5"/>
    <n v="0"/>
    <n v="30"/>
    <n v="3"/>
    <n v="2"/>
    <n v="3"/>
    <n v="8696"/>
    <n v="1482"/>
    <n v="7214"/>
    <n v="1.002"/>
    <n v="2847"/>
    <n v="67"/>
    <n v="0.97099999999999997"/>
    <n v="0.17"/>
    <n v="1.9312999999999999E-4"/>
    <n v="0.99980999999999998"/>
    <s v="30.89037075531331"/>
    <s v="25.074216245224875"/>
    <s v="48.05874163760293"/>
    <s v="15.30544767357091"/>
    <n v="794293908"/>
    <x v="0"/>
    <n v="4.0155779999999998E-4"/>
    <x v="0"/>
  </r>
  <r>
    <n v="37"/>
    <n v="0"/>
    <n v="5"/>
    <n v="6"/>
    <n v="1"/>
    <n v="4"/>
    <n v="0"/>
    <n v="29"/>
    <n v="6"/>
    <n v="1"/>
    <n v="2"/>
    <n v="2140"/>
    <n v="0"/>
    <n v="2140"/>
    <n v="0.60199999999999998"/>
    <n v="4610"/>
    <n v="65"/>
    <n v="1.321"/>
    <n v="0"/>
    <s v="6.2502e-05"/>
    <n v="0.99994000000000005"/>
    <s v="3.782079423799348"/>
    <s v="46.92950982394385"/>
    <s v="16.559090021998365"/>
    <s v="16.42055737944709"/>
    <n v="710343783"/>
    <x v="0"/>
    <n v="7.6807226000000001E-4"/>
    <x v="0"/>
  </r>
  <r>
    <n v="42"/>
    <n v="0"/>
    <n v="4"/>
    <n v="0"/>
    <n v="0"/>
    <n v="1"/>
    <n v="0"/>
    <n v="36"/>
    <n v="4"/>
    <n v="3"/>
    <n v="2"/>
    <n v="3734"/>
    <n v="2517"/>
    <n v="1217"/>
    <n v="0.72399999999999998"/>
    <n v="4792"/>
    <n v="87"/>
    <n v="0.74"/>
    <n v="0.67400000000000004"/>
    <n v="1.8340000000000001E-4"/>
    <n v="0.99982000000000004"/>
    <s v="6.595163420301526"/>
    <s v="1.5302846681828624"/>
    <s v="65.08859050571331"/>
    <s v="12.746125676047871"/>
    <n v="715236783"/>
    <x v="0"/>
    <n v="3.4692350000000002E-4"/>
    <x v="0"/>
  </r>
  <r>
    <n v="41"/>
    <n v="0"/>
    <n v="4"/>
    <n v="0"/>
    <n v="1"/>
    <n v="1"/>
    <n v="0"/>
    <n v="29"/>
    <n v="5"/>
    <n v="2"/>
    <n v="3"/>
    <n v="3281"/>
    <n v="0"/>
    <n v="3281"/>
    <n v="0.875"/>
    <n v="2907"/>
    <n v="45"/>
    <n v="0.40600000000000003"/>
    <n v="0"/>
    <n v="0.99490000000000001"/>
    <n v="5.1000000000000004E-3"/>
    <s v="2.7714947327029287"/>
    <s v="35.70419056346387"/>
    <n v="93.343939586715805"/>
    <s v="1.1809828705957717"/>
    <n v="789122808"/>
    <x v="1"/>
    <n v="0.99863679999999999"/>
    <x v="1"/>
  </r>
  <r>
    <n v="49"/>
    <n v="0"/>
    <n v="2"/>
    <n v="3"/>
    <n v="2"/>
    <n v="4"/>
    <n v="0"/>
    <n v="40"/>
    <n v="3"/>
    <n v="2"/>
    <n v="2"/>
    <n v="1438.3"/>
    <n v="906"/>
    <n v="532.29999999999995"/>
    <n v="0.54100000000000004"/>
    <n v="4457"/>
    <n v="84"/>
    <n v="0.71399999999999997"/>
    <n v="0.63"/>
    <n v="1.1065000000000001E-4"/>
    <n v="0.99988999999999995"/>
    <s v="16.270699548861007"/>
    <s v="6.200393341092931"/>
    <s v="34.68314176504586"/>
    <s v="4.977463077039385"/>
    <n v="709632483"/>
    <x v="0"/>
    <n v="4.0989029999999999E-4"/>
    <x v="0"/>
  </r>
  <r>
    <n v="39"/>
    <n v="1"/>
    <n v="1"/>
    <n v="4"/>
    <n v="2"/>
    <n v="3"/>
    <n v="0"/>
    <n v="29"/>
    <n v="6"/>
    <n v="2"/>
    <n v="2"/>
    <n v="23034"/>
    <n v="1992"/>
    <n v="21042"/>
    <n v="0.75900000000000001"/>
    <n v="2514"/>
    <n v="32"/>
    <n v="0.68400000000000005"/>
    <n v="8.5999999999999993E-2"/>
    <n v="1.2570999999999999E-4"/>
    <n v="0.99987000000000004"/>
    <s v="30.85624656919946"/>
    <s v="76.49414988000812"/>
    <s v="79.64044322527964"/>
    <s v="9.098941478427772"/>
    <n v="772601283"/>
    <x v="0"/>
    <n v="1.3310937E-3"/>
    <x v="0"/>
  </r>
  <r>
    <n v="31"/>
    <n v="1"/>
    <n v="1"/>
    <n v="0"/>
    <n v="1"/>
    <n v="3"/>
    <n v="0"/>
    <n v="36"/>
    <n v="4"/>
    <n v="1"/>
    <n v="0"/>
    <n v="25215"/>
    <n v="1445"/>
    <n v="23770"/>
    <n v="1.0329999999999999"/>
    <n v="2588"/>
    <n v="48"/>
    <n v="1"/>
    <n v="5.7000000000000002E-2"/>
    <s v="1.854e-05"/>
    <n v="0.99997999999999998"/>
    <s v="12.25164650128325"/>
    <s v="16.432830818816687"/>
    <n v="97.426665687051994"/>
    <s v="5.854166963159958"/>
    <n v="715174158"/>
    <x v="0"/>
    <n v="1.2914230999999999E-3"/>
    <x v="0"/>
  </r>
  <r>
    <n v="46"/>
    <n v="1"/>
    <n v="3"/>
    <n v="1"/>
    <n v="0"/>
    <n v="3"/>
    <n v="0"/>
    <n v="38"/>
    <n v="6"/>
    <n v="3"/>
    <n v="3"/>
    <n v="8258"/>
    <n v="1771"/>
    <n v="6487"/>
    <n v="0"/>
    <n v="1447"/>
    <n v="23"/>
    <n v="0"/>
    <n v="0.214"/>
    <n v="0.99780000000000002"/>
    <n v="2.1958400000000001E-3"/>
    <s v="6.042333708078543"/>
    <s v="35.868708347958744"/>
    <s v="55.75329163651646"/>
    <s v="6.792021115246801"/>
    <n v="708084558"/>
    <x v="1"/>
    <n v="0.99466089999999996"/>
    <x v="1"/>
  </r>
  <r>
    <n v="49"/>
    <n v="1"/>
    <n v="2"/>
    <n v="3"/>
    <n v="2"/>
    <n v="0"/>
    <n v="0"/>
    <n v="42"/>
    <n v="3"/>
    <n v="2"/>
    <n v="4"/>
    <n v="21144"/>
    <n v="1190"/>
    <n v="19954"/>
    <n v="0.5"/>
    <n v="4895"/>
    <n v="66"/>
    <n v="0.78400000000000003"/>
    <n v="5.6000000000000001E-2"/>
    <n v="3.1745999999999999E-4"/>
    <n v="0.99968000000000001"/>
    <s v="16.443759734756167"/>
    <s v="6.588931920548671"/>
    <s v="22.62767126646229"/>
    <s v="3.255733723844055"/>
    <n v="756727233"/>
    <x v="0"/>
    <n v="3.5729867999999997E-4"/>
    <x v="0"/>
  </r>
  <r>
    <n v="43"/>
    <n v="0"/>
    <n v="3"/>
    <n v="2"/>
    <n v="1"/>
    <n v="4"/>
    <n v="3"/>
    <n v="30"/>
    <n v="6"/>
    <n v="1"/>
    <n v="4"/>
    <n v="12952"/>
    <n v="1864"/>
    <n v="11088"/>
    <n v="0.41399999999999998"/>
    <n v="3472"/>
    <n v="51"/>
    <n v="0.45700000000000002"/>
    <n v="0.14399999999999999"/>
    <n v="1.4818000000000001E-4"/>
    <n v="0.99985000000000002"/>
    <s v="72.47105100849086"/>
    <s v="11.10339043837708"/>
    <s v="194.64951369466743"/>
    <s v="22.74141953752887"/>
    <n v="712665633"/>
    <x v="0"/>
    <n v="1.0540090000000001E-3"/>
    <x v="0"/>
  </r>
  <r>
    <n v="59"/>
    <n v="0"/>
    <n v="0"/>
    <n v="2"/>
    <n v="1"/>
    <n v="4"/>
    <n v="0"/>
    <n v="53"/>
    <n v="4"/>
    <n v="5"/>
    <n v="1"/>
    <n v="3054"/>
    <n v="2517"/>
    <n v="537"/>
    <n v="1.0609999999999999"/>
    <n v="4706"/>
    <n v="84"/>
    <n v="0.64700000000000002"/>
    <n v="0.82399999999999995"/>
    <n v="1.0397E-4"/>
    <n v="0.99990000000000001"/>
    <s v="31.306590640997808"/>
    <s v="11.39264777486668"/>
    <n v="95.449904091119393"/>
    <s v="13.360450609708508"/>
    <n v="781675983"/>
    <x v="0"/>
    <n v="3.5694459999999998E-4"/>
    <x v="0"/>
  </r>
  <r>
    <n v="47"/>
    <n v="0"/>
    <n v="4"/>
    <n v="3"/>
    <n v="1"/>
    <n v="4"/>
    <n v="0"/>
    <n v="29"/>
    <n v="6"/>
    <n v="3"/>
    <n v="0"/>
    <n v="2712"/>
    <n v="2411"/>
    <n v="301"/>
    <n v="0.84399999999999997"/>
    <n v="5201"/>
    <n v="82"/>
    <n v="0.90700000000000003"/>
    <n v="0.88900000000000001"/>
    <s v="6.765e-05"/>
    <n v="0.99992999999999999"/>
    <s v="21.57073785906863"/>
    <s v="38.41036390217066"/>
    <s v="83.67234233389941"/>
    <s v="0.6170003583993998"/>
    <n v="779252283"/>
    <x v="0"/>
    <n v="3.2101269999999999E-4"/>
    <x v="0"/>
  </r>
  <r>
    <n v="53"/>
    <n v="0"/>
    <n v="2"/>
    <n v="3"/>
    <n v="2"/>
    <n v="4"/>
    <n v="0"/>
    <n v="41"/>
    <n v="4"/>
    <n v="1"/>
    <n v="2"/>
    <n v="2252"/>
    <n v="1811"/>
    <n v="441"/>
    <n v="0.68"/>
    <n v="4201"/>
    <n v="68"/>
    <n v="1.125"/>
    <n v="0.80400000000000005"/>
    <s v="5.3542e-05"/>
    <n v="0.99995000000000001"/>
    <s v="3.682451080918887"/>
    <s v="24.93053794801088"/>
    <s v="51.12419369644991"/>
    <s v="21.262407609111676"/>
    <n v="771688983"/>
    <x v="0"/>
    <n v="3.2101269999999999E-4"/>
    <x v="0"/>
  </r>
  <r>
    <n v="35"/>
    <n v="0"/>
    <n v="1"/>
    <n v="3"/>
    <n v="2"/>
    <n v="4"/>
    <n v="0"/>
    <n v="26"/>
    <n v="3"/>
    <n v="3"/>
    <n v="2"/>
    <n v="2189"/>
    <n v="1833"/>
    <n v="356"/>
    <n v="0.56000000000000005"/>
    <n v="4530"/>
    <n v="72"/>
    <n v="0.84599999999999997"/>
    <n v="0.83699999999999997"/>
    <n v="1.6412999999999999E-4"/>
    <n v="0.99983999999999995"/>
    <s v="3.455373082425712"/>
    <s v="24.729103651315068"/>
    <s v="37.23128256193281"/>
    <s v="14.135104419243708"/>
    <n v="715955208"/>
    <x v="0"/>
    <n v="3.2101269999999999E-4"/>
    <x v="0"/>
  </r>
  <r>
    <n v="60"/>
    <n v="1"/>
    <n v="1"/>
    <n v="6"/>
    <n v="0"/>
    <n v="1"/>
    <n v="0"/>
    <n v="49"/>
    <n v="4"/>
    <n v="3"/>
    <n v="2"/>
    <n v="3012"/>
    <n v="0"/>
    <n v="3012"/>
    <n v="0.53800000000000003"/>
    <n v="1315"/>
    <n v="23"/>
    <n v="0.27800000000000002"/>
    <n v="0"/>
    <n v="1.8558E-4"/>
    <n v="0.99980999999999998"/>
    <s v="26.55758518674634"/>
    <s v="38.90862766655597"/>
    <s v="90.16697127033343"/>
    <s v="2.376151049277266"/>
    <n v="789262683"/>
    <x v="0"/>
    <n v="4.459518E-3"/>
    <x v="0"/>
  </r>
  <r>
    <n v="51"/>
    <n v="1"/>
    <n v="1"/>
    <n v="3"/>
    <n v="1"/>
    <n v="4"/>
    <n v="0"/>
    <n v="41"/>
    <n v="3"/>
    <n v="4"/>
    <n v="3"/>
    <n v="1438.3"/>
    <n v="0"/>
    <n v="1438.3"/>
    <n v="0.623"/>
    <n v="4312"/>
    <n v="81"/>
    <n v="0.72299999999999998"/>
    <n v="0"/>
    <n v="3.3358999999999998E-4"/>
    <n v="0.99966999999999995"/>
    <s v="9.770639386117132"/>
    <s v="46.11401486225754"/>
    <s v="118.66125542175914"/>
    <s v="13.809302853795318"/>
    <n v="710879283"/>
    <x v="0"/>
    <n v="6.9517245999999998E-4"/>
    <x v="0"/>
  </r>
  <r>
    <n v="51"/>
    <n v="1"/>
    <n v="3"/>
    <n v="2"/>
    <n v="1"/>
    <n v="3"/>
    <n v="0"/>
    <n v="46"/>
    <n v="6"/>
    <n v="3"/>
    <n v="3"/>
    <n v="3458"/>
    <n v="1989"/>
    <n v="1469"/>
    <n v="0.70699999999999996"/>
    <n v="3409"/>
    <n v="59"/>
    <n v="1.034"/>
    <n v="0.57499999999999996"/>
    <n v="3.1389999999999999E-4"/>
    <n v="0.99968999999999997"/>
    <s v="1.872892456244292"/>
    <s v="74.43571741229043"/>
    <s v="49.44653896032688"/>
    <s v="3.475416987192712"/>
    <n v="812956983"/>
    <x v="0"/>
    <n v="3.8517435000000002E-4"/>
    <x v="0"/>
  </r>
  <r>
    <n v="49"/>
    <n v="1"/>
    <n v="4"/>
    <n v="6"/>
    <n v="1"/>
    <n v="3"/>
    <n v="0"/>
    <n v="38"/>
    <n v="2"/>
    <n v="3"/>
    <n v="2"/>
    <n v="29890"/>
    <n v="0"/>
    <n v="29890"/>
    <n v="0.64"/>
    <n v="3315"/>
    <n v="47"/>
    <n v="0.38200000000000001"/>
    <n v="0"/>
    <n v="0.99519999999999997"/>
    <n v="4.7986299999999999E-3"/>
    <s v="11.231450513037633"/>
    <s v="66.61568050673378"/>
    <s v="107.60926194742149"/>
    <s v="11.332348929557712"/>
    <n v="711249858"/>
    <x v="1"/>
    <n v="0.99852450000000004"/>
    <x v="1"/>
  </r>
  <r>
    <n v="61"/>
    <n v="1"/>
    <n v="0"/>
    <n v="3"/>
    <n v="2"/>
    <n v="2"/>
    <n v="0"/>
    <n v="53"/>
    <n v="1"/>
    <n v="3"/>
    <n v="3"/>
    <n v="2415"/>
    <n v="2050"/>
    <n v="365"/>
    <n v="0.499"/>
    <n v="4479"/>
    <n v="71"/>
    <n v="0.69"/>
    <n v="0.84899999999999998"/>
    <n v="2.5237000000000002E-4"/>
    <n v="0.99975000000000003"/>
    <s v="16.37569044602874"/>
    <s v="17.685356967167127"/>
    <s v="10.675674861512077"/>
    <s v="13.419421319737742"/>
    <n v="713739708"/>
    <x v="0"/>
    <n v="3.2101269999999999E-4"/>
    <x v="0"/>
  </r>
  <r>
    <n v="48"/>
    <n v="0"/>
    <n v="5"/>
    <n v="6"/>
    <n v="2"/>
    <n v="5"/>
    <n v="0"/>
    <n v="36"/>
    <n v="4"/>
    <n v="2"/>
    <n v="3"/>
    <n v="7645"/>
    <n v="931"/>
    <n v="6714"/>
    <n v="0.89400000000000002"/>
    <n v="5016"/>
    <n v="73"/>
    <n v="0.622"/>
    <n v="0.122"/>
    <n v="2.1724E-4"/>
    <n v="0.99978"/>
    <s v="23.64809357328146"/>
    <s v="35.918692808301934"/>
    <s v="32.141526017602594"/>
    <s v="23.266627926251896"/>
    <n v="714390858"/>
    <x v="0"/>
    <n v="4.2605673999999999E-4"/>
    <x v="0"/>
  </r>
  <r>
    <n v="53"/>
    <n v="0"/>
    <n v="2"/>
    <n v="2"/>
    <n v="1"/>
    <n v="4"/>
    <n v="0"/>
    <n v="49"/>
    <n v="4"/>
    <n v="2"/>
    <n v="4"/>
    <n v="1520"/>
    <n v="0"/>
    <n v="1520"/>
    <n v="0.56599999999999995"/>
    <n v="4256"/>
    <n v="73"/>
    <n v="0.622"/>
    <n v="0"/>
    <n v="3.2655999999999999E-4"/>
    <n v="0.99966999999999995"/>
    <s v="9.707860764688892"/>
    <s v="20.876661780874567"/>
    <s v="85.78190052301113"/>
    <s v="6.592169069478466"/>
    <n v="822952158"/>
    <x v="0"/>
    <n v="7.1276520000000004E-4"/>
    <x v="0"/>
  </r>
  <r>
    <n v="53"/>
    <n v="1"/>
    <n v="3"/>
    <n v="2"/>
    <n v="1"/>
    <n v="0"/>
    <n v="0"/>
    <n v="44"/>
    <n v="3"/>
    <n v="2"/>
    <n v="3"/>
    <n v="12163"/>
    <n v="2082"/>
    <n v="10081"/>
    <n v="1.554"/>
    <n v="2649"/>
    <n v="56"/>
    <n v="0.69699999999999995"/>
    <n v="0.17100000000000001"/>
    <n v="1.9864000000000001E-4"/>
    <n v="0.99980000000000002"/>
    <s v="14.171130565196163"/>
    <s v="14.073448687160909"/>
    <s v="25.35483445447616"/>
    <s v="1.4080765859171338"/>
    <n v="717028158"/>
    <x v="0"/>
    <n v="5.1859210000000005E-4"/>
    <x v="0"/>
  </r>
  <r>
    <n v="51"/>
    <n v="1"/>
    <n v="3"/>
    <n v="2"/>
    <n v="1"/>
    <n v="3"/>
    <n v="0"/>
    <n v="39"/>
    <n v="1"/>
    <n v="2"/>
    <n v="1"/>
    <n v="7088"/>
    <n v="1750"/>
    <n v="5338"/>
    <n v="0.61799999999999999"/>
    <n v="4691"/>
    <n v="76"/>
    <n v="0.72699999999999998"/>
    <n v="0.247"/>
    <s v="7.1226e-05"/>
    <n v="0.99992999999999999"/>
    <s v="81.51829856170404"/>
    <n v="29.672024007102198"/>
    <s v="3.0106635470669434"/>
    <s v="0.7557459806301091"/>
    <n v="712203333"/>
    <x v="0"/>
    <n v="3.2101269999999999E-4"/>
    <x v="0"/>
  </r>
  <r>
    <n v="50"/>
    <n v="1"/>
    <n v="0"/>
    <n v="3"/>
    <n v="0"/>
    <n v="1"/>
    <n v="0"/>
    <n v="29"/>
    <n v="5"/>
    <n v="3"/>
    <n v="2"/>
    <n v="5530"/>
    <n v="2034"/>
    <n v="3496"/>
    <n v="0.64700000000000002"/>
    <n v="4836"/>
    <n v="68"/>
    <n v="0.74399999999999999"/>
    <n v="0.36799999999999999"/>
    <n v="1.5004999999999999E-4"/>
    <n v="0.99985000000000002"/>
    <n v="7.3690011424611503"/>
    <n v="26.900865198553401"/>
    <s v="66.17492770698983"/>
    <s v="1.1495036907929643"/>
    <n v="788747358"/>
    <x v="0"/>
    <n v="3.2101269999999999E-4"/>
    <x v="0"/>
  </r>
  <r>
    <n v="58"/>
    <n v="1"/>
    <n v="4"/>
    <n v="3"/>
    <n v="1"/>
    <n v="2"/>
    <n v="0"/>
    <n v="53"/>
    <n v="1"/>
    <n v="3"/>
    <n v="0"/>
    <n v="13784"/>
    <n v="698"/>
    <n v="13086"/>
    <n v="0.75"/>
    <n v="13120"/>
    <n v="91"/>
    <n v="0.78400000000000003"/>
    <n v="5.0999999999999997E-2"/>
    <s v="6.765e-05"/>
    <n v="0.99992999999999999"/>
    <s v="40.42253216393857"/>
    <s v="54.11175234270917"/>
    <s v="54.99855567003885"/>
    <s v="4.5352204957271205"/>
    <n v="818960133"/>
    <x v="0"/>
    <n v="6.5472092999999999E-4"/>
    <x v="0"/>
  </r>
  <r>
    <n v="63"/>
    <n v="0"/>
    <n v="0"/>
    <n v="6"/>
    <n v="1"/>
    <n v="4"/>
    <n v="0"/>
    <n v="36"/>
    <n v="4"/>
    <n v="1"/>
    <n v="4"/>
    <n v="3552"/>
    <n v="2517"/>
    <n v="1035"/>
    <n v="0.46500000000000002"/>
    <n v="1342"/>
    <n v="26"/>
    <n v="1"/>
    <n v="0.70899999999999996"/>
    <n v="1.4907000000000001E-4"/>
    <n v="0.99985000000000002"/>
    <s v="18.412974417637507"/>
    <s v="22.20770646596425"/>
    <s v="99.10138982020725"/>
    <s v="11.360676376434451"/>
    <n v="715499808"/>
    <x v="0"/>
    <n v="1.0254878999999999E-3"/>
    <x v="0"/>
  </r>
  <r>
    <n v="39"/>
    <n v="1"/>
    <n v="3"/>
    <n v="2"/>
    <n v="3"/>
    <n v="3"/>
    <n v="0"/>
    <n v="31"/>
    <n v="6"/>
    <n v="2"/>
    <n v="4"/>
    <n v="8434"/>
    <n v="2222"/>
    <n v="6212"/>
    <n v="0.69099999999999995"/>
    <n v="1414"/>
    <n v="27"/>
    <n v="0.92900000000000005"/>
    <n v="0.26300000000000001"/>
    <n v="3.3886000000000002E-4"/>
    <n v="0.99965999999999999"/>
    <s v="13.475671549982469"/>
    <s v="15.535976230685112"/>
    <s v="125.89251680518817"/>
    <s v="17.880865495623663"/>
    <n v="710944608"/>
    <x v="0"/>
    <n v="9.8706899999999992E-4"/>
    <x v="0"/>
  </r>
  <r>
    <n v="56"/>
    <n v="0"/>
    <n v="4"/>
    <n v="6"/>
    <n v="1"/>
    <n v="4"/>
    <n v="0"/>
    <n v="46"/>
    <n v="5"/>
    <n v="3"/>
    <n v="2"/>
    <n v="4271"/>
    <n v="1150"/>
    <n v="3121"/>
    <n v="1.0640000000000001"/>
    <n v="2052"/>
    <n v="50"/>
    <n v="0.72399999999999998"/>
    <n v="0.26900000000000002"/>
    <n v="2.0735E-4"/>
    <n v="0.99978999999999996"/>
    <s v="37.88851153072307"/>
    <s v="41.04093500202484"/>
    <s v="92.08519402671124"/>
    <s v="1.4294889447286645"/>
    <n v="716452083"/>
    <x v="0"/>
    <n v="9.0581370000000002E-4"/>
    <x v="0"/>
  </r>
  <r>
    <n v="44"/>
    <n v="0"/>
    <n v="3"/>
    <n v="2"/>
    <n v="1"/>
    <n v="4"/>
    <n v="0"/>
    <n v="40"/>
    <n v="1"/>
    <n v="1"/>
    <n v="3"/>
    <n v="6441"/>
    <n v="2151"/>
    <n v="4290"/>
    <n v="0.64"/>
    <n v="7123"/>
    <n v="94"/>
    <n v="0.49199999999999999"/>
    <n v="0.33400000000000002"/>
    <s v="9.6126e-05"/>
    <n v="0.99990000000000001"/>
    <s v="9.581444635085058"/>
    <s v="1.919696339579032"/>
    <s v="1.4718667339795926"/>
    <s v="7.1672917671859455"/>
    <n v="823519458"/>
    <x v="0"/>
    <n v="3.9225167999999998E-4"/>
    <x v="0"/>
  </r>
  <r>
    <n v="39"/>
    <n v="1"/>
    <n v="2"/>
    <n v="4"/>
    <n v="1"/>
    <n v="3"/>
    <n v="0"/>
    <n v="31"/>
    <n v="5"/>
    <n v="2"/>
    <n v="1"/>
    <n v="18974"/>
    <n v="2517"/>
    <n v="16457"/>
    <n v="1.369"/>
    <n v="2783"/>
    <n v="56"/>
    <n v="1"/>
    <n v="0.13300000000000001"/>
    <s v="8.0767e-05"/>
    <n v="0.99992000000000003"/>
    <s v="54.32031399069085"/>
    <s v="74.80852763290851"/>
    <s v="102.8693307336832"/>
    <n v="14.662391255067201"/>
    <n v="719108358"/>
    <x v="0"/>
    <n v="5.0357216999999995E-4"/>
    <x v="0"/>
  </r>
  <r>
    <n v="34"/>
    <n v="1"/>
    <n v="3"/>
    <n v="3"/>
    <n v="2"/>
    <n v="3"/>
    <n v="3"/>
    <n v="21"/>
    <n v="6"/>
    <n v="4"/>
    <n v="3"/>
    <n v="34516"/>
    <n v="2517"/>
    <n v="31999"/>
    <n v="0.79100000000000004"/>
    <n v="2901"/>
    <n v="75"/>
    <n v="0.92300000000000004"/>
    <n v="7.2999999999999995E-2"/>
    <n v="3.3322000000000001E-4"/>
    <n v="0.99966999999999995"/>
    <s v="0.4265692705193363"/>
    <s v="50.839983471521386"/>
    <s v="39.37143390390312"/>
    <s v="15.908536443925382"/>
    <n v="711032058"/>
    <x v="0"/>
    <n v="4.4126575999999998E-4"/>
    <x v="0"/>
  </r>
  <r>
    <n v="41"/>
    <n v="1"/>
    <n v="3"/>
    <n v="2"/>
    <n v="1"/>
    <n v="3"/>
    <n v="0"/>
    <n v="31"/>
    <n v="3"/>
    <n v="2"/>
    <n v="2"/>
    <n v="9959"/>
    <n v="1946"/>
    <n v="8013"/>
    <n v="0.72499999999999998"/>
    <n v="15594"/>
    <n v="114"/>
    <n v="0.67600000000000005"/>
    <n v="0.19500000000000001"/>
    <n v="1.1811000000000001E-4"/>
    <n v="0.99987999999999999"/>
    <n v="40.756690009350997"/>
    <s v="14.968047126047724"/>
    <s v="1.1038234850678117"/>
    <s v="3.355387643297802"/>
    <n v="708482658"/>
    <x v="0"/>
    <n v="3.4656386999999997E-4"/>
    <x v="0"/>
  </r>
  <r>
    <n v="55"/>
    <n v="0"/>
    <n v="2"/>
    <n v="2"/>
    <n v="1"/>
    <n v="1"/>
    <n v="0"/>
    <n v="36"/>
    <n v="5"/>
    <n v="3"/>
    <n v="3"/>
    <n v="2653"/>
    <n v="0"/>
    <n v="2653"/>
    <n v="0.96899999999999997"/>
    <n v="5052"/>
    <n v="81"/>
    <n v="0.76100000000000001"/>
    <n v="0"/>
    <n v="3.0250999999999998E-4"/>
    <n v="0.99970000000000003"/>
    <s v="15.289382735619172"/>
    <s v="79.08241468729815"/>
    <s v="85.87428618449093"/>
    <s v="5.325493588416026"/>
    <n v="715122858"/>
    <x v="0"/>
    <n v="7.1297199999999998E-4"/>
    <x v="0"/>
  </r>
  <r>
    <n v="50"/>
    <n v="1"/>
    <n v="2"/>
    <n v="6"/>
    <n v="1"/>
    <n v="1"/>
    <n v="0"/>
    <n v="36"/>
    <n v="3"/>
    <n v="1"/>
    <n v="3"/>
    <n v="5426"/>
    <n v="1478"/>
    <n v="3948"/>
    <n v="0.66400000000000003"/>
    <n v="1266"/>
    <n v="22"/>
    <n v="0.57099999999999995"/>
    <n v="0.27200000000000002"/>
    <n v="1.0183000000000001E-4"/>
    <n v="0.99990000000000001"/>
    <n v="4.9401339187091997"/>
    <n v="59.052597875175003"/>
    <s v="102.62951447492216"/>
    <s v="9.318005995056568"/>
    <n v="721250358"/>
    <x v="0"/>
    <n v="1.0903810999999999E-3"/>
    <x v="0"/>
  </r>
  <r>
    <n v="39"/>
    <n v="1"/>
    <n v="3"/>
    <n v="2"/>
    <n v="1"/>
    <n v="0"/>
    <n v="0"/>
    <n v="36"/>
    <n v="3"/>
    <n v="3"/>
    <n v="2"/>
    <n v="32964"/>
    <n v="2231"/>
    <n v="30733"/>
    <n v="1.7310000000000001"/>
    <n v="3094"/>
    <n v="45"/>
    <n v="1.647"/>
    <n v="6.8000000000000005E-2"/>
    <n v="1.8665000000000001E-4"/>
    <n v="0.99980999999999998"/>
    <s v="14.577101209701828"/>
    <s v="62.51223225838382"/>
    <n v="58.250712787255601"/>
    <s v="13.938676498746688"/>
    <n v="712206858"/>
    <x v="0"/>
    <n v="1.0722771E-3"/>
    <x v="0"/>
  </r>
  <r>
    <n v="45"/>
    <n v="1"/>
    <n v="4"/>
    <n v="6"/>
    <n v="1"/>
    <n v="3"/>
    <n v="0"/>
    <n v="38"/>
    <n v="2"/>
    <n v="3"/>
    <n v="3"/>
    <n v="3798"/>
    <n v="1570"/>
    <n v="2228"/>
    <n v="0.91600000000000004"/>
    <n v="4512"/>
    <n v="80"/>
    <n v="0.77800000000000002"/>
    <n v="0.41299999999999998"/>
    <n v="3.4872000000000001E-4"/>
    <n v="0.99965000000000004"/>
    <s v="20.24954368768932"/>
    <n v="4.95440631176122"/>
    <s v="81.44939330242553"/>
    <s v="11.044032450713097"/>
    <n v="766673433"/>
    <x v="0"/>
    <n v="3.221314E-4"/>
    <x v="0"/>
  </r>
  <r>
    <n v="56"/>
    <n v="1"/>
    <n v="3"/>
    <n v="6"/>
    <n v="1"/>
    <n v="2"/>
    <n v="0"/>
    <n v="45"/>
    <n v="5"/>
    <n v="3"/>
    <n v="2"/>
    <n v="12248"/>
    <n v="0"/>
    <n v="12248"/>
    <n v="0.89400000000000002"/>
    <n v="767"/>
    <n v="25"/>
    <n v="0.56200000000000006"/>
    <n v="0"/>
    <n v="0.99514999999999998"/>
    <n v="4.8496700000000004E-3"/>
    <s v="4.162109005073815"/>
    <s v="69.19679347542699"/>
    <s v="29.46520727090753"/>
    <s v="10.35463927325877"/>
    <n v="771963708"/>
    <x v="1"/>
    <n v="0.99867176999999996"/>
    <x v="1"/>
  </r>
  <r>
    <n v="53"/>
    <n v="0"/>
    <n v="1"/>
    <n v="3"/>
    <n v="1"/>
    <n v="4"/>
    <n v="0"/>
    <n v="36"/>
    <n v="3"/>
    <n v="2"/>
    <n v="2"/>
    <n v="1688"/>
    <n v="0"/>
    <n v="1688"/>
    <n v="0.64100000000000001"/>
    <n v="4375"/>
    <n v="69"/>
    <n v="0.60499999999999998"/>
    <n v="0"/>
    <n v="1.0386E-4"/>
    <n v="0.99990000000000001"/>
    <s v="13.641219970653298"/>
    <s v="52.36191290122736"/>
    <s v="49.69903608915441"/>
    <s v="11.888767224934549"/>
    <n v="708113208"/>
    <x v="0"/>
    <n v="7.686247E-4"/>
    <x v="0"/>
  </r>
  <r>
    <n v="56"/>
    <n v="1"/>
    <n v="2"/>
    <n v="0"/>
    <n v="1"/>
    <n v="3"/>
    <n v="0"/>
    <n v="50"/>
    <n v="1"/>
    <n v="1"/>
    <n v="3"/>
    <n v="10214"/>
    <n v="1433"/>
    <n v="8781"/>
    <n v="0.64"/>
    <n v="4493"/>
    <n v="79"/>
    <n v="0.88100000000000001"/>
    <n v="0.14000000000000001"/>
    <s v="9.0064e-05"/>
    <n v="0.99990999999999997"/>
    <n v="6.3625823523031801"/>
    <s v="2.005960948969772"/>
    <s v="114.86010841418806"/>
    <s v="14.414332275640891"/>
    <n v="794227308"/>
    <x v="0"/>
    <n v="3.2101269999999999E-4"/>
    <x v="0"/>
  </r>
  <r>
    <n v="49"/>
    <n v="0"/>
    <n v="2"/>
    <n v="6"/>
    <n v="2"/>
    <n v="4"/>
    <n v="0"/>
    <n v="36"/>
    <n v="4"/>
    <n v="3"/>
    <n v="0"/>
    <n v="1635"/>
    <n v="1220"/>
    <n v="415"/>
    <n v="0.56499999999999995"/>
    <n v="4807"/>
    <n v="56"/>
    <n v="0.93100000000000005"/>
    <n v="0.746"/>
    <s v="7.2936e-05"/>
    <n v="0.99992999999999999"/>
    <s v="1.5514159576297573"/>
    <s v="22.05702959994295"/>
    <s v="32.61942358701129"/>
    <s v="6.561926236220166"/>
    <n v="719410083"/>
    <x v="0"/>
    <n v="4.6176806999999998E-4"/>
    <x v="0"/>
  </r>
  <r>
    <n v="63"/>
    <n v="1"/>
    <n v="0"/>
    <n v="2"/>
    <n v="2"/>
    <n v="5"/>
    <n v="0"/>
    <n v="55"/>
    <n v="5"/>
    <n v="0"/>
    <n v="2"/>
    <n v="18550"/>
    <n v="0"/>
    <n v="18550"/>
    <n v="0.90800000000000003"/>
    <n v="2616"/>
    <n v="42"/>
    <n v="0.82599999999999996"/>
    <n v="0"/>
    <n v="0.94591000000000003"/>
    <n v="5.4089999999999999E-2"/>
    <s v="1.4954933217839097"/>
    <s v="55.28173620879835"/>
    <s v="8.522887059077727"/>
    <s v="21.95447258459549"/>
    <n v="717103758"/>
    <x v="1"/>
    <n v="0.34134218"/>
    <x v="0"/>
  </r>
  <r>
    <n v="35"/>
    <n v="1"/>
    <n v="3"/>
    <n v="0"/>
    <n v="1"/>
    <n v="2"/>
    <n v="0"/>
    <n v="17"/>
    <n v="3"/>
    <n v="3"/>
    <n v="2"/>
    <n v="2259"/>
    <n v="1776"/>
    <n v="483"/>
    <n v="1.292"/>
    <n v="1790"/>
    <n v="31"/>
    <n v="0.82399999999999995"/>
    <n v="0.78600000000000003"/>
    <n v="1.8145999999999999E-4"/>
    <n v="0.99982000000000004"/>
    <s v="29.87284400179936"/>
    <s v="10.299415666526102"/>
    <s v="124.50844260340656"/>
    <s v="24.480735238137463"/>
    <n v="711848658"/>
    <x v="0"/>
    <n v="1.0249399E-3"/>
    <x v="0"/>
  </r>
  <r>
    <n v="47"/>
    <n v="1"/>
    <n v="3"/>
    <n v="5"/>
    <n v="2"/>
    <n v="0"/>
    <n v="0"/>
    <n v="36"/>
    <n v="3"/>
    <n v="3"/>
    <n v="4"/>
    <n v="34516"/>
    <n v="0"/>
    <n v="34516"/>
    <n v="0.51700000000000002"/>
    <n v="2020"/>
    <n v="33"/>
    <n v="0.375"/>
    <n v="0"/>
    <n v="0.99819000000000002"/>
    <n v="1.8121700000000001E-3"/>
    <s v="47.50758302269299"/>
    <s v="48.21370975948824"/>
    <s v="99.02168680402414"/>
    <s v="2.2663199232473423"/>
    <n v="713526258"/>
    <x v="1"/>
    <n v="0.99841880000000005"/>
    <x v="1"/>
  </r>
  <r>
    <n v="38"/>
    <n v="0"/>
    <n v="1"/>
    <n v="2"/>
    <n v="2"/>
    <n v="1"/>
    <n v="0"/>
    <n v="36"/>
    <n v="4"/>
    <n v="2"/>
    <n v="2"/>
    <n v="2358"/>
    <n v="1965"/>
    <n v="393"/>
    <n v="0.61399999999999999"/>
    <n v="4922"/>
    <n v="80"/>
    <n v="0.6"/>
    <n v="0.83299999999999996"/>
    <n v="1.0684E-4"/>
    <n v="0.99988999999999995"/>
    <s v="6.182845851658953"/>
    <s v="22.69887594107281"/>
    <s v="34.49523565461155"/>
    <s v="18.73599348175273"/>
    <n v="710669733"/>
    <x v="0"/>
    <n v="3.2914013999999999E-4"/>
    <x v="0"/>
  </r>
  <r>
    <n v="34"/>
    <n v="0"/>
    <n v="1"/>
    <n v="3"/>
    <n v="1"/>
    <n v="4"/>
    <n v="0"/>
    <n v="28"/>
    <n v="4"/>
    <n v="3"/>
    <n v="4"/>
    <n v="2707"/>
    <n v="2036"/>
    <n v="671"/>
    <n v="0.82699999999999996"/>
    <n v="1926"/>
    <n v="33"/>
    <n v="0.94099999999999995"/>
    <n v="0.752"/>
    <n v="4.7085999999999997E-4"/>
    <n v="0.99953000000000003"/>
    <s v="37.12836462586578"/>
    <s v="32.39991931421163"/>
    <n v="67.046653559958997"/>
    <s v="15.16583496045522"/>
    <n v="797753283"/>
    <x v="0"/>
    <n v="1.0934846E-3"/>
    <x v="0"/>
  </r>
  <r>
    <n v="30"/>
    <n v="1"/>
    <n v="2"/>
    <n v="5"/>
    <n v="2"/>
    <n v="2"/>
    <n v="0"/>
    <n v="13"/>
    <n v="3"/>
    <n v="2"/>
    <n v="3"/>
    <n v="4107"/>
    <n v="979"/>
    <n v="3128"/>
    <n v="0.64700000000000002"/>
    <n v="14596"/>
    <n v="104"/>
    <n v="0.73299999999999998"/>
    <n v="0.23799999999999999"/>
    <n v="1.9683E-4"/>
    <n v="0.99980000000000002"/>
    <s v="23.14039538822845"/>
    <s v="24.59404790261764"/>
    <s v="65.61431318492887"/>
    <s v="14.04023306019631"/>
    <n v="779082633"/>
    <x v="0"/>
    <n v="4.1318570000000002E-4"/>
    <x v="0"/>
  </r>
  <r>
    <n v="62"/>
    <n v="0"/>
    <n v="0"/>
    <n v="2"/>
    <n v="1"/>
    <n v="5"/>
    <n v="0"/>
    <n v="51"/>
    <n v="3"/>
    <n v="3"/>
    <n v="3"/>
    <n v="10826"/>
    <n v="1274"/>
    <n v="9552"/>
    <n v="0.60199999999999998"/>
    <n v="1355"/>
    <n v="34"/>
    <n v="0.61899999999999999"/>
    <n v="0.11799999999999999"/>
    <n v="2.5960000000000002E-4"/>
    <n v="0.99973999999999996"/>
    <n v="17.079634171079402"/>
    <s v="20.35139575235681"/>
    <s v="18.201676359308227"/>
    <s v="6.165646991134218"/>
    <n v="789282333"/>
    <x v="0"/>
    <n v="1.0903810999999999E-3"/>
    <x v="0"/>
  </r>
  <r>
    <n v="53"/>
    <n v="1"/>
    <n v="3"/>
    <n v="0"/>
    <n v="1"/>
    <n v="0"/>
    <n v="0"/>
    <n v="43"/>
    <n v="4"/>
    <n v="2"/>
    <n v="5"/>
    <n v="14938"/>
    <n v="1155"/>
    <n v="13783"/>
    <n v="0.995"/>
    <n v="2248"/>
    <n v="51"/>
    <n v="0.64500000000000002"/>
    <n v="7.6999999999999999E-2"/>
    <n v="5.6997999999999999E-4"/>
    <n v="0.99943000000000004"/>
    <s v="40.292046292258405"/>
    <s v="65.82999761664593"/>
    <s v="47.486298445582776"/>
    <s v="6.699375003869399"/>
    <n v="708243483"/>
    <x v="0"/>
    <n v="1.1557143000000001E-3"/>
    <x v="0"/>
  </r>
  <r>
    <n v="46"/>
    <n v="1"/>
    <n v="3"/>
    <n v="3"/>
    <n v="2"/>
    <n v="3"/>
    <n v="1"/>
    <n v="42"/>
    <n v="3"/>
    <n v="2"/>
    <n v="2"/>
    <n v="34516"/>
    <n v="2113"/>
    <n v="32403"/>
    <n v="0.61799999999999999"/>
    <n v="1362"/>
    <n v="31"/>
    <n v="1.214"/>
    <n v="6.0999999999999999E-2"/>
    <n v="1.3228E-4"/>
    <n v="0.99987000000000004"/>
    <n v="5.6522709647814997"/>
    <s v="3.834614775294735"/>
    <s v="48.877641072319385"/>
    <s v="12.505652536484478"/>
    <n v="827332983"/>
    <x v="0"/>
    <n v="1.1406993999999999E-3"/>
    <x v="0"/>
  </r>
  <r>
    <n v="52"/>
    <n v="1"/>
    <n v="2"/>
    <n v="2"/>
    <n v="2"/>
    <n v="1"/>
    <n v="0"/>
    <n v="44"/>
    <n v="3"/>
    <n v="4"/>
    <n v="2"/>
    <n v="1538"/>
    <n v="666"/>
    <n v="872"/>
    <n v="0.64200000000000002"/>
    <n v="4808"/>
    <n v="64"/>
    <n v="0.68400000000000005"/>
    <n v="0.433"/>
    <n v="2.1738000000000001E-4"/>
    <n v="0.99978"/>
    <n v="8.50348860037351"/>
    <s v="41.61833766214416"/>
    <s v="15.640391143059688"/>
    <n v="0.17133470227868999"/>
    <n v="719884983"/>
    <x v="0"/>
    <n v="5.7287519999999999E-4"/>
    <x v="0"/>
  </r>
  <r>
    <n v="51"/>
    <n v="1"/>
    <n v="2"/>
    <n v="6"/>
    <n v="2"/>
    <n v="3"/>
    <n v="0"/>
    <n v="39"/>
    <n v="2"/>
    <n v="1"/>
    <n v="1"/>
    <n v="8924"/>
    <n v="0"/>
    <n v="8924"/>
    <n v="0.46"/>
    <n v="4441"/>
    <n v="87"/>
    <n v="0.67300000000000004"/>
    <n v="0"/>
    <s v="3.6508e-05"/>
    <n v="0.99995999999999996"/>
    <s v="24.853149186998863"/>
    <s v="22.466083264661947"/>
    <s v="30.48951749783137"/>
    <s v="0.8646187050193881"/>
    <n v="716698608"/>
    <x v="0"/>
    <n v="6.9517245999999998E-4"/>
    <x v="0"/>
  </r>
  <r>
    <n v="54"/>
    <n v="1"/>
    <n v="3"/>
    <n v="3"/>
    <n v="1"/>
    <n v="3"/>
    <n v="0"/>
    <n v="36"/>
    <n v="2"/>
    <n v="3"/>
    <n v="4"/>
    <n v="9457"/>
    <n v="350"/>
    <n v="9107"/>
    <n v="1.024"/>
    <n v="1196"/>
    <n v="28"/>
    <n v="0.33300000000000002"/>
    <n v="3.6999999999999998E-2"/>
    <n v="0.99807999999999997"/>
    <n v="1.91647E-3"/>
    <s v="4.130097588932954"/>
    <n v="32.3786558748196"/>
    <s v="8.241697323019208"/>
    <s v="5.811254491210503"/>
    <n v="711927108"/>
    <x v="1"/>
    <n v="0.99816245000000003"/>
    <x v="1"/>
  </r>
  <r>
    <n v="52"/>
    <n v="0"/>
    <n v="3"/>
    <n v="3"/>
    <n v="1"/>
    <n v="5"/>
    <n v="0"/>
    <n v="43"/>
    <n v="4"/>
    <n v="3"/>
    <n v="2"/>
    <n v="4798"/>
    <n v="0"/>
    <n v="4798"/>
    <n v="0.58299999999999996"/>
    <n v="3967"/>
    <n v="72"/>
    <n v="0.63600000000000001"/>
    <n v="0"/>
    <n v="1.8144999999999999E-4"/>
    <n v="0.99982000000000004"/>
    <s v="20.75284051576807"/>
    <s v="41.27514546024951"/>
    <n v="81.931759092646502"/>
    <s v="7.692562850473395"/>
    <n v="711708408"/>
    <x v="0"/>
    <n v="7.1276520000000004E-4"/>
    <x v="0"/>
  </r>
  <r>
    <n v="44"/>
    <n v="0"/>
    <n v="2"/>
    <n v="2"/>
    <n v="3"/>
    <n v="4"/>
    <n v="0"/>
    <n v="34"/>
    <n v="3"/>
    <n v="2"/>
    <n v="2"/>
    <n v="2561"/>
    <n v="1491"/>
    <n v="1070"/>
    <n v="0.73299999999999998"/>
    <n v="4869"/>
    <n v="70"/>
    <n v="0.52200000000000002"/>
    <n v="0.58199999999999996"/>
    <n v="1.1382E-4"/>
    <n v="0.99988999999999995"/>
    <s v="31.188342553851943"/>
    <s v="13.585274650423688"/>
    <s v="3.573707278251673"/>
    <s v="8.470597502377064"/>
    <n v="719962458"/>
    <x v="0"/>
    <n v="3.2914013999999999E-4"/>
    <x v="0"/>
  </r>
  <r>
    <n v="53"/>
    <n v="0"/>
    <n v="2"/>
    <n v="6"/>
    <n v="2"/>
    <n v="4"/>
    <n v="0"/>
    <n v="36"/>
    <n v="6"/>
    <n v="2"/>
    <n v="1"/>
    <n v="1543"/>
    <n v="1041"/>
    <n v="502"/>
    <n v="0.92"/>
    <n v="4312"/>
    <n v="84"/>
    <n v="0.64700000000000002"/>
    <n v="0.67500000000000004"/>
    <s v="7.5449e-05"/>
    <n v="0.99992000000000003"/>
    <s v="15.939083674000337"/>
    <s v="80.09109667587948"/>
    <s v="42.69415899823318"/>
    <s v="20.373713004604426"/>
    <n v="718702908"/>
    <x v="0"/>
    <n v="3.3028650000000001E-4"/>
    <x v="0"/>
  </r>
  <r>
    <n v="35"/>
    <n v="1"/>
    <n v="2"/>
    <n v="4"/>
    <n v="2"/>
    <n v="2"/>
    <n v="0"/>
    <n v="24"/>
    <n v="2"/>
    <n v="3"/>
    <n v="1"/>
    <n v="3388"/>
    <n v="1659"/>
    <n v="1729"/>
    <n v="0.84199999999999997"/>
    <n v="13557"/>
    <n v="100"/>
    <n v="0.72399999999999998"/>
    <n v="0.49"/>
    <n v="1.2763999999999999E-4"/>
    <n v="0.99987000000000004"/>
    <s v="22.24413649372492"/>
    <s v="39.600906542327465"/>
    <s v="62.09315399191866"/>
    <s v="21.37084750052968"/>
    <n v="715311183"/>
    <x v="0"/>
    <n v="3.4656386999999997E-4"/>
    <x v="0"/>
  </r>
  <r>
    <n v="41"/>
    <n v="1"/>
    <n v="2"/>
    <n v="5"/>
    <n v="2"/>
    <n v="0"/>
    <n v="0"/>
    <n v="24"/>
    <n v="2"/>
    <n v="2"/>
    <n v="1"/>
    <n v="34516"/>
    <n v="1022"/>
    <n v="33494"/>
    <n v="0.74299999999999999"/>
    <n v="8202"/>
    <n v="88"/>
    <n v="0.91300000000000003"/>
    <n v="0.03"/>
    <s v="7.0576e-05"/>
    <n v="0.99992999999999999"/>
    <s v="12.739453716121604"/>
    <n v="47.395760716537097"/>
    <s v="18.012959252273784"/>
    <s v="10.83773346258333"/>
    <n v="788824083"/>
    <x v="0"/>
    <n v="4.1022256E-4"/>
    <x v="0"/>
  </r>
  <r>
    <n v="52"/>
    <n v="0"/>
    <n v="0"/>
    <n v="1"/>
    <n v="1"/>
    <n v="4"/>
    <n v="0"/>
    <n v="36"/>
    <n v="4"/>
    <n v="3"/>
    <n v="2"/>
    <n v="4353"/>
    <n v="1489"/>
    <n v="2864"/>
    <n v="0.94499999999999995"/>
    <n v="9226"/>
    <n v="85"/>
    <n v="1.073"/>
    <n v="0.34200000000000003"/>
    <n v="0.99553999999999998"/>
    <n v="4.4561599999999998E-3"/>
    <s v="27.47314489807949"/>
    <s v="65.09097676910099"/>
    <s v="48.72251864754291"/>
    <s v="7.379968110876639"/>
    <n v="719326758"/>
    <x v="1"/>
    <n v="0.98366010000000004"/>
    <x v="1"/>
  </r>
  <r>
    <n v="51"/>
    <n v="0"/>
    <n v="3"/>
    <n v="2"/>
    <n v="1"/>
    <n v="4"/>
    <n v="0"/>
    <n v="35"/>
    <n v="6"/>
    <n v="1"/>
    <n v="1"/>
    <n v="2141"/>
    <n v="1176"/>
    <n v="965"/>
    <n v="0.746"/>
    <n v="4317"/>
    <n v="64"/>
    <n v="0.77800000000000002"/>
    <n v="0.54900000000000004"/>
    <s v="3.4465e-05"/>
    <n v="0.99997000000000003"/>
    <s v="16.52383715290754"/>
    <s v="78.19812874815304"/>
    <s v="10.77244052444096"/>
    <s v="4.979748864519038"/>
    <n v="714839808"/>
    <x v="0"/>
    <n v="3.3750320000000002E-4"/>
    <x v="0"/>
  </r>
  <r>
    <n v="46"/>
    <n v="0"/>
    <n v="2"/>
    <n v="2"/>
    <n v="2"/>
    <n v="4"/>
    <n v="0"/>
    <n v="36"/>
    <n v="1"/>
    <n v="1"/>
    <n v="1"/>
    <n v="5785"/>
    <n v="2130"/>
    <n v="3655"/>
    <n v="0.81299999999999994"/>
    <n v="7950"/>
    <n v="86"/>
    <n v="0.59299999999999997"/>
    <n v="0.36799999999999999"/>
    <s v="3.3214e-05"/>
    <n v="0.99997000000000003"/>
    <s v="30.32162573642118"/>
    <s v="23.664321375256403"/>
    <s v="68.78919569784621"/>
    <s v="26.72909193315831"/>
    <n v="712716108"/>
    <x v="0"/>
    <n v="3.7789578000000003E-4"/>
    <x v="0"/>
  </r>
  <r>
    <n v="43"/>
    <n v="1"/>
    <n v="4"/>
    <n v="2"/>
    <n v="2"/>
    <n v="3"/>
    <n v="0"/>
    <n v="32"/>
    <n v="3"/>
    <n v="2"/>
    <n v="3"/>
    <n v="8333"/>
    <n v="774"/>
    <n v="7559"/>
    <n v="0.98399999999999999"/>
    <n v="3889"/>
    <n v="81"/>
    <n v="0.72299999999999998"/>
    <n v="9.2999999999999999E-2"/>
    <n v="2.0076999999999999E-4"/>
    <n v="0.99980000000000002"/>
    <s v="44.88749185135119"/>
    <s v="6.943589903745546"/>
    <s v="5.138163328933121"/>
    <s v="31.413976777816018"/>
    <n v="787770858"/>
    <x v="0"/>
    <n v="5.6852824999999998E-4"/>
    <x v="0"/>
  </r>
  <r>
    <n v="30"/>
    <n v="1"/>
    <n v="1"/>
    <n v="3"/>
    <n v="1"/>
    <n v="2"/>
    <n v="0"/>
    <n v="16"/>
    <n v="1"/>
    <n v="3"/>
    <n v="3"/>
    <n v="15795"/>
    <n v="1742"/>
    <n v="14053"/>
    <n v="1.022"/>
    <n v="13173"/>
    <n v="96"/>
    <n v="0.84599999999999997"/>
    <n v="0.11"/>
    <n v="2.7604000000000002E-4"/>
    <n v="0.99972000000000005"/>
    <s v="11.043358343117786"/>
    <s v="66.30003841702569"/>
    <s v="162.84342708652204"/>
    <s v="1.2477269415626715"/>
    <n v="709171308"/>
    <x v="0"/>
    <n v="3.6437239999999999E-4"/>
    <x v="0"/>
  </r>
  <r>
    <n v="47"/>
    <n v="0"/>
    <n v="1"/>
    <n v="6"/>
    <n v="1"/>
    <n v="4"/>
    <n v="0"/>
    <n v="35"/>
    <n v="6"/>
    <n v="2"/>
    <n v="4"/>
    <n v="1850"/>
    <n v="896"/>
    <n v="954"/>
    <n v="0.72399999999999998"/>
    <n v="2613"/>
    <n v="41"/>
    <n v="0.70799999999999996"/>
    <n v="0.48399999999999999"/>
    <n v="0.99704000000000004"/>
    <n v="2.9582699999999998E-3"/>
    <s v="4.380369700666074"/>
    <n v="58.656016260012102"/>
    <s v="129.91181811561967"/>
    <s v="6.015122685747855"/>
    <n v="771284658"/>
    <x v="1"/>
    <n v="0.99531999999999998"/>
    <x v="1"/>
  </r>
  <r>
    <n v="42"/>
    <n v="1"/>
    <n v="3"/>
    <n v="3"/>
    <n v="2"/>
    <n v="2"/>
    <n v="0"/>
    <n v="35"/>
    <n v="4"/>
    <n v="3"/>
    <n v="3"/>
    <n v="7255"/>
    <n v="0"/>
    <n v="7255"/>
    <n v="0.9"/>
    <n v="3148"/>
    <n v="62"/>
    <n v="0.82399999999999995"/>
    <n v="0"/>
    <n v="3.0516000000000001E-4"/>
    <n v="0.99968999999999997"/>
    <s v="5.268253368513241"/>
    <s v="34.46164506170346"/>
    <s v="65.76625062261009"/>
    <s v="12.523729073567502"/>
    <n v="753534633"/>
    <x v="0"/>
    <n v="8.5208465999999999E-4"/>
    <x v="0"/>
  </r>
  <r>
    <n v="46"/>
    <n v="1"/>
    <n v="4"/>
    <n v="3"/>
    <n v="3"/>
    <n v="1"/>
    <n v="0"/>
    <n v="41"/>
    <n v="6"/>
    <n v="1"/>
    <n v="2"/>
    <n v="8738"/>
    <n v="1172"/>
    <n v="7566"/>
    <n v="0.65"/>
    <n v="3121"/>
    <n v="60"/>
    <n v="0.39500000000000002"/>
    <n v="0.13400000000000001"/>
    <s v="5.6153e-05"/>
    <n v="0.99994000000000005"/>
    <s v="39.02947363882771"/>
    <s v="19.16557634666318"/>
    <s v="51.62804571489111"/>
    <s v="19.90255744216896"/>
    <n v="804606033"/>
    <x v="0"/>
    <n v="4.1966669999999998E-4"/>
    <x v="0"/>
  </r>
  <r>
    <n v="48"/>
    <n v="0"/>
    <n v="2"/>
    <n v="6"/>
    <n v="2"/>
    <n v="4"/>
    <n v="0"/>
    <n v="43"/>
    <n v="6"/>
    <n v="3"/>
    <n v="3"/>
    <n v="1438.3"/>
    <n v="0"/>
    <n v="1438.3"/>
    <n v="0.81599999999999995"/>
    <n v="4059"/>
    <n v="89"/>
    <n v="0.81599999999999995"/>
    <n v="0"/>
    <n v="3.3251E-4"/>
    <n v="0.99966999999999995"/>
    <s v="19.18240899331149"/>
    <n v="9.2274516696989597"/>
    <s v="54.72560686771312"/>
    <n v="1.2366039815177501E-2"/>
    <n v="815772333"/>
    <x v="0"/>
    <n v="6.9517245999999998E-4"/>
    <x v="0"/>
  </r>
  <r>
    <n v="50"/>
    <n v="0"/>
    <n v="1"/>
    <n v="2"/>
    <n v="2"/>
    <n v="5"/>
    <n v="0"/>
    <n v="36"/>
    <n v="3"/>
    <n v="2"/>
    <n v="2"/>
    <n v="17970"/>
    <n v="1390"/>
    <n v="16580"/>
    <n v="0.72399999999999998"/>
    <n v="13204"/>
    <n v="97"/>
    <n v="0.79600000000000004"/>
    <n v="7.6999999999999999E-2"/>
    <n v="1.0684E-4"/>
    <n v="0.99988999999999995"/>
    <s v="2.835694489196816"/>
    <s v="0.1648391636497057"/>
    <n v="9.0340692204808803"/>
    <n v="1.14094606865932"/>
    <n v="717135333"/>
    <x v="0"/>
    <n v="3.6583058E-4"/>
    <x v="0"/>
  </r>
  <r>
    <n v="39"/>
    <n v="0"/>
    <n v="0"/>
    <n v="2"/>
    <n v="0"/>
    <n v="4"/>
    <n v="0"/>
    <n v="32"/>
    <n v="2"/>
    <n v="2"/>
    <n v="1"/>
    <n v="1438.3"/>
    <n v="801"/>
    <n v="637.29999999999995"/>
    <n v="1.155"/>
    <n v="4386"/>
    <n v="64"/>
    <n v="0.77800000000000002"/>
    <n v="0.55700000000000005"/>
    <s v="5.8902e-05"/>
    <n v="0.99994000000000005"/>
    <s v="12.109044756218127"/>
    <s v="10.379770112504067"/>
    <s v="81.15430439663535"/>
    <s v="9.919920453020987"/>
    <n v="790139583"/>
    <x v="0"/>
    <n v="5.4128724000000001E-4"/>
    <x v="0"/>
  </r>
  <r>
    <n v="30"/>
    <n v="1"/>
    <n v="1"/>
    <n v="2"/>
    <n v="2"/>
    <n v="2"/>
    <n v="0"/>
    <n v="36"/>
    <n v="6"/>
    <n v="1"/>
    <n v="2"/>
    <n v="11371"/>
    <n v="1015"/>
    <n v="10356"/>
    <n v="1.4830000000000001"/>
    <n v="2768"/>
    <n v="68"/>
    <n v="0.88900000000000001"/>
    <n v="8.8999999999999996E-2"/>
    <s v="5.1697e-05"/>
    <n v="0.99995000000000001"/>
    <s v="31.068893619815004"/>
    <s v="48.484653152461625"/>
    <s v="13.964460642727436"/>
    <s v="2.4637210306041486"/>
    <n v="713358633"/>
    <x v="0"/>
    <n v="3.8790946999999999E-4"/>
    <x v="0"/>
  </r>
  <r>
    <n v="51"/>
    <n v="0"/>
    <n v="3"/>
    <n v="2"/>
    <n v="2"/>
    <n v="5"/>
    <n v="2"/>
    <n v="42"/>
    <n v="3"/>
    <n v="1"/>
    <n v="4"/>
    <n v="34516"/>
    <n v="1913"/>
    <n v="32603"/>
    <n v="0.85099999999999998"/>
    <n v="16712"/>
    <n v="123"/>
    <n v="0.70799999999999996"/>
    <n v="5.5E-2"/>
    <n v="2.8487E-4"/>
    <n v="0.99972000000000005"/>
    <s v="19.471724023436863"/>
    <s v="31.46758258846401"/>
    <n v="74.465932509634001"/>
    <s v="12.11766729573899"/>
    <n v="714949758"/>
    <x v="0"/>
    <n v="3.8573547000000003E-4"/>
    <x v="0"/>
  </r>
  <r>
    <n v="43"/>
    <n v="0"/>
    <n v="4"/>
    <n v="0"/>
    <n v="3"/>
    <n v="4"/>
    <n v="0"/>
    <n v="33"/>
    <n v="5"/>
    <n v="4"/>
    <n v="3"/>
    <n v="1884"/>
    <n v="1216"/>
    <n v="668"/>
    <n v="0.94499999999999995"/>
    <n v="4591"/>
    <n v="85"/>
    <n v="0.73499999999999999"/>
    <n v="0.64500000000000002"/>
    <n v="3.7274999999999998E-4"/>
    <n v="0.99963000000000002"/>
    <s v="35.13828263915722"/>
    <n v="33.812100600264102"/>
    <s v="41.28833232243687"/>
    <s v="7.027922455842353"/>
    <n v="713508333"/>
    <x v="0"/>
    <n v="3.221314E-4"/>
    <x v="0"/>
  </r>
  <r>
    <n v="65"/>
    <n v="1"/>
    <n v="0"/>
    <n v="2"/>
    <n v="1"/>
    <n v="4"/>
    <n v="0"/>
    <n v="46"/>
    <n v="3"/>
    <n v="2"/>
    <n v="2"/>
    <n v="2416"/>
    <n v="1499"/>
    <n v="917"/>
    <n v="0.90500000000000003"/>
    <n v="2372"/>
    <n v="53"/>
    <n v="0.51400000000000001"/>
    <n v="0.62"/>
    <s v="9.7673e-05"/>
    <n v="0.99990000000000001"/>
    <s v="14.705937853178296"/>
    <s v="19.987885929835155"/>
    <s v="38.72390563819808"/>
    <s v="4.674604762043501"/>
    <n v="710522433"/>
    <x v="0"/>
    <n v="9.8855410000000003E-4"/>
    <x v="0"/>
  </r>
  <r>
    <n v="46"/>
    <n v="1"/>
    <n v="2"/>
    <n v="3"/>
    <n v="2"/>
    <n v="4"/>
    <n v="0"/>
    <n v="36"/>
    <n v="5"/>
    <n v="1"/>
    <n v="0"/>
    <n v="3818"/>
    <n v="1142"/>
    <n v="2676"/>
    <n v="0.70899999999999996"/>
    <n v="14731"/>
    <n v="113"/>
    <n v="0.94799999999999995"/>
    <n v="0.29899999999999999"/>
    <s v="1.975e-05"/>
    <n v="0.99997999999999998"/>
    <s v="64.79610146797586"/>
    <s v="38.687987294779305"/>
    <s v="138.34602137906154"/>
    <s v="16.157188336700912"/>
    <n v="713787333"/>
    <x v="0"/>
    <n v="3.4656386999999997E-4"/>
    <x v="0"/>
  </r>
  <r>
    <n v="57"/>
    <n v="0"/>
    <n v="0"/>
    <n v="1"/>
    <n v="1"/>
    <n v="5"/>
    <n v="0"/>
    <n v="46"/>
    <n v="5"/>
    <n v="2"/>
    <n v="1"/>
    <n v="4661"/>
    <n v="1734"/>
    <n v="2927"/>
    <n v="0.78900000000000003"/>
    <n v="5242"/>
    <n v="81"/>
    <n v="1.3819999999999999"/>
    <n v="0.372"/>
    <s v="8.5238e-05"/>
    <n v="0.99990999999999997"/>
    <s v="34.25707786843604"/>
    <s v="35.895507325566285"/>
    <n v="40.620910211960897"/>
    <s v="13.372428741144994"/>
    <n v="711900033"/>
    <x v="0"/>
    <n v="3.2101269999999999E-4"/>
    <x v="0"/>
  </r>
  <r>
    <n v="42"/>
    <n v="1"/>
    <n v="5"/>
    <n v="6"/>
    <n v="1"/>
    <n v="2"/>
    <n v="0"/>
    <n v="22"/>
    <n v="6"/>
    <n v="2"/>
    <n v="4"/>
    <n v="5096"/>
    <n v="0"/>
    <n v="5096"/>
    <n v="0.80800000000000005"/>
    <n v="2574"/>
    <n v="43"/>
    <n v="0.48299999999999998"/>
    <n v="0"/>
    <n v="0.99731000000000003"/>
    <n v="2.6902900000000001E-3"/>
    <s v="21.987179511509737"/>
    <s v="10.303963058654924"/>
    <s v="26.55898019297881"/>
    <s v="1.2859604895152574"/>
    <n v="778397358"/>
    <x v="1"/>
    <n v="0.99837339999999997"/>
    <x v="1"/>
  </r>
  <r>
    <n v="40"/>
    <n v="1"/>
    <n v="4"/>
    <n v="1"/>
    <n v="0"/>
    <n v="2"/>
    <n v="0"/>
    <n v="34"/>
    <n v="4"/>
    <n v="2"/>
    <n v="3"/>
    <n v="23138"/>
    <n v="1727"/>
    <n v="21411"/>
    <n v="0.69299999999999995"/>
    <n v="1612"/>
    <n v="39"/>
    <n v="1.4379999999999999"/>
    <n v="7.4999999999999997E-2"/>
    <n v="2.9051000000000001E-4"/>
    <n v="0.99970999999999999"/>
    <s v="25.984830223987505"/>
    <n v="16.804262076624699"/>
    <s v="47.08914299972311"/>
    <s v="13.146645040175468"/>
    <n v="721333233"/>
    <x v="0"/>
    <n v="1.0684258000000001E-3"/>
    <x v="0"/>
  </r>
  <r>
    <n v="63"/>
    <n v="1"/>
    <n v="0"/>
    <n v="2"/>
    <n v="2"/>
    <n v="2"/>
    <n v="0"/>
    <n v="51"/>
    <n v="3"/>
    <n v="3"/>
    <n v="3"/>
    <n v="11619"/>
    <n v="0"/>
    <n v="11619"/>
    <n v="0.63100000000000001"/>
    <n v="2395"/>
    <n v="49"/>
    <n v="0.36099999999999999"/>
    <n v="0"/>
    <n v="0.99616000000000005"/>
    <n v="3.8363E-3"/>
    <s v="16.894447673230136"/>
    <s v="2.629254535574212"/>
    <s v="16.321913939812156"/>
    <s v="1.2442038887569586"/>
    <n v="716056158"/>
    <x v="1"/>
    <n v="0.99850684000000001"/>
    <x v="1"/>
  </r>
  <r>
    <n v="50"/>
    <n v="0"/>
    <n v="4"/>
    <n v="2"/>
    <n v="1"/>
    <n v="4"/>
    <n v="0"/>
    <n v="30"/>
    <n v="5"/>
    <n v="3"/>
    <n v="4"/>
    <n v="4038"/>
    <n v="1530"/>
    <n v="2508"/>
    <n v="0.72399999999999998"/>
    <n v="2400"/>
    <n v="41"/>
    <n v="0.32300000000000001"/>
    <n v="0.379"/>
    <n v="0.99816000000000005"/>
    <n v="1.84351E-3"/>
    <s v="22.87207630580551"/>
    <s v="53.52476897848667"/>
    <s v="32.63444986382108"/>
    <s v="3.873936513269051"/>
    <n v="712446783"/>
    <x v="1"/>
    <n v="0.99452750000000001"/>
    <x v="1"/>
  </r>
  <r>
    <n v="39"/>
    <n v="0"/>
    <n v="2"/>
    <n v="2"/>
    <n v="1"/>
    <n v="1"/>
    <n v="0"/>
    <n v="29"/>
    <n v="3"/>
    <n v="5"/>
    <n v="2"/>
    <n v="4955"/>
    <n v="1157"/>
    <n v="3798"/>
    <n v="0.89600000000000002"/>
    <n v="1824"/>
    <n v="38"/>
    <n v="0.72699999999999998"/>
    <n v="0.23400000000000001"/>
    <n v="2.009E-4"/>
    <n v="0.99980000000000002"/>
    <s v="19.19148970464725"/>
    <s v="50.78540967981014"/>
    <s v="32.702625812347954"/>
    <s v="10.140914241404277"/>
    <n v="752085108"/>
    <x v="0"/>
    <n v="1.0634780000000001E-3"/>
    <x v="0"/>
  </r>
  <r>
    <n v="39"/>
    <n v="1"/>
    <n v="3"/>
    <n v="2"/>
    <n v="2"/>
    <n v="2"/>
    <n v="0"/>
    <n v="36"/>
    <n v="5"/>
    <n v="3"/>
    <n v="4"/>
    <n v="2527"/>
    <n v="2204"/>
    <n v="323"/>
    <n v="0.9"/>
    <n v="4598"/>
    <n v="85"/>
    <n v="0.77100000000000002"/>
    <n v="0.872"/>
    <n v="5.3543000000000004E-4"/>
    <n v="0.99946000000000002"/>
    <s v="23.68710746228024"/>
    <s v="10.944674830508246"/>
    <s v="114.31764284100414"/>
    <s v="23.721240201613373"/>
    <n v="710502258"/>
    <x v="0"/>
    <n v="3.221314E-4"/>
    <x v="0"/>
  </r>
  <r>
    <n v="26"/>
    <n v="0"/>
    <n v="0"/>
    <n v="2"/>
    <n v="2"/>
    <n v="4"/>
    <n v="0"/>
    <n v="19"/>
    <n v="2"/>
    <n v="1"/>
    <n v="2"/>
    <n v="3416"/>
    <n v="1109"/>
    <n v="2307"/>
    <n v="0.78300000000000003"/>
    <n v="4614"/>
    <n v="70"/>
    <n v="1"/>
    <n v="0.32500000000000001"/>
    <s v="4.7263e-05"/>
    <n v="0.99995000000000001"/>
    <s v="63.50957698883854"/>
    <s v="13.569634133562554"/>
    <s v="52.11606428663064"/>
    <s v="7.676741966552874"/>
    <n v="720101658"/>
    <x v="0"/>
    <n v="3.2101269999999999E-4"/>
    <x v="0"/>
  </r>
  <r>
    <n v="56"/>
    <n v="1"/>
    <n v="2"/>
    <n v="2"/>
    <n v="2"/>
    <n v="0"/>
    <n v="0"/>
    <n v="51"/>
    <n v="1"/>
    <n v="1"/>
    <n v="2"/>
    <n v="4675"/>
    <n v="1340"/>
    <n v="3335"/>
    <n v="0.68"/>
    <n v="8037"/>
    <n v="100"/>
    <n v="0.85199999999999998"/>
    <n v="0.28699999999999998"/>
    <s v="5.5077e-05"/>
    <n v="0.99994000000000005"/>
    <s v="33.654987942267155"/>
    <s v="48.91607994163914"/>
    <s v="104.06658794049665"/>
    <s v="10.451351702721098"/>
    <n v="812224983"/>
    <x v="0"/>
    <n v="3.6856539999999998E-4"/>
    <x v="0"/>
  </r>
  <r>
    <n v="51"/>
    <n v="1"/>
    <n v="2"/>
    <n v="0"/>
    <n v="1"/>
    <n v="0"/>
    <n v="0"/>
    <n v="41"/>
    <n v="6"/>
    <n v="2"/>
    <n v="4"/>
    <n v="23742"/>
    <n v="0"/>
    <n v="23742"/>
    <n v="0.76900000000000002"/>
    <n v="3783"/>
    <n v="57"/>
    <n v="0.67600000000000005"/>
    <n v="0"/>
    <n v="3.1749000000000002E-4"/>
    <n v="0.99968000000000001"/>
    <s v="13.943694094424622"/>
    <s v="12.458981711900233"/>
    <s v="19.00814206878313"/>
    <s v="17.044649241572575"/>
    <n v="718229133"/>
    <x v="0"/>
    <n v="1.2228143999999999E-3"/>
    <x v="0"/>
  </r>
  <r>
    <n v="37"/>
    <n v="0"/>
    <n v="2"/>
    <n v="2"/>
    <n v="1"/>
    <n v="4"/>
    <n v="0"/>
    <n v="25"/>
    <n v="4"/>
    <n v="2"/>
    <n v="1"/>
    <n v="1438.3"/>
    <n v="0"/>
    <n v="1438.3"/>
    <n v="0.74099999999999999"/>
    <n v="4513"/>
    <n v="75"/>
    <n v="0.74399999999999999"/>
    <n v="0"/>
    <s v="6.864e-05"/>
    <n v="0.99992999999999999"/>
    <s v="1.9894028094206284"/>
    <s v="17.987574743416616"/>
    <s v="39.09509360760922"/>
    <s v="7.083264828559009"/>
    <n v="711392508"/>
    <x v="0"/>
    <n v="6.9517245999999998E-4"/>
    <x v="0"/>
  </r>
  <r>
    <n v="45"/>
    <n v="0"/>
    <n v="4"/>
    <n v="6"/>
    <n v="1"/>
    <n v="4"/>
    <n v="0"/>
    <n v="39"/>
    <n v="3"/>
    <n v="2"/>
    <n v="2"/>
    <n v="3411"/>
    <n v="1472"/>
    <n v="1939"/>
    <n v="0.58499999999999996"/>
    <n v="2108"/>
    <n v="55"/>
    <n v="0.61799999999999999"/>
    <n v="0.432"/>
    <n v="0.99243999999999999"/>
    <n v="7.5599999999999999E-3"/>
    <s v="25.22911048982501"/>
    <s v="9.499391165162107"/>
    <s v="5.695306558848347"/>
    <s v="7.881758795122055"/>
    <n v="782802033"/>
    <x v="1"/>
    <n v="0.98983869999999996"/>
    <x v="1"/>
  </r>
  <r>
    <n v="42"/>
    <n v="1"/>
    <n v="3"/>
    <n v="3"/>
    <n v="2"/>
    <n v="3"/>
    <n v="0"/>
    <n v="30"/>
    <n v="4"/>
    <n v="5"/>
    <n v="4"/>
    <n v="4147"/>
    <n v="1719"/>
    <n v="2428"/>
    <n v="0.875"/>
    <n v="1776"/>
    <n v="44"/>
    <n v="0.57099999999999995"/>
    <n v="0.41499999999999998"/>
    <n v="5.8135000000000001E-4"/>
    <n v="0.99941999999999998"/>
    <s v="4.854102831381738"/>
    <s v="131.95260739011854"/>
    <s v="48.49005205777012"/>
    <s v="14.41557564845515"/>
    <n v="771602883"/>
    <x v="0"/>
    <n v="1.0598798E-3"/>
    <x v="0"/>
  </r>
  <r>
    <n v="51"/>
    <n v="0"/>
    <n v="2"/>
    <n v="0"/>
    <n v="2"/>
    <n v="4"/>
    <n v="0"/>
    <n v="31"/>
    <n v="2"/>
    <n v="1"/>
    <n v="3"/>
    <n v="2306"/>
    <n v="1627"/>
    <n v="679"/>
    <n v="0.50700000000000001"/>
    <n v="3776"/>
    <n v="70"/>
    <n v="0.94399999999999995"/>
    <n v="0.70599999999999996"/>
    <s v="9.0064e-05"/>
    <n v="0.99990999999999997"/>
    <s v="22.09904736419529"/>
    <n v="37.177560286204802"/>
    <s v="22.865911890437086"/>
    <s v="5.915694817028756"/>
    <n v="720509433"/>
    <x v="0"/>
    <n v="3.2101269999999999E-4"/>
    <x v="0"/>
  </r>
  <r>
    <n v="52"/>
    <n v="1"/>
    <n v="2"/>
    <n v="3"/>
    <n v="1"/>
    <n v="2"/>
    <n v="3"/>
    <n v="35"/>
    <n v="4"/>
    <n v="4"/>
    <n v="3"/>
    <n v="33180"/>
    <n v="511"/>
    <n v="32669"/>
    <n v="0.68100000000000005"/>
    <n v="797"/>
    <n v="14"/>
    <n v="0.27300000000000002"/>
    <n v="1.4999999999999999E-2"/>
    <n v="0.99690000000000001"/>
    <n v="3.10334E-3"/>
    <s v="25.54885926988074"/>
    <s v="20.95005855087657"/>
    <s v="114.51271816327996"/>
    <s v="2.6084854986129966"/>
    <n v="720122808"/>
    <x v="1"/>
    <n v="0.99867176999999996"/>
    <x v="1"/>
  </r>
  <r>
    <n v="57"/>
    <n v="1"/>
    <n v="1"/>
    <n v="5"/>
    <n v="1"/>
    <n v="0"/>
    <n v="0"/>
    <n v="36"/>
    <n v="6"/>
    <n v="2"/>
    <n v="3"/>
    <n v="24545"/>
    <n v="1735"/>
    <n v="22810"/>
    <n v="0.66400000000000003"/>
    <n v="1671"/>
    <n v="45"/>
    <n v="0.5"/>
    <n v="7.0999999999999994E-2"/>
    <n v="1.8474999999999999E-4"/>
    <n v="0.99982000000000004"/>
    <s v="30.41751115171633"/>
    <s v="61.10092735896677"/>
    <s v="56.80475006976189"/>
    <s v="33.076857817706845"/>
    <n v="709380333"/>
    <x v="0"/>
    <n v="1.3335287000000001E-3"/>
    <x v="0"/>
  </r>
  <r>
    <n v="55"/>
    <n v="1"/>
    <n v="1"/>
    <n v="6"/>
    <n v="3"/>
    <n v="0"/>
    <n v="0"/>
    <n v="46"/>
    <n v="4"/>
    <n v="1"/>
    <n v="2"/>
    <n v="19849"/>
    <n v="2205"/>
    <n v="17644"/>
    <n v="0.79600000000000004"/>
    <n v="3657"/>
    <n v="66"/>
    <n v="0.73699999999999999"/>
    <n v="0.111"/>
    <s v="5.6825e-05"/>
    <n v="0.99994000000000005"/>
    <s v="31.19218991020252"/>
    <s v="24.79894610835991"/>
    <n v="67.886231030680605"/>
    <s v="7.392332050298465"/>
    <n v="711080358"/>
    <x v="0"/>
    <n v="3.2101269999999999E-4"/>
    <x v="0"/>
  </r>
  <r>
    <n v="65"/>
    <n v="0"/>
    <n v="1"/>
    <n v="3"/>
    <n v="1"/>
    <n v="5"/>
    <n v="0"/>
    <n v="36"/>
    <n v="5"/>
    <n v="2"/>
    <n v="2"/>
    <n v="5756"/>
    <n v="0"/>
    <n v="5756"/>
    <n v="1.046"/>
    <n v="2144"/>
    <n v="44"/>
    <n v="0.63"/>
    <n v="0"/>
    <n v="1.0386E-4"/>
    <n v="0.99990000000000001"/>
    <s v="12.363785402794983"/>
    <n v="74.845728207068703"/>
    <s v="30.49913538978891"/>
    <s v="12.813600074757456"/>
    <n v="713049933"/>
    <x v="0"/>
    <n v="4.1103255999999999E-3"/>
    <x v="0"/>
  </r>
  <r>
    <n v="42"/>
    <n v="1"/>
    <n v="3"/>
    <n v="1"/>
    <n v="0"/>
    <n v="1"/>
    <n v="0"/>
    <n v="36"/>
    <n v="3"/>
    <n v="2"/>
    <n v="1"/>
    <n v="2012"/>
    <n v="0"/>
    <n v="2012"/>
    <n v="0.31"/>
    <n v="3282"/>
    <n v="66"/>
    <n v="0.65"/>
    <n v="0"/>
    <n v="1.0307E-4"/>
    <n v="0.99990000000000001"/>
    <s v="54.26429873661325"/>
    <n v="89.725453811791795"/>
    <s v="27.17962906202732"/>
    <s v="10.444826975137628"/>
    <n v="710725383"/>
    <x v="0"/>
    <n v="7.4965424999999997E-4"/>
    <x v="0"/>
  </r>
  <r>
    <n v="62"/>
    <n v="1"/>
    <n v="2"/>
    <n v="2"/>
    <n v="2"/>
    <n v="2"/>
    <n v="0"/>
    <n v="56"/>
    <n v="2"/>
    <n v="3"/>
    <n v="2"/>
    <n v="18224"/>
    <n v="1383"/>
    <n v="16841"/>
    <n v="0.70499999999999996"/>
    <n v="7728"/>
    <n v="93"/>
    <n v="0.57599999999999996"/>
    <n v="7.5999999999999998E-2"/>
    <n v="1.7987E-4"/>
    <n v="0.99982000000000004"/>
    <s v="16.713547559857446"/>
    <s v="59.08190962103651"/>
    <s v="53.616513926208064"/>
    <s v="3.420613192756353"/>
    <n v="809169858"/>
    <x v="0"/>
    <n v="4.0906356000000002E-4"/>
    <x v="0"/>
  </r>
  <r>
    <n v="47"/>
    <n v="0"/>
    <n v="1"/>
    <n v="1"/>
    <n v="0"/>
    <n v="4"/>
    <n v="0"/>
    <n v="37"/>
    <n v="6"/>
    <n v="3"/>
    <n v="3"/>
    <n v="2707"/>
    <n v="1367"/>
    <n v="1340"/>
    <n v="0.79400000000000004"/>
    <n v="4646"/>
    <n v="73"/>
    <n v="0.78"/>
    <n v="0.505"/>
    <n v="4.1086999999999997E-4"/>
    <n v="0.99958999999999998"/>
    <s v="29.35391465171493"/>
    <n v="9.6340814618048594"/>
    <s v="89.70590966841701"/>
    <s v="4.268679984487078"/>
    <n v="719703483"/>
    <x v="0"/>
    <n v="3.2101269999999999E-4"/>
    <x v="0"/>
  </r>
  <r>
    <n v="46"/>
    <n v="0"/>
    <n v="2"/>
    <n v="2"/>
    <n v="2"/>
    <n v="5"/>
    <n v="0"/>
    <n v="31"/>
    <n v="5"/>
    <n v="2"/>
    <n v="3"/>
    <n v="8243"/>
    <n v="927"/>
    <n v="7316"/>
    <n v="0.56799999999999995"/>
    <n v="4503"/>
    <n v="90"/>
    <n v="0.76500000000000001"/>
    <n v="0.112"/>
    <n v="1.9143E-4"/>
    <n v="0.99980999999999998"/>
    <s v="34.237313182203025"/>
    <n v="70.768388754269097"/>
    <s v="89.28403504323639"/>
    <s v="7.630572787076675"/>
    <n v="720249183"/>
    <x v="0"/>
    <n v="3.9522952000000002E-4"/>
    <x v="0"/>
  </r>
  <r>
    <n v="44"/>
    <n v="0"/>
    <n v="3"/>
    <n v="2"/>
    <n v="2"/>
    <n v="4"/>
    <n v="0"/>
    <n v="36"/>
    <n v="5"/>
    <n v="1"/>
    <n v="3"/>
    <n v="4066"/>
    <n v="1028"/>
    <n v="3038"/>
    <n v="0.97199999999999998"/>
    <n v="3888"/>
    <n v="77"/>
    <n v="0.60399999999999998"/>
    <n v="0.253"/>
    <s v="9.6126e-05"/>
    <n v="0.99990000000000001"/>
    <s v="22.79757599173628"/>
    <s v="72.09301987761937"/>
    <s v="29.96205726714957"/>
    <s v="20.485052674611453"/>
    <n v="715413483"/>
    <x v="0"/>
    <n v="3.4605444000000002E-4"/>
    <x v="0"/>
  </r>
  <r>
    <n v="42"/>
    <n v="0"/>
    <n v="3"/>
    <n v="3"/>
    <n v="1"/>
    <n v="1"/>
    <n v="0"/>
    <n v="34"/>
    <n v="6"/>
    <n v="3"/>
    <n v="1"/>
    <n v="1585"/>
    <n v="1381"/>
    <n v="204"/>
    <n v="0.70599999999999996"/>
    <n v="2360"/>
    <n v="40"/>
    <n v="0.379"/>
    <n v="0.871"/>
    <n v="0.99095"/>
    <n v="9.0500000000000008E-3"/>
    <s v="35.31333570068046"/>
    <s v="60.69398990626888"/>
    <s v="66.94038741996837"/>
    <s v="28.30756006625668"/>
    <n v="711716133"/>
    <x v="1"/>
    <n v="0.99573140000000004"/>
    <x v="1"/>
  </r>
  <r>
    <n v="28"/>
    <n v="0"/>
    <n v="0"/>
    <n v="2"/>
    <n v="2"/>
    <n v="5"/>
    <n v="3"/>
    <n v="15"/>
    <n v="3"/>
    <n v="3"/>
    <n v="3"/>
    <n v="32024"/>
    <n v="1232"/>
    <n v="30792"/>
    <n v="1.04"/>
    <n v="2507"/>
    <n v="64"/>
    <n v="0.88200000000000001"/>
    <n v="3.7999999999999999E-2"/>
    <n v="2.3457E-4"/>
    <n v="0.99977000000000005"/>
    <s v="1.0224979047888088"/>
    <s v="4.130572162224622"/>
    <s v="137.32303903093904"/>
    <s v="4.980528319827419"/>
    <n v="715105908"/>
    <x v="0"/>
    <n v="4.4486714999999999E-4"/>
    <x v="0"/>
  </r>
  <r>
    <n v="38"/>
    <n v="1"/>
    <n v="1"/>
    <n v="0"/>
    <n v="1"/>
    <n v="4"/>
    <n v="0"/>
    <n v="25"/>
    <n v="6"/>
    <n v="3"/>
    <n v="3"/>
    <n v="5559"/>
    <n v="658"/>
    <n v="4901"/>
    <n v="0.627"/>
    <n v="1793"/>
    <n v="37"/>
    <n v="0.94699999999999995"/>
    <n v="0.11799999999999999"/>
    <n v="2.7607E-4"/>
    <n v="0.99972000000000005"/>
    <s v="47.445978253495575"/>
    <s v="30.90155213956982"/>
    <s v="128.02464385570977"/>
    <s v="1.803460003915767"/>
    <n v="718909158"/>
    <x v="0"/>
    <n v="1.7295938E-3"/>
    <x v="0"/>
  </r>
  <r>
    <n v="45"/>
    <n v="0"/>
    <n v="2"/>
    <n v="6"/>
    <n v="2"/>
    <n v="4"/>
    <n v="0"/>
    <n v="41"/>
    <n v="6"/>
    <n v="2"/>
    <n v="2"/>
    <n v="5596"/>
    <n v="0"/>
    <n v="5596"/>
    <n v="0.83299999999999996"/>
    <n v="3212"/>
    <n v="64"/>
    <n v="0.42199999999999999"/>
    <n v="0"/>
    <n v="1.2511E-4"/>
    <n v="0.99987000000000004"/>
    <s v="25.567370637772516"/>
    <s v="52.15975773455426"/>
    <s v="27.270895428009077"/>
    <s v="2.712865026569229"/>
    <n v="827643858"/>
    <x v="0"/>
    <n v="8.7630149999999997E-4"/>
    <x v="0"/>
  </r>
  <r>
    <n v="34"/>
    <n v="0"/>
    <n v="4"/>
    <n v="2"/>
    <n v="2"/>
    <n v="1"/>
    <n v="0"/>
    <n v="28"/>
    <n v="2"/>
    <n v="3"/>
    <n v="1"/>
    <n v="4022"/>
    <n v="1680"/>
    <n v="2342"/>
    <n v="0.57899999999999996"/>
    <n v="3776"/>
    <n v="84"/>
    <n v="0.82599999999999996"/>
    <n v="0.41799999999999998"/>
    <n v="1.1377E-4"/>
    <n v="0.99988999999999995"/>
    <s v="30.33403063402488"/>
    <s v="28.529761405463464"/>
    <s v="118.62637589232256"/>
    <s v="7.779598662095349"/>
    <n v="784880958"/>
    <x v="0"/>
    <n v="3.2101269999999999E-4"/>
    <x v="0"/>
  </r>
  <r>
    <n v="43"/>
    <n v="1"/>
    <n v="2"/>
    <n v="6"/>
    <n v="2"/>
    <n v="1"/>
    <n v="0"/>
    <n v="31"/>
    <n v="6"/>
    <n v="1"/>
    <n v="1"/>
    <n v="9662"/>
    <n v="817"/>
    <n v="8845"/>
    <n v="0.67900000000000005"/>
    <n v="3817"/>
    <n v="70"/>
    <n v="0.48899999999999999"/>
    <n v="8.5000000000000006E-2"/>
    <s v="3.6508e-05"/>
    <n v="0.99995999999999996"/>
    <s v="1.8188607409724136"/>
    <s v="4.756105219739483"/>
    <s v="54.39489569620997"/>
    <s v="12.196574888490762"/>
    <n v="779765058"/>
    <x v="0"/>
    <n v="5.8455940000000004E-4"/>
    <x v="0"/>
  </r>
  <r>
    <n v="44"/>
    <n v="1"/>
    <n v="5"/>
    <n v="2"/>
    <n v="2"/>
    <n v="2"/>
    <n v="0"/>
    <n v="34"/>
    <n v="3"/>
    <n v="3"/>
    <n v="5"/>
    <n v="13477"/>
    <n v="2057"/>
    <n v="11420"/>
    <n v="0.68400000000000005"/>
    <n v="3866"/>
    <n v="67"/>
    <n v="0.63400000000000001"/>
    <n v="0.153"/>
    <n v="9.2152E-4"/>
    <n v="0.99907999999999997"/>
    <s v="26.955001657110213"/>
    <s v="4.796544823875195"/>
    <s v="35.88022857139644"/>
    <s v="3.402804097222755"/>
    <n v="719882583"/>
    <x v="0"/>
    <n v="2.5606726999999999E-2"/>
    <x v="0"/>
  </r>
  <r>
    <n v="53"/>
    <n v="1"/>
    <n v="0"/>
    <n v="3"/>
    <n v="2"/>
    <n v="0"/>
    <n v="3"/>
    <n v="44"/>
    <n v="2"/>
    <n v="4"/>
    <n v="4"/>
    <n v="34516"/>
    <n v="2297"/>
    <n v="32219"/>
    <n v="0.41599999999999998"/>
    <n v="1461"/>
    <n v="43"/>
    <n v="0.53600000000000003"/>
    <n v="6.7000000000000004E-2"/>
    <n v="0.99787999999999999"/>
    <n v="2.1218000000000001E-3"/>
    <s v="28.143828844810304"/>
    <s v="19.17396861045024"/>
    <s v="102.7322942549674"/>
    <s v="25.166154919444264"/>
    <n v="787921383"/>
    <x v="1"/>
    <n v="0.99481576999999999"/>
    <x v="1"/>
  </r>
  <r>
    <n v="31"/>
    <n v="0"/>
    <n v="0"/>
    <n v="4"/>
    <n v="2"/>
    <n v="5"/>
    <n v="0"/>
    <n v="18"/>
    <n v="3"/>
    <n v="2"/>
    <n v="0"/>
    <n v="3934"/>
    <n v="1911"/>
    <n v="2023"/>
    <n v="0.72299999999999998"/>
    <n v="4143"/>
    <n v="82"/>
    <n v="0.86399999999999999"/>
    <n v="0.48599999999999999"/>
    <s v="4.2395e-05"/>
    <n v="0.99995999999999996"/>
    <s v="29.227562237400857"/>
    <s v="29.76583325786351"/>
    <s v="114.87861523300302"/>
    <s v="8.560064997008494"/>
    <n v="717405408"/>
    <x v="0"/>
    <n v="3.2101269999999999E-4"/>
    <x v="0"/>
  </r>
  <r>
    <n v="46"/>
    <n v="1"/>
    <n v="2"/>
    <n v="0"/>
    <n v="1"/>
    <n v="0"/>
    <n v="0"/>
    <n v="40"/>
    <n v="1"/>
    <n v="2"/>
    <n v="2"/>
    <n v="34516"/>
    <n v="1649"/>
    <n v="32867"/>
    <n v="0.74099999999999999"/>
    <n v="7552"/>
    <n v="87"/>
    <n v="0.61099999999999999"/>
    <n v="4.8000000000000001E-2"/>
    <n v="1.1066E-4"/>
    <n v="0.99988999999999995"/>
    <s v="3.754117460964651"/>
    <s v="22.67608292086977"/>
    <s v="23.986333504284776"/>
    <s v="7.698472203542792"/>
    <n v="794191008"/>
    <x v="0"/>
    <n v="4.2060707000000003E-4"/>
    <x v="0"/>
  </r>
  <r>
    <n v="45"/>
    <n v="1"/>
    <n v="2"/>
    <n v="2"/>
    <n v="1"/>
    <n v="2"/>
    <n v="0"/>
    <n v="25"/>
    <n v="3"/>
    <n v="5"/>
    <n v="3"/>
    <n v="1438.3"/>
    <n v="0"/>
    <n v="1438.3"/>
    <n v="0.67600000000000005"/>
    <n v="709"/>
    <n v="27"/>
    <n v="0.42099999999999999"/>
    <n v="0"/>
    <n v="0.99704999999999999"/>
    <n v="2.9499700000000001E-3"/>
    <s v="41.97167015302973"/>
    <s v="15.671579957216974"/>
    <s v="43.43115088035111"/>
    <s v="0.4451531993733107"/>
    <n v="721417233"/>
    <x v="1"/>
    <n v="0.99870884000000004"/>
    <x v="1"/>
  </r>
  <r>
    <n v="52"/>
    <n v="0"/>
    <n v="3"/>
    <n v="2"/>
    <n v="2"/>
    <n v="4"/>
    <n v="0"/>
    <n v="34"/>
    <n v="5"/>
    <n v="2"/>
    <n v="1"/>
    <n v="2996"/>
    <n v="2147"/>
    <n v="849"/>
    <n v="0.503"/>
    <n v="4724"/>
    <n v="66"/>
    <n v="0.73699999999999999"/>
    <n v="0.71699999999999997"/>
    <s v="7.1226e-05"/>
    <n v="0.99992999999999999"/>
    <s v="25.293111716674947"/>
    <s v="4.468158617793318"/>
    <n v="57.7809500289789"/>
    <s v="5.409581390545718"/>
    <n v="720768258"/>
    <x v="0"/>
    <n v="3.2101269999999999E-4"/>
    <x v="0"/>
  </r>
  <r>
    <n v="57"/>
    <n v="0"/>
    <n v="2"/>
    <n v="5"/>
    <n v="1"/>
    <n v="5"/>
    <n v="0"/>
    <n v="47"/>
    <n v="3"/>
    <n v="2"/>
    <n v="2"/>
    <n v="3136"/>
    <n v="2138"/>
    <n v="998"/>
    <n v="0.69899999999999995"/>
    <n v="4930"/>
    <n v="80"/>
    <n v="0.73899999999999999"/>
    <n v="0.68200000000000005"/>
    <n v="1.1703E-4"/>
    <n v="0.99987999999999999"/>
    <s v="21.360987563087985"/>
    <n v="66.115874748786297"/>
    <s v="46.10614122605844"/>
    <s v="10.04708062996559"/>
    <n v="772580958"/>
    <x v="0"/>
    <n v="3.2101269999999999E-4"/>
    <x v="0"/>
  </r>
  <r>
    <n v="49"/>
    <n v="0"/>
    <n v="3"/>
    <n v="4"/>
    <n v="2"/>
    <n v="4"/>
    <n v="0"/>
    <n v="35"/>
    <n v="5"/>
    <n v="1"/>
    <n v="2"/>
    <n v="2214"/>
    <n v="915"/>
    <n v="1299"/>
    <n v="0.53300000000000003"/>
    <n v="2144"/>
    <n v="51"/>
    <n v="0.54500000000000004"/>
    <n v="0.41299999999999998"/>
    <n v="0.98534999999999995"/>
    <n v="1.465E-2"/>
    <s v="24.20308343060333"/>
    <s v="14.584249956183754"/>
    <s v="19.79661965184532"/>
    <s v="1.2241607729310842"/>
    <n v="721460283"/>
    <x v="1"/>
    <n v="0.99556535000000002"/>
    <x v="1"/>
  </r>
  <r>
    <n v="48"/>
    <n v="1"/>
    <n v="4"/>
    <n v="0"/>
    <n v="1"/>
    <n v="3"/>
    <n v="0"/>
    <n v="36"/>
    <n v="3"/>
    <n v="3"/>
    <n v="2"/>
    <n v="26443"/>
    <n v="1601"/>
    <n v="24842"/>
    <n v="0.49299999999999999"/>
    <n v="1593"/>
    <n v="36"/>
    <n v="0.33300000000000002"/>
    <n v="6.0999999999999999E-2"/>
    <n v="1.8340000000000001E-4"/>
    <n v="0.99982000000000004"/>
    <s v="31.32871732823108"/>
    <s v="41.87334377211756"/>
    <s v="6.149492802782705"/>
    <s v="6.840308230237793"/>
    <n v="717643608"/>
    <x v="0"/>
    <n v="1.3718942999999999E-3"/>
    <x v="0"/>
  </r>
  <r>
    <n v="49"/>
    <n v="1"/>
    <n v="4"/>
    <n v="2"/>
    <n v="2"/>
    <n v="3"/>
    <n v="0"/>
    <n v="43"/>
    <n v="1"/>
    <n v="2"/>
    <n v="2"/>
    <n v="20701"/>
    <n v="2517"/>
    <n v="18184"/>
    <n v="1.0229999999999999"/>
    <n v="14374"/>
    <n v="113"/>
    <n v="0.82299999999999995"/>
    <n v="0.122"/>
    <n v="1.1937E-4"/>
    <n v="0.99987999999999999"/>
    <s v="3.8399851238092646"/>
    <s v="15.143946927253138"/>
    <s v="33.17303002113256"/>
    <n v="15.6714682373483"/>
    <n v="803421108"/>
    <x v="0"/>
    <n v="3.9377974E-4"/>
    <x v="0"/>
  </r>
  <r>
    <n v="42"/>
    <n v="0"/>
    <n v="3"/>
    <n v="2"/>
    <n v="2"/>
    <n v="4"/>
    <n v="0"/>
    <n v="36"/>
    <n v="5"/>
    <n v="1"/>
    <n v="2"/>
    <n v="3308"/>
    <n v="2517"/>
    <n v="791"/>
    <n v="0.54300000000000004"/>
    <n v="5104"/>
    <n v="85"/>
    <n v="0.54500000000000004"/>
    <n v="0.76100000000000001"/>
    <s v="5.7151e-05"/>
    <n v="0.99994000000000005"/>
    <s v="2.886092236446613"/>
    <s v="23.271314593108112"/>
    <s v="103.5051596622422"/>
    <n v="9.0142059766604206"/>
    <n v="718853358"/>
    <x v="0"/>
    <n v="3.5570623000000002E-4"/>
    <x v="0"/>
  </r>
  <r>
    <n v="47"/>
    <n v="0"/>
    <n v="2"/>
    <n v="2"/>
    <n v="1"/>
    <n v="4"/>
    <n v="0"/>
    <n v="36"/>
    <n v="6"/>
    <n v="3"/>
    <n v="2"/>
    <n v="2726"/>
    <n v="0"/>
    <n v="2726"/>
    <n v="0.84399999999999997"/>
    <n v="1099"/>
    <n v="27"/>
    <n v="0.58799999999999997"/>
    <n v="0"/>
    <n v="1.7987E-4"/>
    <n v="0.99982000000000004"/>
    <s v="29.66989494117916"/>
    <s v="15.175858160441592"/>
    <s v="25.04185635927232"/>
    <s v="17.183976366508713"/>
    <n v="716568708"/>
    <x v="0"/>
    <n v="4.459518E-3"/>
    <x v="0"/>
  </r>
  <r>
    <n v="44"/>
    <n v="0"/>
    <n v="2"/>
    <n v="3"/>
    <n v="1"/>
    <n v="5"/>
    <n v="0"/>
    <n v="32"/>
    <n v="4"/>
    <n v="3"/>
    <n v="3"/>
    <n v="8477"/>
    <n v="2517"/>
    <n v="5960"/>
    <n v="0.71699999999999997"/>
    <n v="2455"/>
    <n v="41"/>
    <n v="0.64"/>
    <n v="0.29699999999999999"/>
    <n v="0.99661"/>
    <n v="3.3878799999999998E-3"/>
    <s v="17.903557816902726"/>
    <s v="18.64180041454906"/>
    <s v="51.523660570203305"/>
    <s v="7.764571966343449"/>
    <n v="778781508"/>
    <x v="1"/>
    <n v="0.99535625999999999"/>
    <x v="1"/>
  </r>
  <r>
    <n v="42"/>
    <n v="0"/>
    <n v="3"/>
    <n v="6"/>
    <n v="2"/>
    <n v="4"/>
    <n v="0"/>
    <n v="36"/>
    <n v="6"/>
    <n v="3"/>
    <n v="3"/>
    <n v="2837"/>
    <n v="834"/>
    <n v="2003"/>
    <n v="0.42699999999999999"/>
    <n v="3892"/>
    <n v="69"/>
    <n v="0.40799999999999997"/>
    <n v="0.29399999999999998"/>
    <n v="3.4503000000000002E-4"/>
    <n v="0.99965000000000004"/>
    <s v="22.29428960327104"/>
    <s v="101.5709136033301"/>
    <s v="13.04920957436073"/>
    <n v="9.3168881875035297"/>
    <n v="713906508"/>
    <x v="0"/>
    <n v="5.4528314000000001E-4"/>
    <x v="0"/>
  </r>
  <r>
    <n v="54"/>
    <n v="0"/>
    <n v="0"/>
    <n v="2"/>
    <n v="2"/>
    <n v="5"/>
    <n v="2"/>
    <n v="38"/>
    <n v="2"/>
    <n v="2"/>
    <n v="2"/>
    <n v="34516"/>
    <n v="0"/>
    <n v="34516"/>
    <n v="0.69499999999999995"/>
    <n v="3901"/>
    <n v="54"/>
    <n v="0.42099999999999999"/>
    <n v="0"/>
    <n v="0.99414000000000002"/>
    <n v="5.8599999999999998E-3"/>
    <s v="28.63891068726752"/>
    <s v="47.11057963046685"/>
    <s v="13.961638450023202"/>
    <s v="9.439207624778758"/>
    <n v="719071158"/>
    <x v="1"/>
    <n v="0.99699616000000002"/>
    <x v="1"/>
  </r>
  <r>
    <n v="59"/>
    <n v="1"/>
    <n v="1"/>
    <n v="6"/>
    <n v="2"/>
    <n v="2"/>
    <n v="0"/>
    <n v="48"/>
    <n v="3"/>
    <n v="1"/>
    <n v="2"/>
    <n v="7288"/>
    <n v="0"/>
    <n v="7288"/>
    <n v="0.64"/>
    <n v="14873"/>
    <n v="120"/>
    <n v="0.71399999999999997"/>
    <n v="0"/>
    <s v="5.6825e-05"/>
    <n v="0.99994000000000005"/>
    <s v="2.8950085425839616"/>
    <s v="43.44267147608676"/>
    <s v="113.27093995857402"/>
    <s v="9.471831013240765"/>
    <n v="716123283"/>
    <x v="0"/>
    <n v="7.5047980000000002E-4"/>
    <x v="0"/>
  </r>
  <r>
    <n v="39"/>
    <n v="0"/>
    <n v="1"/>
    <n v="2"/>
    <n v="1"/>
    <n v="1"/>
    <n v="0"/>
    <n v="27"/>
    <n v="3"/>
    <n v="1"/>
    <n v="2"/>
    <n v="2700"/>
    <n v="2220"/>
    <n v="480"/>
    <n v="1.595"/>
    <n v="2901"/>
    <n v="59"/>
    <n v="1.36"/>
    <n v="0.82199999999999995"/>
    <s v="5.1697e-05"/>
    <n v="0.99995000000000001"/>
    <s v="19.998200428208595"/>
    <s v="82.47980460771196"/>
    <s v="36.99465708393515"/>
    <s v="3.0452969856874894"/>
    <n v="721415658"/>
    <x v="0"/>
    <n v="4.0483811999999998E-4"/>
    <x v="0"/>
  </r>
  <r>
    <n v="38"/>
    <n v="1"/>
    <n v="2"/>
    <n v="5"/>
    <n v="2"/>
    <n v="1"/>
    <n v="0"/>
    <n v="36"/>
    <n v="5"/>
    <n v="1"/>
    <n v="2"/>
    <n v="7756"/>
    <n v="1670"/>
    <n v="6086"/>
    <n v="0.78"/>
    <n v="1858"/>
    <n v="51"/>
    <n v="0.54500000000000004"/>
    <n v="0.215"/>
    <s v="5.663e-05"/>
    <n v="0.99994000000000005"/>
    <s v="19.59925860553737"/>
    <s v="94.44900634517874"/>
    <s v="38.91256056257865"/>
    <s v="9.527674190427392"/>
    <n v="710497608"/>
    <x v="0"/>
    <n v="8.7463145999999996E-4"/>
    <x v="0"/>
  </r>
  <r>
    <n v="45"/>
    <n v="1"/>
    <n v="4"/>
    <n v="0"/>
    <n v="3"/>
    <n v="0"/>
    <n v="0"/>
    <n v="40"/>
    <n v="3"/>
    <n v="2"/>
    <n v="2"/>
    <n v="11962"/>
    <n v="1025"/>
    <n v="10937"/>
    <n v="0.69399999999999995"/>
    <n v="1907"/>
    <n v="52"/>
    <n v="0.92600000000000005"/>
    <n v="8.5999999999999993E-2"/>
    <n v="1.1605E-4"/>
    <n v="0.99987999999999999"/>
    <s v="23.544081418558104"/>
    <s v="19.287747439518405"/>
    <s v="8.941832017577491"/>
    <s v="9.100246575546723"/>
    <n v="810856833"/>
    <x v="0"/>
    <n v="8.4870075999999997E-4"/>
    <x v="0"/>
  </r>
  <r>
    <n v="56"/>
    <n v="0"/>
    <n v="1"/>
    <n v="6"/>
    <n v="1"/>
    <n v="5"/>
    <n v="0"/>
    <n v="36"/>
    <n v="6"/>
    <n v="3"/>
    <n v="2"/>
    <n v="24073"/>
    <n v="1084"/>
    <n v="22989"/>
    <n v="0.84699999999999998"/>
    <n v="1341"/>
    <n v="37"/>
    <n v="1.1759999999999999"/>
    <n v="4.4999999999999998E-2"/>
    <n v="1.8558E-4"/>
    <n v="0.99980999999999998"/>
    <s v="17.42319383738607"/>
    <s v="46.230903239850846"/>
    <s v="4.442052369690705"/>
    <s v="26.289990648396437"/>
    <n v="720424608"/>
    <x v="0"/>
    <n v="1.0985557E-3"/>
    <x v="0"/>
  </r>
  <r>
    <n v="51"/>
    <n v="0"/>
    <n v="1"/>
    <n v="2"/>
    <n v="1"/>
    <n v="4"/>
    <n v="0"/>
    <n v="42"/>
    <n v="6"/>
    <n v="2"/>
    <n v="2"/>
    <n v="5822"/>
    <n v="2387"/>
    <n v="3435"/>
    <n v="0.76"/>
    <n v="1804"/>
    <n v="49"/>
    <n v="0.75"/>
    <n v="0.41"/>
    <n v="1.0684E-4"/>
    <n v="0.99988999999999995"/>
    <s v="31.146124108225745"/>
    <s v="23.41309199260105"/>
    <s v="72.11619851358982"/>
    <s v="9.980531503092196"/>
    <n v="715940358"/>
    <x v="0"/>
    <n v="8.5304683000000004E-4"/>
    <x v="0"/>
  </r>
  <r>
    <n v="52"/>
    <n v="1"/>
    <n v="3"/>
    <n v="1"/>
    <n v="1"/>
    <n v="3"/>
    <n v="0"/>
    <n v="36"/>
    <n v="2"/>
    <n v="3"/>
    <n v="3"/>
    <n v="3022"/>
    <n v="895"/>
    <n v="2127"/>
    <n v="0.95"/>
    <n v="2724"/>
    <n v="38"/>
    <n v="0.9"/>
    <n v="0.29599999999999999"/>
    <n v="0.99780000000000002"/>
    <n v="2.1958400000000001E-3"/>
    <s v="7.749781993048197"/>
    <s v="9.295386580867737"/>
    <s v="55.07880813115707"/>
    <s v="18.54922649761601"/>
    <n v="708888633"/>
    <x v="1"/>
    <n v="0.99664414000000001"/>
    <x v="1"/>
  </r>
  <r>
    <n v="62"/>
    <n v="0"/>
    <n v="0"/>
    <n v="6"/>
    <n v="1"/>
    <n v="4"/>
    <n v="0"/>
    <n v="55"/>
    <n v="3"/>
    <n v="1"/>
    <n v="0"/>
    <n v="2064"/>
    <n v="1282"/>
    <n v="782"/>
    <n v="0.45500000000000002"/>
    <n v="1475"/>
    <n v="27"/>
    <n v="0.92900000000000005"/>
    <n v="0.621"/>
    <s v="1.9163e-05"/>
    <n v="0.99997999999999998"/>
    <s v="3.969096629772477"/>
    <s v="14.554526753922904"/>
    <s v="42.90755237519725"/>
    <s v="7.975500977032942"/>
    <n v="718016808"/>
    <x v="0"/>
    <n v="1.0249399E-3"/>
    <x v="0"/>
  </r>
  <r>
    <n v="45"/>
    <n v="1"/>
    <n v="3"/>
    <n v="6"/>
    <n v="2"/>
    <n v="3"/>
    <n v="0"/>
    <n v="37"/>
    <n v="6"/>
    <n v="2"/>
    <n v="2"/>
    <n v="10651"/>
    <n v="672"/>
    <n v="9979"/>
    <n v="0.76700000000000002"/>
    <n v="2073"/>
    <n v="54"/>
    <n v="0.54300000000000004"/>
    <n v="6.3E-2"/>
    <n v="1.2982E-4"/>
    <n v="0.99987000000000004"/>
    <s v="12.789237452627054"/>
    <s v="13.042237746601897"/>
    <s v="86.09962390707808"/>
    <n v="9.9331771424503597"/>
    <n v="709000008"/>
    <x v="0"/>
    <n v="1.2702243E-3"/>
    <x v="0"/>
  </r>
  <r>
    <n v="62"/>
    <n v="0"/>
    <n v="1"/>
    <n v="6"/>
    <n v="2"/>
    <n v="4"/>
    <n v="0"/>
    <n v="54"/>
    <n v="4"/>
    <n v="2"/>
    <n v="2"/>
    <n v="1927"/>
    <n v="1319"/>
    <n v="608"/>
    <n v="0.67200000000000004"/>
    <n v="4199"/>
    <n v="77"/>
    <n v="0.75"/>
    <n v="0.68400000000000005"/>
    <n v="1.1743000000000001E-4"/>
    <n v="0.99987999999999999"/>
    <s v="67.16791053201936"/>
    <n v="20.2269896788846"/>
    <s v="48.66665430569697"/>
    <s v="18.006719941878885"/>
    <n v="720016308"/>
    <x v="0"/>
    <n v="3.2101269999999999E-4"/>
    <x v="0"/>
  </r>
  <r>
    <n v="48"/>
    <n v="0"/>
    <n v="1"/>
    <n v="5"/>
    <n v="1"/>
    <n v="5"/>
    <n v="0"/>
    <n v="38"/>
    <n v="5"/>
    <n v="2"/>
    <n v="2"/>
    <n v="1438.3"/>
    <n v="0"/>
    <n v="1438.3"/>
    <n v="0.57399999999999995"/>
    <n v="2171"/>
    <n v="38"/>
    <n v="0.46200000000000002"/>
    <n v="0"/>
    <n v="0.99097999999999997"/>
    <n v="9.0200000000000002E-3"/>
    <s v="25.05892989970538"/>
    <s v="55.82890385652109"/>
    <s v="6.789550291763238"/>
    <s v="10.436186701682288"/>
    <n v="711671058"/>
    <x v="1"/>
    <n v="0.99873226999999998"/>
    <x v="1"/>
  </r>
  <r>
    <n v="47"/>
    <n v="1"/>
    <n v="4"/>
    <n v="0"/>
    <n v="2"/>
    <n v="2"/>
    <n v="0"/>
    <n v="41"/>
    <n v="5"/>
    <n v="2"/>
    <n v="3"/>
    <n v="15594"/>
    <n v="0"/>
    <n v="15594"/>
    <n v="0.63100000000000001"/>
    <n v="4745"/>
    <n v="75"/>
    <n v="0.78600000000000003"/>
    <n v="0"/>
    <n v="1.9519000000000001E-4"/>
    <n v="0.99980000000000002"/>
    <n v="4.0664896674341904"/>
    <s v="13.563890889464137"/>
    <s v="34.46515522727356"/>
    <s v="14.18005546390051"/>
    <n v="798030933"/>
    <x v="0"/>
    <n v="6.9517245999999998E-4"/>
    <x v="0"/>
  </r>
  <r>
    <n v="39"/>
    <n v="1"/>
    <n v="1"/>
    <n v="2"/>
    <n v="2"/>
    <n v="2"/>
    <n v="1"/>
    <n v="36"/>
    <n v="1"/>
    <n v="3"/>
    <n v="2"/>
    <n v="34516"/>
    <n v="1662"/>
    <n v="32854"/>
    <n v="0.751"/>
    <n v="13578"/>
    <n v="105"/>
    <n v="0.61499999999999999"/>
    <n v="4.8000000000000001E-2"/>
    <n v="1.9451000000000001E-4"/>
    <n v="0.99980999999999998"/>
    <s v="31.68322049693639"/>
    <s v="43.19185750968796"/>
    <s v="25.451985340582905"/>
    <s v="7.802815203420174"/>
    <n v="712341933"/>
    <x v="0"/>
    <n v="3.9550033E-4"/>
    <x v="0"/>
  </r>
  <r>
    <n v="53"/>
    <n v="1"/>
    <n v="1"/>
    <n v="3"/>
    <n v="1"/>
    <n v="3"/>
    <n v="0"/>
    <n v="47"/>
    <n v="3"/>
    <n v="2"/>
    <n v="2"/>
    <n v="12262"/>
    <n v="1836"/>
    <n v="10426"/>
    <n v="1.5840000000000001"/>
    <n v="1659"/>
    <n v="38"/>
    <n v="1.5329999999999999"/>
    <n v="0.15"/>
    <n v="1.0386E-4"/>
    <n v="0.99990000000000001"/>
    <s v="40.56234294082926"/>
    <s v="4.410641562451268"/>
    <s v="20.419034553208164"/>
    <s v="19.07028140121541"/>
    <n v="714877233"/>
    <x v="0"/>
    <n v="1.0249399E-3"/>
    <x v="0"/>
  </r>
  <r>
    <n v="51"/>
    <n v="1"/>
    <n v="1"/>
    <n v="5"/>
    <n v="1"/>
    <n v="2"/>
    <n v="0"/>
    <n v="38"/>
    <n v="3"/>
    <n v="3"/>
    <n v="1"/>
    <n v="13731"/>
    <n v="1375"/>
    <n v="12356"/>
    <n v="0.878"/>
    <n v="14826"/>
    <n v="99"/>
    <n v="0.70699999999999996"/>
    <n v="0.1"/>
    <n v="1.0469E-4"/>
    <n v="0.99990000000000001"/>
    <s v="70.72231801449941"/>
    <s v="31.96620140377649"/>
    <s v="102.80304450958636"/>
    <s v="5.257008478463434"/>
    <n v="718316058"/>
    <x v="0"/>
    <n v="3.4656386999999997E-4"/>
    <x v="0"/>
  </r>
  <r>
    <n v="55"/>
    <n v="0"/>
    <n v="0"/>
    <n v="2"/>
    <n v="2"/>
    <n v="1"/>
    <n v="0"/>
    <n v="35"/>
    <n v="5"/>
    <n v="1"/>
    <n v="3"/>
    <n v="3735"/>
    <n v="1978"/>
    <n v="1757"/>
    <n v="0.67500000000000004"/>
    <n v="1749"/>
    <n v="41"/>
    <n v="0.57699999999999996"/>
    <n v="0.53"/>
    <s v="7.9494e-05"/>
    <n v="0.99992000000000003"/>
    <s v="37.299008422177245"/>
    <s v="20.134762422043337"/>
    <s v="7.0128665618725785"/>
    <s v="14.012005125846638"/>
    <n v="794462133"/>
    <x v="0"/>
    <n v="1.0598798E-3"/>
    <x v="0"/>
  </r>
  <r>
    <n v="41"/>
    <n v="1"/>
    <n v="3"/>
    <n v="3"/>
    <n v="2"/>
    <n v="4"/>
    <n v="0"/>
    <n v="33"/>
    <n v="6"/>
    <n v="3"/>
    <n v="1"/>
    <n v="7015"/>
    <n v="918"/>
    <n v="6097"/>
    <n v="0.95699999999999996"/>
    <n v="4410"/>
    <n v="70"/>
    <n v="0.59099999999999997"/>
    <n v="0.13100000000000001"/>
    <n v="1.0943E-4"/>
    <n v="0.99988999999999995"/>
    <s v="42.12561585662636"/>
    <s v="52.38664518389648"/>
    <s v="34.077895603961366"/>
    <s v="20.28471943718504"/>
    <n v="721501308"/>
    <x v="0"/>
    <n v="4.4186049999999998E-4"/>
    <x v="0"/>
  </r>
  <r>
    <n v="27"/>
    <n v="0"/>
    <n v="1"/>
    <n v="0"/>
    <n v="1"/>
    <n v="4"/>
    <n v="0"/>
    <n v="20"/>
    <n v="5"/>
    <n v="3"/>
    <n v="3"/>
    <n v="1893"/>
    <n v="0"/>
    <n v="1893"/>
    <n v="0.69099999999999995"/>
    <n v="5176"/>
    <n v="91"/>
    <n v="0.78400000000000003"/>
    <n v="0"/>
    <n v="2.7607E-4"/>
    <n v="0.99972000000000005"/>
    <s v="9.632038707510585"/>
    <s v="43.37125237198244"/>
    <s v="54.95713941462849"/>
    <s v="0.7445577591986607"/>
    <n v="767376483"/>
    <x v="0"/>
    <n v="6.9517245999999998E-4"/>
    <x v="0"/>
  </r>
  <r>
    <n v="60"/>
    <n v="0"/>
    <n v="1"/>
    <n v="6"/>
    <n v="2"/>
    <n v="4"/>
    <n v="0"/>
    <n v="46"/>
    <n v="2"/>
    <n v="3"/>
    <n v="2"/>
    <n v="4628"/>
    <n v="2327"/>
    <n v="2301"/>
    <n v="0.61099999999999999"/>
    <n v="4226"/>
    <n v="92"/>
    <n v="0.73599999999999999"/>
    <n v="0.503"/>
    <n v="1.8558E-4"/>
    <n v="0.99980999999999998"/>
    <s v="32.81228287523439"/>
    <s v="41.045140384172285"/>
    <s v="139.49081343087576"/>
    <s v="6.1305146404380455"/>
    <n v="714924483"/>
    <x v="0"/>
    <n v="3.2101269999999999E-4"/>
    <x v="0"/>
  </r>
  <r>
    <n v="50"/>
    <n v="0"/>
    <n v="2"/>
    <n v="5"/>
    <n v="2"/>
    <n v="4"/>
    <n v="0"/>
    <n v="37"/>
    <n v="3"/>
    <n v="3"/>
    <n v="0"/>
    <n v="8520"/>
    <n v="814"/>
    <n v="7706"/>
    <n v="0.504"/>
    <n v="1193"/>
    <n v="35"/>
    <n v="0.34599999999999997"/>
    <n v="9.6000000000000002E-2"/>
    <s v="6.8225e-05"/>
    <n v="0.99992999999999999"/>
    <s v="55.11338516662315"/>
    <s v="38.05269906160183"/>
    <s v="7.840285322732581"/>
    <s v="11.40673763289346"/>
    <n v="715271733"/>
    <x v="0"/>
    <n v="2.0227432000000001E-3"/>
    <x v="0"/>
  </r>
  <r>
    <n v="35"/>
    <n v="0"/>
    <n v="1"/>
    <n v="3"/>
    <n v="1"/>
    <n v="4"/>
    <n v="0"/>
    <n v="26"/>
    <n v="4"/>
    <n v="2"/>
    <n v="3"/>
    <n v="1918"/>
    <n v="900"/>
    <n v="1018"/>
    <n v="0.873"/>
    <n v="4237"/>
    <n v="76"/>
    <n v="0.9"/>
    <n v="0.46899999999999997"/>
    <n v="1.7468E-4"/>
    <n v="0.99983"/>
    <s v="41.92674571082362"/>
    <s v="22.08388601089974"/>
    <n v="34.651498088001198"/>
    <s v="12.509294614675872"/>
    <n v="721424583"/>
    <x v="0"/>
    <n v="4.2162873000000002E-4"/>
    <x v="0"/>
  </r>
  <r>
    <n v="38"/>
    <n v="0"/>
    <n v="2"/>
    <n v="2"/>
    <n v="2"/>
    <n v="4"/>
    <n v="0"/>
    <n v="32"/>
    <n v="2"/>
    <n v="3"/>
    <n v="3"/>
    <n v="3775"/>
    <n v="0"/>
    <n v="3775"/>
    <n v="0.58099999999999996"/>
    <n v="2031"/>
    <n v="36"/>
    <n v="0.38500000000000001"/>
    <n v="0"/>
    <n v="0.99670999999999998"/>
    <n v="3.29379E-3"/>
    <s v="49.56293317673224"/>
    <s v="15.393389177629414"/>
    <n v="55.774513897459997"/>
    <s v="8.116779961127122"/>
    <n v="803028858"/>
    <x v="1"/>
    <n v="0.99876772999999996"/>
    <x v="1"/>
  </r>
  <r>
    <n v="51"/>
    <n v="0"/>
    <n v="2"/>
    <n v="2"/>
    <n v="2"/>
    <n v="4"/>
    <n v="0"/>
    <n v="44"/>
    <n v="6"/>
    <n v="3"/>
    <n v="2"/>
    <n v="3181"/>
    <n v="2517"/>
    <n v="664"/>
    <n v="0.59499999999999997"/>
    <n v="818"/>
    <n v="16"/>
    <n v="0.45500000000000002"/>
    <n v="0.79100000000000004"/>
    <n v="0.99446999999999997"/>
    <n v="5.5300000000000002E-3"/>
    <s v="10.223081204896582"/>
    <s v="18.094605899483454"/>
    <s v="73.43233021260842"/>
    <s v="1.226078880335315"/>
    <n v="739594758"/>
    <x v="1"/>
    <n v="0.99519159999999995"/>
    <x v="1"/>
  </r>
  <r>
    <n v="31"/>
    <n v="0"/>
    <n v="0"/>
    <n v="4"/>
    <n v="0"/>
    <n v="4"/>
    <n v="0"/>
    <n v="36"/>
    <n v="6"/>
    <n v="3"/>
    <n v="3"/>
    <n v="4871"/>
    <n v="0"/>
    <n v="4871"/>
    <n v="0.89"/>
    <n v="2773"/>
    <n v="34"/>
    <n v="0.78900000000000003"/>
    <n v="0"/>
    <n v="0.99673999999999996"/>
    <n v="3.2621299999999998E-3"/>
    <n v="66.933967423808596"/>
    <s v="46.21971780631115"/>
    <s v="86.57809792288056"/>
    <s v="8.479017351045622"/>
    <n v="714726858"/>
    <x v="1"/>
    <n v="0.99837743999999995"/>
    <x v="1"/>
  </r>
  <r>
    <n v="54"/>
    <n v="1"/>
    <n v="1"/>
    <n v="4"/>
    <n v="2"/>
    <n v="3"/>
    <n v="0"/>
    <n v="40"/>
    <n v="6"/>
    <n v="3"/>
    <n v="3"/>
    <n v="10260"/>
    <n v="942"/>
    <n v="9318"/>
    <n v="1.042"/>
    <n v="1566"/>
    <n v="50"/>
    <n v="0.56200000000000006"/>
    <n v="9.1999999999999998E-2"/>
    <n v="3.3410999999999998E-4"/>
    <n v="0.99966999999999995"/>
    <s v="0.3764551235914293"/>
    <s v="18.569450715858554"/>
    <s v="8.083965644542253"/>
    <s v="26.59627018652088"/>
    <n v="779557533"/>
    <x v="0"/>
    <n v="1.1439060000000001E-3"/>
    <x v="0"/>
  </r>
  <r>
    <n v="53"/>
    <n v="0"/>
    <n v="1"/>
    <n v="4"/>
    <n v="2"/>
    <n v="1"/>
    <n v="0"/>
    <n v="43"/>
    <n v="5"/>
    <n v="1"/>
    <n v="0"/>
    <n v="2618"/>
    <n v="2026"/>
    <n v="592"/>
    <n v="0.66900000000000004"/>
    <n v="4198"/>
    <n v="68"/>
    <n v="0.61899999999999999"/>
    <n v="0.77400000000000002"/>
    <s v="2.2438e-05"/>
    <n v="0.99997999999999998"/>
    <s v="46.69521336115352"/>
    <s v="56.08789915492845"/>
    <s v="152.93527020789463"/>
    <s v="8.098902450980496"/>
    <n v="711197658"/>
    <x v="0"/>
    <n v="3.2914013999999999E-4"/>
    <x v="0"/>
  </r>
  <r>
    <n v="51"/>
    <n v="1"/>
    <n v="4"/>
    <n v="0"/>
    <n v="1"/>
    <n v="0"/>
    <n v="3"/>
    <n v="31"/>
    <n v="5"/>
    <n v="2"/>
    <n v="1"/>
    <n v="34516"/>
    <n v="1254"/>
    <n v="33262"/>
    <n v="0.86899999999999999"/>
    <n v="1366"/>
    <n v="25"/>
    <n v="0.78600000000000003"/>
    <n v="3.5999999999999997E-2"/>
    <s v="6.3239e-05"/>
    <n v="0.99994000000000005"/>
    <s v="4.985771152582096"/>
    <s v="84.83494483206933"/>
    <s v="1.7664762610568017"/>
    <s v="5.475439547792577"/>
    <n v="709470858"/>
    <x v="0"/>
    <n v="1.0985557E-3"/>
    <x v="0"/>
  </r>
  <r>
    <n v="42"/>
    <n v="0"/>
    <n v="4"/>
    <n v="2"/>
    <n v="1"/>
    <n v="4"/>
    <n v="0"/>
    <n v="28"/>
    <n v="5"/>
    <n v="2"/>
    <n v="4"/>
    <n v="2205"/>
    <n v="1245"/>
    <n v="960"/>
    <n v="0.92500000000000004"/>
    <n v="4921"/>
    <n v="90"/>
    <n v="0.8"/>
    <n v="0.56499999999999995"/>
    <n v="3.4247999999999999E-4"/>
    <n v="0.99965999999999999"/>
    <s v="20.349036902628477"/>
    <s v="1.1240745546146649"/>
    <s v="51.32265403208166"/>
    <n v="5.8323380730588301"/>
    <n v="716385858"/>
    <x v="0"/>
    <n v="3.221314E-4"/>
    <x v="0"/>
  </r>
  <r>
    <n v="62"/>
    <n v="0"/>
    <n v="0"/>
    <n v="6"/>
    <n v="2"/>
    <n v="4"/>
    <n v="0"/>
    <n v="56"/>
    <n v="6"/>
    <n v="3"/>
    <n v="3"/>
    <n v="2582"/>
    <n v="1528"/>
    <n v="1054"/>
    <n v="0.77100000000000002"/>
    <n v="4041"/>
    <n v="67"/>
    <n v="0.45700000000000002"/>
    <n v="0.59199999999999997"/>
    <n v="2.8535000000000002E-4"/>
    <n v="0.99970999999999999"/>
    <s v="30.80107094609306"/>
    <s v="39.10159767787415"/>
    <s v="16.195970365586806"/>
    <s v="13.715664116895288"/>
    <n v="719050458"/>
    <x v="0"/>
    <n v="3.5747702000000001E-4"/>
    <x v="0"/>
  </r>
  <r>
    <n v="47"/>
    <n v="1"/>
    <n v="3"/>
    <n v="2"/>
    <n v="3"/>
    <n v="2"/>
    <n v="0"/>
    <n v="36"/>
    <n v="4"/>
    <n v="3"/>
    <n v="2"/>
    <n v="21142"/>
    <n v="0"/>
    <n v="21142"/>
    <n v="0.81200000000000006"/>
    <n v="4360"/>
    <n v="66"/>
    <n v="1.357"/>
    <n v="0"/>
    <n v="1.8665000000000001E-4"/>
    <n v="0.99980999999999998"/>
    <s v="71.21302343298531"/>
    <s v="58.03590970977629"/>
    <s v="99.88949338712752"/>
    <s v="3.541717034822069"/>
    <n v="711377808"/>
    <x v="0"/>
    <n v="7.4965424999999997E-4"/>
    <x v="0"/>
  </r>
  <r>
    <n v="39"/>
    <n v="1"/>
    <n v="2"/>
    <n v="5"/>
    <n v="2"/>
    <n v="2"/>
    <n v="0"/>
    <n v="36"/>
    <n v="5"/>
    <n v="3"/>
    <n v="3"/>
    <n v="13961"/>
    <n v="1299"/>
    <n v="12662"/>
    <n v="0.84199999999999997"/>
    <n v="783"/>
    <n v="20"/>
    <n v="0.66700000000000004"/>
    <n v="9.2999999999999999E-2"/>
    <n v="0.99680000000000002"/>
    <n v="3.2037400000000001E-3"/>
    <s v="17.282095489186574"/>
    <s v="27.637254463937506"/>
    <s v="46.84891881162654"/>
    <s v="2.466507134066183"/>
    <n v="709547658"/>
    <x v="1"/>
    <n v="0.99443440000000005"/>
    <x v="1"/>
  </r>
  <r>
    <n v="53"/>
    <n v="1"/>
    <n v="3"/>
    <n v="6"/>
    <n v="1"/>
    <n v="1"/>
    <n v="0"/>
    <n v="41"/>
    <n v="6"/>
    <n v="1"/>
    <n v="2"/>
    <n v="1595"/>
    <n v="870"/>
    <n v="725"/>
    <n v="0.69399999999999995"/>
    <n v="1745"/>
    <n v="41"/>
    <n v="0.57699999999999996"/>
    <n v="0.54500000000000004"/>
    <s v="6.282e-05"/>
    <n v="0.99994000000000005"/>
    <n v="7.74687135103256"/>
    <s v="58.06615519246666"/>
    <s v="20.405313504583404"/>
    <s v="3.0311686827698687"/>
    <n v="716043258"/>
    <x v="0"/>
    <n v="1.4374022E-3"/>
    <x v="0"/>
  </r>
  <r>
    <n v="53"/>
    <n v="0"/>
    <n v="2"/>
    <n v="0"/>
    <n v="1"/>
    <n v="1"/>
    <n v="0"/>
    <n v="34"/>
    <n v="6"/>
    <n v="2"/>
    <n v="1"/>
    <n v="2075"/>
    <n v="1469"/>
    <n v="606"/>
    <n v="1.3220000000000001"/>
    <n v="2556"/>
    <n v="49"/>
    <n v="1.1299999999999999"/>
    <n v="0.70799999999999996"/>
    <s v="6.6734e-05"/>
    <n v="0.99992999999999999"/>
    <s v="26.42931459749077"/>
    <s v="46.30763131578435"/>
    <s v="20.721634370465587"/>
    <s v="21.381104450783265"/>
    <n v="717198633"/>
    <x v="0"/>
    <n v="8.6492294E-4"/>
    <x v="0"/>
  </r>
  <r>
    <n v="32"/>
    <n v="1"/>
    <n v="3"/>
    <n v="2"/>
    <n v="1"/>
    <n v="1"/>
    <n v="0"/>
    <n v="18"/>
    <n v="5"/>
    <n v="3"/>
    <n v="3"/>
    <n v="6407"/>
    <n v="963"/>
    <n v="5444"/>
    <n v="1.052"/>
    <n v="1921"/>
    <n v="43"/>
    <n v="0.72"/>
    <n v="0.15"/>
    <n v="3.1389999999999999E-4"/>
    <n v="0.99968999999999997"/>
    <s v="28.86809455205855"/>
    <s v="35.955518570817524"/>
    <s v="33.09420718003598"/>
    <s v="16.206059126761517"/>
    <n v="716447733"/>
    <x v="0"/>
    <n v="1.4558889999999999E-3"/>
    <x v="0"/>
  </r>
  <r>
    <n v="49"/>
    <n v="0"/>
    <n v="2"/>
    <n v="5"/>
    <n v="2"/>
    <n v="4"/>
    <n v="0"/>
    <n v="36"/>
    <n v="6"/>
    <n v="2"/>
    <n v="2"/>
    <n v="2182"/>
    <n v="1722"/>
    <n v="460"/>
    <n v="0.93700000000000006"/>
    <n v="5377"/>
    <n v="86"/>
    <n v="0.65400000000000003"/>
    <n v="0.78900000000000003"/>
    <n v="1.1703E-4"/>
    <n v="0.99987999999999999"/>
    <s v="41.72087921800425"/>
    <s v="36.015383397285184"/>
    <s v="14.327491006967968"/>
    <n v="4.9858396398005302"/>
    <n v="716890533"/>
    <x v="0"/>
    <n v="3.671635E-4"/>
    <x v="0"/>
  </r>
  <r>
    <n v="38"/>
    <n v="0"/>
    <n v="3"/>
    <n v="4"/>
    <n v="1"/>
    <n v="4"/>
    <n v="0"/>
    <n v="32"/>
    <n v="4"/>
    <n v="3"/>
    <n v="2"/>
    <n v="3317"/>
    <n v="2517"/>
    <n v="800"/>
    <n v="0.86199999999999999"/>
    <n v="3772"/>
    <n v="74"/>
    <n v="1"/>
    <n v="0.75900000000000001"/>
    <n v="2.1961999999999999E-4"/>
    <n v="0.99978"/>
    <s v="34.33652427787916"/>
    <s v="60.97949648630086"/>
    <s v="1.0542962817085952"/>
    <s v="15.652288537327673"/>
    <n v="715719033"/>
    <x v="0"/>
    <n v="3.4692350000000002E-4"/>
    <x v="0"/>
  </r>
  <r>
    <n v="37"/>
    <n v="0"/>
    <n v="3"/>
    <n v="2"/>
    <n v="2"/>
    <n v="4"/>
    <n v="0"/>
    <n v="36"/>
    <n v="3"/>
    <n v="2"/>
    <n v="3"/>
    <n v="6077"/>
    <n v="1397"/>
    <n v="4680"/>
    <n v="0.83399999999999996"/>
    <n v="2837"/>
    <n v="74"/>
    <n v="0.60899999999999999"/>
    <n v="0.23"/>
    <n v="1.9864000000000001E-4"/>
    <n v="0.99980000000000002"/>
    <s v="12.015765469576449"/>
    <s v="19.64968720424432"/>
    <s v="62.841185066930144"/>
    <s v="17.09417359483769"/>
    <n v="710227908"/>
    <x v="0"/>
    <n v="3.9160124000000001E-4"/>
    <x v="0"/>
  </r>
  <r>
    <n v="50"/>
    <n v="1"/>
    <n v="1"/>
    <n v="3"/>
    <n v="3"/>
    <n v="3"/>
    <n v="0"/>
    <n v="31"/>
    <n v="1"/>
    <n v="2"/>
    <n v="2"/>
    <n v="26840"/>
    <n v="769"/>
    <n v="26071"/>
    <n v="0.60899999999999999"/>
    <n v="7969"/>
    <n v="93"/>
    <n v="0.66100000000000003"/>
    <n v="2.9000000000000001E-2"/>
    <n v="1.0386E-4"/>
    <n v="0.99990000000000001"/>
    <s v="2.602604139942875"/>
    <s v="32.043771488720665"/>
    <s v="45.670792621016965"/>
    <s v="0.1130009588689143"/>
    <n v="778439883"/>
    <x v="0"/>
    <n v="6.7171139999999999E-4"/>
    <x v="0"/>
  </r>
  <r>
    <n v="52"/>
    <n v="1"/>
    <n v="4"/>
    <n v="3"/>
    <n v="1"/>
    <n v="2"/>
    <n v="0"/>
    <n v="44"/>
    <n v="6"/>
    <n v="3"/>
    <n v="4"/>
    <n v="4153"/>
    <n v="0"/>
    <n v="4153"/>
    <n v="0.434"/>
    <n v="1771"/>
    <n v="41"/>
    <n v="0.36699999999999999"/>
    <n v="0"/>
    <n v="5.2607999999999995E-4"/>
    <n v="0.99946999999999997"/>
    <s v="6.619308195337507"/>
    <s v="74.21761760424114"/>
    <s v="4.995155470289679"/>
    <s v="4.966809029874237"/>
    <n v="708741633"/>
    <x v="0"/>
    <n v="4.459518E-3"/>
    <x v="0"/>
  </r>
  <r>
    <n v="46"/>
    <n v="1"/>
    <n v="0"/>
    <n v="0"/>
    <n v="2"/>
    <n v="3"/>
    <n v="0"/>
    <n v="39"/>
    <n v="2"/>
    <n v="3"/>
    <n v="3"/>
    <n v="16983"/>
    <n v="0"/>
    <n v="16983"/>
    <n v="1.0609999999999999"/>
    <n v="8526"/>
    <n v="79"/>
    <n v="0.83699999999999997"/>
    <n v="0"/>
    <n v="0.99604999999999999"/>
    <n v="3.9454599999999996E-3"/>
    <s v="2.545055711208809"/>
    <s v="33.22379717632274"/>
    <s v="16.923235434603534"/>
    <s v="6.219545079196863"/>
    <n v="719767683"/>
    <x v="1"/>
    <n v="0.99455450000000001"/>
    <x v="1"/>
  </r>
  <r>
    <n v="49"/>
    <n v="1"/>
    <n v="3"/>
    <n v="0"/>
    <n v="0"/>
    <n v="1"/>
    <n v="0"/>
    <n v="31"/>
    <n v="2"/>
    <n v="3"/>
    <n v="1"/>
    <n v="2181"/>
    <n v="1218"/>
    <n v="963"/>
    <n v="0.75800000000000001"/>
    <n v="4997"/>
    <n v="89"/>
    <n v="0.71199999999999997"/>
    <n v="0.55800000000000005"/>
    <n v="1.0944E-4"/>
    <n v="0.99988999999999995"/>
    <s v="15.941917846454698"/>
    <s v="2.3188550540088904"/>
    <n v="34.513262171239802"/>
    <s v="16.77009248972113"/>
    <n v="788805858"/>
    <x v="0"/>
    <n v="3.2101269999999999E-4"/>
    <x v="0"/>
  </r>
  <r>
    <n v="48"/>
    <n v="0"/>
    <n v="3"/>
    <n v="5"/>
    <n v="1"/>
    <n v="4"/>
    <n v="0"/>
    <n v="38"/>
    <n v="1"/>
    <n v="3"/>
    <n v="2"/>
    <n v="4095"/>
    <n v="2517"/>
    <n v="1578"/>
    <n v="0.56999999999999995"/>
    <n v="4175"/>
    <n v="77"/>
    <n v="1.026"/>
    <n v="0.61499999999999999"/>
    <n v="1.9191E-4"/>
    <n v="0.99980999999999998"/>
    <s v="12.388194274061592"/>
    <s v="19.75179222369915"/>
    <s v="12.064241039450325"/>
    <s v="7.744223464133114"/>
    <n v="716351208"/>
    <x v="0"/>
    <n v="3.4692350000000002E-4"/>
    <x v="0"/>
  </r>
  <r>
    <n v="42"/>
    <n v="1"/>
    <n v="3"/>
    <n v="1"/>
    <n v="2"/>
    <n v="2"/>
    <n v="0"/>
    <n v="36"/>
    <n v="6"/>
    <n v="1"/>
    <n v="3"/>
    <n v="11535"/>
    <n v="1527"/>
    <n v="10008"/>
    <n v="0.66400000000000003"/>
    <n v="3730"/>
    <n v="67"/>
    <n v="0.71799999999999997"/>
    <n v="0.13200000000000001"/>
    <n v="1.3909999999999999E-4"/>
    <n v="0.99985999999999997"/>
    <s v="14.888515088890044"/>
    <s v="8.007910794134954"/>
    <s v="47.51991426531664"/>
    <s v="7.228928000737393"/>
    <n v="712942308"/>
    <x v="0"/>
    <n v="3.2101269999999999E-4"/>
    <x v="0"/>
  </r>
  <r>
    <n v="36"/>
    <n v="0"/>
    <n v="1"/>
    <n v="5"/>
    <n v="2"/>
    <n v="4"/>
    <n v="0"/>
    <n v="21"/>
    <n v="3"/>
    <n v="2"/>
    <n v="1"/>
    <n v="1937"/>
    <n v="733"/>
    <n v="1204"/>
    <n v="0.82599999999999996"/>
    <n v="4547"/>
    <n v="73"/>
    <n v="0.97299999999999998"/>
    <n v="0.378"/>
    <s v="6.6245e-05"/>
    <n v="0.99992999999999999"/>
    <n v="9.8177347160968598"/>
    <s v="89.20199422956944"/>
    <n v="97.077823825328096"/>
    <s v="13.123206166062763"/>
    <n v="721409358"/>
    <x v="0"/>
    <n v="5.4489190000000002E-4"/>
    <x v="0"/>
  </r>
  <r>
    <n v="45"/>
    <n v="1"/>
    <n v="4"/>
    <n v="2"/>
    <n v="2"/>
    <n v="3"/>
    <n v="0"/>
    <n v="33"/>
    <n v="3"/>
    <n v="5"/>
    <n v="3"/>
    <n v="31458"/>
    <n v="1202"/>
    <n v="30256"/>
    <n v="0.67300000000000004"/>
    <n v="4202"/>
    <n v="66"/>
    <n v="0.61"/>
    <n v="3.7999999999999999E-2"/>
    <n v="3.5434000000000003E-4"/>
    <n v="0.99965000000000004"/>
    <s v="37.85720032806208"/>
    <s v="39.34714157468294"/>
    <s v="19.73479419267854"/>
    <n v="20.189050498821398"/>
    <n v="718737708"/>
    <x v="0"/>
    <n v="3.6634394000000002E-4"/>
    <x v="0"/>
  </r>
  <r>
    <n v="54"/>
    <n v="0"/>
    <n v="0"/>
    <n v="2"/>
    <n v="0"/>
    <n v="4"/>
    <n v="3"/>
    <n v="36"/>
    <n v="4"/>
    <n v="3"/>
    <n v="1"/>
    <n v="12547"/>
    <n v="1378"/>
    <n v="11169"/>
    <n v="1.1200000000000001"/>
    <n v="3360"/>
    <n v="56"/>
    <n v="0.75"/>
    <n v="0.11"/>
    <s v="8.411e-05"/>
    <n v="0.99992000000000003"/>
    <s v="38.86464258167581"/>
    <s v="22.83034010668162"/>
    <s v="92.28883081169867"/>
    <s v="4.130123994393732"/>
    <n v="714516783"/>
    <x v="0"/>
    <n v="4.3678985E-4"/>
    <x v="0"/>
  </r>
  <r>
    <n v="38"/>
    <n v="0"/>
    <n v="2"/>
    <n v="5"/>
    <n v="2"/>
    <n v="5"/>
    <n v="0"/>
    <n v="28"/>
    <n v="2"/>
    <n v="3"/>
    <n v="3"/>
    <n v="5666"/>
    <n v="1393"/>
    <n v="4273"/>
    <n v="0.84"/>
    <n v="5015"/>
    <n v="90"/>
    <n v="0.91500000000000004"/>
    <n v="0.246"/>
    <n v="3.1104E-4"/>
    <n v="0.99968999999999997"/>
    <s v="14.909238930421417"/>
    <s v="31.834307275525894"/>
    <s v="73.12662250900736"/>
    <s v="22.25369294216942"/>
    <n v="719862258"/>
    <x v="0"/>
    <n v="3.2101269999999999E-4"/>
    <x v="0"/>
  </r>
  <r>
    <n v="43"/>
    <n v="0"/>
    <n v="2"/>
    <n v="2"/>
    <n v="1"/>
    <n v="4"/>
    <n v="0"/>
    <n v="35"/>
    <n v="3"/>
    <n v="3"/>
    <n v="2"/>
    <n v="2209"/>
    <n v="0"/>
    <n v="2209"/>
    <n v="0.749"/>
    <n v="4419"/>
    <n v="68"/>
    <n v="0.61899999999999999"/>
    <n v="0"/>
    <n v="1.7987E-4"/>
    <n v="0.99982000000000004"/>
    <s v="13.737143765354112"/>
    <n v="41.342437941732001"/>
    <s v="29.44349470893049"/>
    <s v="15.608991977856093"/>
    <n v="712347258"/>
    <x v="0"/>
    <n v="7.686247E-4"/>
    <x v="0"/>
  </r>
  <r>
    <n v="47"/>
    <n v="0"/>
    <n v="4"/>
    <n v="5"/>
    <n v="1"/>
    <n v="1"/>
    <n v="1"/>
    <n v="34"/>
    <n v="2"/>
    <n v="3"/>
    <n v="3"/>
    <n v="23981"/>
    <n v="0"/>
    <n v="23981"/>
    <n v="0.19600000000000001"/>
    <n v="4536"/>
    <n v="61"/>
    <n v="0.60499999999999998"/>
    <n v="0"/>
    <n v="0.99734999999999996"/>
    <n v="2.6529000000000001E-3"/>
    <s v="40.173703365482965"/>
    <s v="81.50217349824557"/>
    <s v="117.52798825504416"/>
    <s v="1.1265781982972274"/>
    <n v="717571683"/>
    <x v="1"/>
    <n v="0.99233539999999998"/>
    <x v="1"/>
  </r>
  <r>
    <n v="60"/>
    <n v="1"/>
    <n v="0"/>
    <n v="5"/>
    <n v="1"/>
    <n v="4"/>
    <n v="0"/>
    <n v="52"/>
    <n v="5"/>
    <n v="1"/>
    <n v="2"/>
    <n v="2595"/>
    <n v="2189"/>
    <n v="406"/>
    <n v="0.27600000000000002"/>
    <n v="1562"/>
    <n v="27"/>
    <n v="0.17399999999999999"/>
    <n v="0.84399999999999997"/>
    <s v="4.8595e-05"/>
    <n v="0.99995000000000001"/>
    <s v="34.10894769214543"/>
    <n v="41.526682729561003"/>
    <s v="51.53655314790253"/>
    <s v="25.841999304013648"/>
    <n v="712868733"/>
    <x v="0"/>
    <n v="1.2315542E-3"/>
    <x v="0"/>
  </r>
  <r>
    <n v="27"/>
    <n v="0"/>
    <n v="1"/>
    <n v="3"/>
    <n v="1"/>
    <n v="5"/>
    <n v="0"/>
    <n v="15"/>
    <n v="2"/>
    <n v="1"/>
    <n v="2"/>
    <n v="7469"/>
    <n v="0"/>
    <n v="7469"/>
    <n v="0.68799999999999994"/>
    <n v="16730"/>
    <n v="122"/>
    <n v="0.71799999999999997"/>
    <n v="0"/>
    <s v="5.0256e-05"/>
    <n v="0.99995000000000001"/>
    <s v="31.711262504161738"/>
    <s v="107.80609403576202"/>
    <s v="10.402699085969749"/>
    <s v="2.476590762833849"/>
    <n v="712438308"/>
    <x v="0"/>
    <n v="7.5047980000000002E-4"/>
    <x v="0"/>
  </r>
  <r>
    <n v="52"/>
    <n v="1"/>
    <n v="2"/>
    <n v="2"/>
    <n v="0"/>
    <n v="3"/>
    <n v="3"/>
    <n v="44"/>
    <n v="4"/>
    <n v="3"/>
    <n v="2"/>
    <n v="34516"/>
    <n v="751"/>
    <n v="33765"/>
    <n v="0.35699999999999998"/>
    <n v="5806"/>
    <n v="40"/>
    <n v="0.42899999999999999"/>
    <n v="2.1999999999999999E-2"/>
    <n v="0.99389000000000005"/>
    <n v="6.11E-3"/>
    <s v="0.9090637116890752"/>
    <s v="50.28307160357015"/>
    <s v="11.712037466801103"/>
    <s v="1.093354134298674"/>
    <n v="718376583"/>
    <x v="1"/>
    <n v="0.99763774999999999"/>
    <x v="1"/>
  </r>
  <r>
    <n v="62"/>
    <n v="0"/>
    <n v="0"/>
    <n v="1"/>
    <n v="2"/>
    <n v="4"/>
    <n v="0"/>
    <n v="50"/>
    <n v="6"/>
    <n v="3"/>
    <n v="5"/>
    <n v="2936"/>
    <n v="326"/>
    <n v="2610"/>
    <n v="0.93500000000000005"/>
    <n v="2692"/>
    <n v="29"/>
    <n v="0.52600000000000002"/>
    <n v="0.111"/>
    <n v="0.99909999999999999"/>
    <n v="9.0052999999999997E-4"/>
    <s v="16.805277876199554"/>
    <s v="18.489536305161245"/>
    <s v="78.69989127303097"/>
    <n v="0.218176309941323"/>
    <n v="789713208"/>
    <x v="1"/>
    <n v="0.99756634"/>
    <x v="1"/>
  </r>
  <r>
    <n v="57"/>
    <n v="1"/>
    <n v="3"/>
    <n v="2"/>
    <n v="2"/>
    <n v="1"/>
    <n v="0"/>
    <n v="48"/>
    <n v="3"/>
    <n v="3"/>
    <n v="0"/>
    <n v="9426"/>
    <n v="1574"/>
    <n v="7852"/>
    <n v="0.79100000000000004"/>
    <n v="4212"/>
    <n v="75"/>
    <n v="0.53100000000000003"/>
    <n v="0.16700000000000001"/>
    <s v="6.8853e-05"/>
    <n v="0.99992999999999999"/>
    <s v="8.704850879388472"/>
    <s v="8.702708553464813"/>
    <s v="37.33957463034843"/>
    <n v="2.8872772641902298"/>
    <n v="712052058"/>
    <x v="0"/>
    <n v="3.2914013999999999E-4"/>
    <x v="0"/>
  </r>
  <r>
    <n v="48"/>
    <n v="1"/>
    <n v="2"/>
    <n v="3"/>
    <n v="1"/>
    <n v="3"/>
    <n v="0"/>
    <n v="32"/>
    <n v="1"/>
    <n v="2"/>
    <n v="4"/>
    <n v="16362"/>
    <n v="2268"/>
    <n v="14094"/>
    <n v="0.84099999999999997"/>
    <n v="2228"/>
    <n v="37"/>
    <n v="0.85"/>
    <n v="0.13900000000000001"/>
    <n v="0.99685999999999997"/>
    <n v="3.1390900000000002E-3"/>
    <s v="3.023056682894796"/>
    <s v="3.036427137409212"/>
    <s v="16.86988886383331"/>
    <s v="4.389614138455071"/>
    <n v="718791708"/>
    <x v="1"/>
    <n v="0.99435543999999998"/>
    <x v="1"/>
  </r>
  <r>
    <n v="36"/>
    <n v="0"/>
    <n v="3"/>
    <n v="6"/>
    <n v="1"/>
    <n v="1"/>
    <n v="0"/>
    <n v="22"/>
    <n v="5"/>
    <n v="3"/>
    <n v="3"/>
    <n v="12958"/>
    <n v="2273"/>
    <n v="10685"/>
    <n v="0.60799999999999998"/>
    <n v="15681"/>
    <n v="96"/>
    <n v="0.627"/>
    <n v="0.17499999999999999"/>
    <n v="3.4503000000000002E-4"/>
    <n v="0.99965000000000004"/>
    <s v="24.81155139599961"/>
    <s v="36.91283758907105"/>
    <s v="39.51190415950854"/>
    <s v="1.412954415956159"/>
    <n v="712296408"/>
    <x v="0"/>
    <n v="3.5533762999999998E-4"/>
    <x v="0"/>
  </r>
  <r>
    <n v="40"/>
    <n v="1"/>
    <n v="2"/>
    <n v="2"/>
    <n v="0"/>
    <n v="2"/>
    <n v="0"/>
    <n v="36"/>
    <n v="5"/>
    <n v="2"/>
    <n v="4"/>
    <n v="8624"/>
    <n v="0"/>
    <n v="8624"/>
    <n v="0.57399999999999995"/>
    <n v="2428"/>
    <n v="53"/>
    <n v="0.89300000000000002"/>
    <n v="0"/>
    <n v="3.2655999999999999E-4"/>
    <n v="0.99966999999999995"/>
    <s v="18.756972930762437"/>
    <s v="47.66302066825287"/>
    <s v="30.736031268437014"/>
    <s v="13.048461476306189"/>
    <n v="720568083"/>
    <x v="0"/>
    <n v="2.5588519999999999E-3"/>
    <x v="0"/>
  </r>
  <r>
    <n v="48"/>
    <n v="0"/>
    <n v="3"/>
    <n v="0"/>
    <n v="2"/>
    <n v="1"/>
    <n v="0"/>
    <n v="37"/>
    <n v="6"/>
    <n v="3"/>
    <n v="1"/>
    <n v="1438.3"/>
    <n v="0"/>
    <n v="1438.3"/>
    <n v="0.77700000000000002"/>
    <n v="5035"/>
    <n v="76"/>
    <n v="0.76700000000000002"/>
    <n v="0"/>
    <n v="1.0944E-4"/>
    <n v="0.99988999999999995"/>
    <s v="31.364917417837304"/>
    <s v="22.439942516971573"/>
    <s v="141.8086325400325"/>
    <s v="19.72829764987273"/>
    <n v="718205283"/>
    <x v="0"/>
    <n v="6.9517245999999998E-4"/>
    <x v="0"/>
  </r>
  <r>
    <n v="43"/>
    <n v="0"/>
    <n v="4"/>
    <n v="2"/>
    <n v="2"/>
    <n v="1"/>
    <n v="0"/>
    <n v="24"/>
    <n v="6"/>
    <n v="1"/>
    <n v="1"/>
    <n v="6475"/>
    <n v="1686"/>
    <n v="4789"/>
    <n v="0.69899999999999995"/>
    <n v="3837"/>
    <n v="65"/>
    <n v="0.66700000000000004"/>
    <n v="0.26"/>
    <s v="3.4833e-05"/>
    <n v="0.99997000000000003"/>
    <s v="10.682254292817465"/>
    <n v="0.80784822995834704"/>
    <s v="55.64373728070745"/>
    <s v="8.471668254303802"/>
    <n v="720642633"/>
    <x v="0"/>
    <n v="3.2890364000000001E-4"/>
    <x v="0"/>
  </r>
  <r>
    <n v="51"/>
    <n v="1"/>
    <n v="0"/>
    <n v="2"/>
    <n v="1"/>
    <n v="0"/>
    <n v="0"/>
    <n v="36"/>
    <n v="4"/>
    <n v="2"/>
    <n v="3"/>
    <n v="18733"/>
    <n v="1292"/>
    <n v="17441"/>
    <n v="0.442"/>
    <n v="5080"/>
    <n v="85"/>
    <n v="0.49099999999999999"/>
    <n v="6.9000000000000006E-2"/>
    <n v="1.6427999999999999E-4"/>
    <n v="0.99983999999999995"/>
    <s v="63.62710671619492"/>
    <s v="45.49971496412457"/>
    <s v="14.41081343860377"/>
    <n v="0.1976458063838"/>
    <n v="716841783"/>
    <x v="0"/>
    <n v="3.9788143000000001E-4"/>
    <x v="0"/>
  </r>
  <r>
    <n v="36"/>
    <n v="0"/>
    <n v="2"/>
    <n v="5"/>
    <n v="1"/>
    <n v="5"/>
    <n v="0"/>
    <n v="31"/>
    <n v="5"/>
    <n v="3"/>
    <n v="1"/>
    <n v="3002"/>
    <n v="1002"/>
    <n v="2000"/>
    <n v="1.0329999999999999"/>
    <n v="2624"/>
    <n v="46"/>
    <n v="1"/>
    <n v="0.33400000000000002"/>
    <n v="1.1153E-4"/>
    <n v="0.99988999999999995"/>
    <s v="16.503764169495625"/>
    <s v="36.004148344327874"/>
    <s v="29.63838687817288"/>
    <s v="7.238117521113153"/>
    <n v="814364808"/>
    <x v="0"/>
    <n v="1.1603859E-3"/>
    <x v="0"/>
  </r>
  <r>
    <n v="52"/>
    <n v="1"/>
    <n v="2"/>
    <n v="3"/>
    <n v="0"/>
    <n v="2"/>
    <n v="0"/>
    <n v="42"/>
    <n v="1"/>
    <n v="3"/>
    <n v="2"/>
    <n v="7261"/>
    <n v="1443"/>
    <n v="5818"/>
    <n v="0.97199999999999998"/>
    <n v="14533"/>
    <n v="108"/>
    <n v="0.56499999999999995"/>
    <n v="0.19900000000000001"/>
    <n v="1.7485999999999999E-4"/>
    <n v="0.99983"/>
    <s v="9.652217643906075"/>
    <s v="44.32859671216457"/>
    <s v="58.66101022039672"/>
    <s v="13.656462560520776"/>
    <n v="719248158"/>
    <x v="0"/>
    <n v="3.7359665000000002E-4"/>
    <x v="0"/>
  </r>
  <r>
    <n v="40"/>
    <n v="1"/>
    <n v="3"/>
    <n v="2"/>
    <n v="1"/>
    <n v="2"/>
    <n v="0"/>
    <n v="29"/>
    <n v="6"/>
    <n v="3"/>
    <n v="2"/>
    <n v="10529"/>
    <n v="0"/>
    <n v="10529"/>
    <n v="0.72899999999999998"/>
    <n v="4583"/>
    <n v="87"/>
    <n v="0.85099999999999998"/>
    <n v="0"/>
    <n v="1.8665000000000001E-4"/>
    <n v="0.99980999999999998"/>
    <s v="1.185974510146968"/>
    <s v="23.430917714502137"/>
    <s v="103.52726147097913"/>
    <s v="18.15667527222556"/>
    <n v="717099408"/>
    <x v="0"/>
    <n v="6.9517245999999998E-4"/>
    <x v="0"/>
  </r>
  <r>
    <n v="49"/>
    <n v="0"/>
    <n v="4"/>
    <n v="6"/>
    <n v="0"/>
    <n v="4"/>
    <n v="0"/>
    <n v="43"/>
    <n v="5"/>
    <n v="1"/>
    <n v="2"/>
    <n v="3232"/>
    <n v="824"/>
    <n v="2408"/>
    <n v="0.79600000000000004"/>
    <n v="3915"/>
    <n v="74"/>
    <n v="0.64400000000000002"/>
    <n v="0.255"/>
    <s v="6.3492e-05"/>
    <n v="0.99994000000000005"/>
    <s v="6.455125728159985"/>
    <s v="1.6001761487278872"/>
    <s v="136.90577926953094"/>
    <n v="18.505404323669499"/>
    <n v="797238108"/>
    <x v="0"/>
    <n v="5.2322453000000003E-4"/>
    <x v="0"/>
  </r>
  <r>
    <n v="43"/>
    <n v="1"/>
    <n v="3"/>
    <n v="2"/>
    <n v="3"/>
    <n v="1"/>
    <n v="0"/>
    <n v="36"/>
    <n v="2"/>
    <n v="3"/>
    <n v="3"/>
    <n v="4878"/>
    <n v="2098"/>
    <n v="2780"/>
    <n v="0.66500000000000004"/>
    <n v="5021"/>
    <n v="84"/>
    <n v="0.68"/>
    <n v="0.43"/>
    <n v="3.1389999999999999E-4"/>
    <n v="0.99968999999999997"/>
    <s v="33.27758088883369"/>
    <s v="42.56005931769919"/>
    <s v="43.57949241206605"/>
    <s v="19.30969828285683"/>
    <n v="789579033"/>
    <x v="0"/>
    <n v="3.2101269999999999E-4"/>
    <x v="0"/>
  </r>
  <r>
    <n v="53"/>
    <n v="0"/>
    <n v="3"/>
    <n v="2"/>
    <n v="1"/>
    <n v="4"/>
    <n v="0"/>
    <n v="47"/>
    <n v="5"/>
    <n v="6"/>
    <n v="2"/>
    <n v="2759"/>
    <n v="2223"/>
    <n v="536"/>
    <n v="1.32"/>
    <n v="2093"/>
    <n v="42"/>
    <n v="1"/>
    <n v="0.80600000000000005"/>
    <n v="1.4734000000000001E-4"/>
    <n v="0.99985000000000002"/>
    <s v="1.050285450919234"/>
    <s v="17.28481167768347"/>
    <s v="87.04524013168198"/>
    <s v="14.788848160563033"/>
    <n v="783542133"/>
    <x v="0"/>
    <n v="1.0481173E-3"/>
    <x v="0"/>
  </r>
  <r>
    <n v="60"/>
    <n v="1"/>
    <n v="0"/>
    <n v="1"/>
    <n v="3"/>
    <n v="1"/>
    <n v="3"/>
    <n v="53"/>
    <n v="4"/>
    <n v="2"/>
    <n v="1"/>
    <n v="16541"/>
    <n v="1428"/>
    <n v="15113"/>
    <n v="0.84599999999999997"/>
    <n v="4352"/>
    <n v="82"/>
    <n v="0.90700000000000003"/>
    <n v="8.5999999999999993E-2"/>
    <s v="7.7018e-05"/>
    <n v="0.99992000000000003"/>
    <s v="3.5802823416738243"/>
    <s v="19.442539340519392"/>
    <n v="82.185408564969805"/>
    <s v="10.219403713411344"/>
    <n v="709873683"/>
    <x v="0"/>
    <n v="3.3022385E-4"/>
    <x v="0"/>
  </r>
  <r>
    <n v="44"/>
    <n v="1"/>
    <n v="4"/>
    <n v="5"/>
    <n v="2"/>
    <n v="3"/>
    <n v="0"/>
    <n v="31"/>
    <n v="3"/>
    <n v="2"/>
    <n v="3"/>
    <n v="19719"/>
    <n v="1303"/>
    <n v="18416"/>
    <n v="0.91"/>
    <n v="8385"/>
    <n v="97"/>
    <n v="0.56499999999999995"/>
    <n v="6.6000000000000003E-2"/>
    <n v="2.0642999999999999E-4"/>
    <n v="0.99978999999999996"/>
    <s v="24.71914624907573"/>
    <s v="21.11252343907636"/>
    <s v="23.473960772640098"/>
    <s v="23.356843486283285"/>
    <n v="711082908"/>
    <x v="0"/>
    <n v="4.4221846999999999E-4"/>
    <x v="0"/>
  </r>
  <r>
    <n v="57"/>
    <n v="0"/>
    <n v="1"/>
    <n v="3"/>
    <n v="1"/>
    <n v="4"/>
    <n v="0"/>
    <n v="50"/>
    <n v="3"/>
    <n v="2"/>
    <n v="2"/>
    <n v="1609"/>
    <n v="0"/>
    <n v="1609"/>
    <n v="0.66900000000000004"/>
    <n v="4770"/>
    <n v="85"/>
    <n v="0.7"/>
    <n v="0"/>
    <n v="1.0386E-4"/>
    <n v="0.99990000000000001"/>
    <s v="3.505719264062067"/>
    <n v="8.0830190969329294"/>
    <s v="87.61639836202174"/>
    <s v="21.870179775320985"/>
    <n v="751350558"/>
    <x v="0"/>
    <n v="6.9517245999999998E-4"/>
    <x v="0"/>
  </r>
  <r>
    <n v="57"/>
    <n v="0"/>
    <n v="2"/>
    <n v="2"/>
    <n v="1"/>
    <n v="4"/>
    <n v="0"/>
    <n v="48"/>
    <n v="5"/>
    <n v="2"/>
    <n v="2"/>
    <n v="2436"/>
    <n v="680"/>
    <n v="1756"/>
    <n v="1.19"/>
    <n v="1570"/>
    <n v="29"/>
    <n v="0.61099999999999999"/>
    <n v="0.27900000000000003"/>
    <n v="1.1382E-4"/>
    <n v="0.99988999999999995"/>
    <s v="7.399186845418165"/>
    <s v="13.783697351271355"/>
    <s v="39.85002601432119"/>
    <s v="7.691328677355996"/>
    <n v="712396908"/>
    <x v="0"/>
    <n v="1.8570748000000001E-3"/>
    <x v="0"/>
  </r>
  <r>
    <n v="64"/>
    <n v="1"/>
    <n v="0"/>
    <n v="0"/>
    <n v="2"/>
    <n v="1"/>
    <n v="0"/>
    <n v="53"/>
    <n v="6"/>
    <n v="3"/>
    <n v="2"/>
    <n v="7362"/>
    <n v="1907"/>
    <n v="5455"/>
    <n v="0.69299999999999995"/>
    <n v="4065"/>
    <n v="65"/>
    <n v="0.71099999999999997"/>
    <n v="0.25900000000000001"/>
    <n v="1.5007E-4"/>
    <n v="0.99985000000000002"/>
    <s v="24.56017281856405"/>
    <s v="17.075551456686487"/>
    <s v="25.42486747296606"/>
    <s v="19.226747120203783"/>
    <n v="708252108"/>
    <x v="0"/>
    <n v="3.2890364000000001E-4"/>
    <x v="0"/>
  </r>
  <r>
    <n v="46"/>
    <n v="0"/>
    <n v="3"/>
    <n v="0"/>
    <n v="1"/>
    <n v="4"/>
    <n v="0"/>
    <n v="40"/>
    <n v="6"/>
    <n v="4"/>
    <n v="2"/>
    <n v="1438.3"/>
    <n v="0"/>
    <n v="1438.3"/>
    <n v="0.71399999999999997"/>
    <n v="4283"/>
    <n v="88"/>
    <n v="0.83299999999999996"/>
    <n v="0"/>
    <n v="2.1929999999999999E-4"/>
    <n v="0.99978"/>
    <s v="20.893017012433454"/>
    <s v="21.791967877556868"/>
    <s v="17.04224197898657"/>
    <s v="20.933271258092255"/>
    <n v="767815233"/>
    <x v="0"/>
    <n v="6.9517245999999998E-4"/>
    <x v="0"/>
  </r>
  <r>
    <n v="53"/>
    <n v="1"/>
    <n v="2"/>
    <n v="1"/>
    <n v="1"/>
    <n v="2"/>
    <n v="0"/>
    <n v="40"/>
    <n v="3"/>
    <n v="3"/>
    <n v="3"/>
    <n v="11262"/>
    <n v="1435"/>
    <n v="9827"/>
    <n v="0.73499999999999999"/>
    <n v="2165"/>
    <n v="61"/>
    <n v="0.64900000000000002"/>
    <n v="0.127"/>
    <n v="4.3772E-4"/>
    <n v="0.99956"/>
    <s v="11.26664651393612"/>
    <s v="48.900926062365166"/>
    <s v="39.484473476697616"/>
    <s v="25.71726944701629"/>
    <n v="780326883"/>
    <x v="0"/>
    <n v="4.3839816000000001E-4"/>
    <x v="0"/>
  </r>
  <r>
    <n v="53"/>
    <n v="1"/>
    <n v="2"/>
    <n v="0"/>
    <n v="2"/>
    <n v="3"/>
    <n v="0"/>
    <n v="42"/>
    <n v="4"/>
    <n v="2"/>
    <n v="2"/>
    <n v="1575"/>
    <n v="0"/>
    <n v="1575"/>
    <n v="1.32"/>
    <n v="4241"/>
    <n v="77"/>
    <n v="0.97399999999999998"/>
    <n v="0"/>
    <n v="1.1066E-4"/>
    <n v="0.99988999999999995"/>
    <s v="24.90575920991133"/>
    <s v="81.38518081647416"/>
    <n v="96.4371510571454"/>
    <s v="14.684077509417632"/>
    <n v="780710433"/>
    <x v="0"/>
    <n v="7.1297199999999998E-4"/>
    <x v="0"/>
  </r>
  <r>
    <n v="37"/>
    <n v="0"/>
    <n v="2"/>
    <n v="6"/>
    <n v="2"/>
    <n v="4"/>
    <n v="0"/>
    <n v="21"/>
    <n v="1"/>
    <n v="1"/>
    <n v="1"/>
    <n v="3967"/>
    <n v="1476"/>
    <n v="2491"/>
    <n v="0.626"/>
    <n v="4490"/>
    <n v="66"/>
    <n v="0.83299999999999996"/>
    <n v="0.372"/>
    <s v="3.6508e-05"/>
    <n v="0.99995999999999996"/>
    <s v="34.50954690750035"/>
    <s v="23.37526226813938"/>
    <s v="71.55664420890041"/>
    <s v="3.3915360621246027"/>
    <n v="709415583"/>
    <x v="0"/>
    <n v="3.2101269999999999E-4"/>
    <x v="0"/>
  </r>
  <r>
    <n v="44"/>
    <n v="1"/>
    <n v="5"/>
    <n v="3"/>
    <n v="2"/>
    <n v="3"/>
    <n v="0"/>
    <n v="37"/>
    <n v="4"/>
    <n v="2"/>
    <n v="3"/>
    <n v="15638"/>
    <n v="1729"/>
    <n v="13909"/>
    <n v="0.84299999999999997"/>
    <n v="4396"/>
    <n v="83"/>
    <n v="0.56599999999999995"/>
    <n v="0.111"/>
    <n v="1.9212999999999999E-4"/>
    <n v="0.99980999999999998"/>
    <s v="1.5425664083464805"/>
    <s v="31.32470681926638"/>
    <s v="55.80606688991176"/>
    <s v="10.84920095690626"/>
    <n v="758965158"/>
    <x v="0"/>
    <n v="3.2914013999999999E-4"/>
    <x v="0"/>
  </r>
  <r>
    <n v="55"/>
    <n v="0"/>
    <n v="2"/>
    <n v="2"/>
    <n v="2"/>
    <n v="4"/>
    <n v="0"/>
    <n v="43"/>
    <n v="1"/>
    <n v="3"/>
    <n v="1"/>
    <n v="1745"/>
    <n v="1168"/>
    <n v="577"/>
    <n v="0.70099999999999996"/>
    <n v="4562"/>
    <n v="67"/>
    <n v="0.63400000000000001"/>
    <n v="0.66900000000000004"/>
    <n v="1.0848E-4"/>
    <n v="0.99988999999999995"/>
    <s v="24.43697088446308"/>
    <s v="64.56413180434078"/>
    <s v="7.654315418203511"/>
    <s v="12.349009443450258"/>
    <n v="717651333"/>
    <x v="0"/>
    <n v="3.2914013999999999E-4"/>
    <x v="0"/>
  </r>
  <r>
    <n v="51"/>
    <n v="0"/>
    <n v="1"/>
    <n v="0"/>
    <n v="0"/>
    <n v="4"/>
    <n v="0"/>
    <n v="42"/>
    <n v="3"/>
    <n v="2"/>
    <n v="3"/>
    <n v="4002"/>
    <n v="1669"/>
    <n v="2333"/>
    <n v="0.70199999999999996"/>
    <n v="2024"/>
    <n v="53"/>
    <n v="1.1200000000000001"/>
    <n v="0.41699999999999998"/>
    <n v="1.7469999999999999E-4"/>
    <n v="0.99983"/>
    <s v="38.51635504629571"/>
    <s v="15.964392250314209"/>
    <s v="122.84126712076208"/>
    <n v="8.1324211347677497"/>
    <n v="711226758"/>
    <x v="0"/>
    <n v="7.9477094999999998E-4"/>
    <x v="0"/>
  </r>
  <r>
    <n v="37"/>
    <n v="1"/>
    <n v="3"/>
    <n v="3"/>
    <n v="1"/>
    <n v="2"/>
    <n v="0"/>
    <n v="32"/>
    <n v="6"/>
    <n v="2"/>
    <n v="2"/>
    <n v="2253"/>
    <n v="1667"/>
    <n v="586"/>
    <n v="0.88400000000000001"/>
    <n v="1641"/>
    <n v="45"/>
    <n v="0.66700000000000004"/>
    <n v="0.74"/>
    <n v="1.1482E-4"/>
    <n v="0.99988999999999995"/>
    <s v="2.6577432121407014"/>
    <n v="8.9587881143148405"/>
    <n v="75.279750338782407"/>
    <n v="16.194719097795801"/>
    <n v="818701383"/>
    <x v="0"/>
    <n v="1.0337284E-3"/>
    <x v="0"/>
  </r>
  <r>
    <n v="26"/>
    <n v="1"/>
    <n v="0"/>
    <n v="4"/>
    <n v="1"/>
    <n v="1"/>
    <n v="0"/>
    <n v="36"/>
    <n v="6"/>
    <n v="1"/>
    <n v="4"/>
    <n v="2773"/>
    <n v="2080"/>
    <n v="693"/>
    <n v="0.69499999999999995"/>
    <n v="3567"/>
    <n v="73"/>
    <n v="0.622"/>
    <n v="0.75"/>
    <n v="1.5957999999999999E-4"/>
    <n v="0.99983999999999995"/>
    <s v="34.21311165791407"/>
    <s v="3.022128261264001"/>
    <s v="66.78783065033697"/>
    <s v="4.127507071749064"/>
    <n v="714580158"/>
    <x v="0"/>
    <n v="3.2914013999999999E-4"/>
    <x v="0"/>
  </r>
  <r>
    <n v="54"/>
    <n v="1"/>
    <n v="4"/>
    <n v="5"/>
    <n v="2"/>
    <n v="3"/>
    <n v="0"/>
    <n v="42"/>
    <n v="5"/>
    <n v="2"/>
    <n v="2"/>
    <n v="11742"/>
    <n v="0"/>
    <n v="11742"/>
    <n v="0.621"/>
    <n v="4053"/>
    <n v="70"/>
    <n v="0.55600000000000005"/>
    <n v="0"/>
    <n v="1.2274000000000001E-4"/>
    <n v="0.99987999999999999"/>
    <s v="10.88914287991522"/>
    <s v="40.23357740633892"/>
    <s v="15.656356684926656"/>
    <s v="2.088466375244774"/>
    <n v="771433608"/>
    <x v="0"/>
    <n v="7.9661230000000003E-4"/>
    <x v="0"/>
  </r>
  <r>
    <n v="41"/>
    <n v="0"/>
    <n v="3"/>
    <n v="5"/>
    <n v="0"/>
    <n v="4"/>
    <n v="0"/>
    <n v="30"/>
    <n v="5"/>
    <n v="3"/>
    <n v="4"/>
    <n v="7764"/>
    <n v="621"/>
    <n v="7143"/>
    <n v="0.67"/>
    <n v="3955"/>
    <n v="72"/>
    <n v="0.75600000000000001"/>
    <n v="0.08"/>
    <n v="5.5051999999999998E-4"/>
    <n v="0.99944999999999995"/>
    <s v="36.59339579708175"/>
    <s v="45.85228277111303"/>
    <s v="118.22169950226372"/>
    <s v="22.75406248956548"/>
    <n v="715691808"/>
    <x v="0"/>
    <n v="5.7517769999999998E-4"/>
    <x v="0"/>
  </r>
  <r>
    <n v="47"/>
    <n v="1"/>
    <n v="3"/>
    <n v="2"/>
    <n v="2"/>
    <n v="2"/>
    <n v="0"/>
    <n v="36"/>
    <n v="4"/>
    <n v="2"/>
    <n v="2"/>
    <n v="2926"/>
    <n v="0"/>
    <n v="2926"/>
    <n v="0.67600000000000005"/>
    <n v="1304"/>
    <n v="24"/>
    <n v="0.84599999999999997"/>
    <n v="0"/>
    <n v="1.1811000000000001E-4"/>
    <n v="0.99987999999999999"/>
    <s v="27.01875512704113"/>
    <s v="47.71154318005716"/>
    <s v="96.85960269988476"/>
    <s v="5.127386323402795"/>
    <n v="711318033"/>
    <x v="0"/>
    <n v="3.5235758E-3"/>
    <x v="0"/>
  </r>
  <r>
    <n v="58"/>
    <n v="1"/>
    <n v="1"/>
    <n v="2"/>
    <n v="1"/>
    <n v="3"/>
    <n v="0"/>
    <n v="42"/>
    <n v="4"/>
    <n v="3"/>
    <n v="1"/>
    <n v="12421"/>
    <n v="2517"/>
    <n v="9904"/>
    <n v="0.73"/>
    <n v="1913"/>
    <n v="49"/>
    <n v="0.69"/>
    <n v="0.20300000000000001"/>
    <n v="1.0182E-4"/>
    <n v="0.99990000000000001"/>
    <s v="11.257089067733675"/>
    <s v="47.20184575955163"/>
    <s v="15.666305448304396"/>
    <n v="8.3459414008525403"/>
    <n v="719020983"/>
    <x v="0"/>
    <n v="9.8181159999999996E-4"/>
    <x v="0"/>
  </r>
  <r>
    <n v="59"/>
    <n v="0"/>
    <n v="1"/>
    <n v="5"/>
    <n v="1"/>
    <n v="1"/>
    <n v="0"/>
    <n v="36"/>
    <n v="2"/>
    <n v="2"/>
    <n v="3"/>
    <n v="3720"/>
    <n v="1569"/>
    <n v="2151"/>
    <n v="0.89100000000000001"/>
    <n v="16208"/>
    <n v="129"/>
    <n v="0.79200000000000004"/>
    <n v="0.42199999999999999"/>
    <n v="1.8474999999999999E-4"/>
    <n v="0.99982000000000004"/>
    <s v="45.75673807289906"/>
    <s v="1.269445024076476"/>
    <s v="1.865851709921713"/>
    <s v="6.2330089617574025"/>
    <n v="716748483"/>
    <x v="0"/>
    <n v="3.4777042999999998E-4"/>
    <x v="0"/>
  </r>
  <r>
    <n v="54"/>
    <n v="1"/>
    <n v="1"/>
    <n v="5"/>
    <n v="2"/>
    <n v="0"/>
    <n v="0"/>
    <n v="36"/>
    <n v="5"/>
    <n v="1"/>
    <n v="2"/>
    <n v="34516"/>
    <n v="0"/>
    <n v="34516"/>
    <n v="0.45200000000000001"/>
    <n v="3918"/>
    <n v="67"/>
    <n v="1.0940000000000001"/>
    <n v="0"/>
    <s v="5.3155e-05"/>
    <n v="0.99995000000000001"/>
    <s v="26.930114052749165"/>
    <s v="38.154636059726265"/>
    <s v="32.91034396169371"/>
    <s v="16.470451117494775"/>
    <n v="720616908"/>
    <x v="0"/>
    <n v="7.4965424999999997E-4"/>
    <x v="0"/>
  </r>
  <r>
    <n v="43"/>
    <n v="0"/>
    <n v="3"/>
    <n v="2"/>
    <n v="1"/>
    <n v="4"/>
    <n v="0"/>
    <n v="38"/>
    <n v="2"/>
    <n v="2"/>
    <n v="2"/>
    <n v="1530"/>
    <n v="0"/>
    <n v="1530"/>
    <n v="0.64200000000000002"/>
    <n v="5138"/>
    <n v="84"/>
    <n v="0.68"/>
    <n v="0"/>
    <n v="1.1811000000000001E-4"/>
    <n v="0.99987999999999999"/>
    <s v="17.50191362863678"/>
    <s v="59.51130330085846"/>
    <n v="21.434648921826899"/>
    <s v="5.3967674844843465"/>
    <n v="819214233"/>
    <x v="0"/>
    <n v="6.9517245999999998E-4"/>
    <x v="0"/>
  </r>
  <r>
    <n v="40"/>
    <n v="0"/>
    <n v="3"/>
    <n v="3"/>
    <n v="2"/>
    <n v="4"/>
    <n v="0"/>
    <n v="35"/>
    <n v="6"/>
    <n v="3"/>
    <n v="5"/>
    <n v="5492"/>
    <n v="1573"/>
    <n v="3919"/>
    <n v="0.63600000000000001"/>
    <n v="2416"/>
    <n v="45"/>
    <n v="0.66700000000000004"/>
    <n v="0.28599999999999998"/>
    <n v="0.99888999999999994"/>
    <n v="1.1083499999999999E-3"/>
    <s v="3.8374538573978665"/>
    <s v="40.98235349070675"/>
    <n v="70.888344171264905"/>
    <s v="27.978841099829147"/>
    <n v="711412533"/>
    <x v="1"/>
    <n v="0.99217767000000001"/>
    <x v="1"/>
  </r>
  <r>
    <n v="65"/>
    <n v="1"/>
    <n v="0"/>
    <n v="3"/>
    <n v="2"/>
    <n v="1"/>
    <n v="0"/>
    <n v="36"/>
    <n v="6"/>
    <n v="4"/>
    <n v="1"/>
    <n v="3305"/>
    <n v="1909"/>
    <n v="1396"/>
    <n v="0.371"/>
    <n v="4218"/>
    <n v="72"/>
    <n v="0.63600000000000001"/>
    <n v="0.57799999999999996"/>
    <n v="1.0936E-4"/>
    <n v="0.99988999999999995"/>
    <s v="75.31007174614426"/>
    <s v="41.19837004924551"/>
    <s v="142.45961849567388"/>
    <s v="4.989265443366411"/>
    <n v="717380133"/>
    <x v="0"/>
    <n v="3.2914013999999999E-4"/>
    <x v="0"/>
  </r>
  <r>
    <n v="47"/>
    <n v="0"/>
    <n v="2"/>
    <n v="6"/>
    <n v="2"/>
    <n v="4"/>
    <n v="0"/>
    <n v="32"/>
    <n v="6"/>
    <n v="1"/>
    <n v="3"/>
    <n v="2493"/>
    <n v="831"/>
    <n v="1662"/>
    <n v="0.58099999999999996"/>
    <n v="4274"/>
    <n v="68"/>
    <n v="0.58099999999999996"/>
    <n v="0.33300000000000002"/>
    <n v="1.0183000000000001E-4"/>
    <n v="0.99990000000000001"/>
    <s v="5.311028161463215"/>
    <n v="35.014043804497099"/>
    <s v="70.80582364025844"/>
    <s v="2.633799455018909"/>
    <n v="779741883"/>
    <x v="0"/>
    <n v="5.0206790000000001E-4"/>
    <x v="0"/>
  </r>
  <r>
    <n v="49"/>
    <n v="0"/>
    <n v="4"/>
    <n v="0"/>
    <n v="1"/>
    <n v="4"/>
    <n v="0"/>
    <n v="36"/>
    <n v="1"/>
    <n v="1"/>
    <n v="2"/>
    <n v="3244"/>
    <n v="0"/>
    <n v="3244"/>
    <n v="0.76500000000000001"/>
    <n v="7495"/>
    <n v="97"/>
    <n v="0.54"/>
    <n v="0"/>
    <s v="5.6158e-05"/>
    <n v="0.99994000000000005"/>
    <s v="46.23775889482436"/>
    <n v="83.326588035435606"/>
    <s v="83.59034713109875"/>
    <s v="5.048169347429468"/>
    <n v="714282333"/>
    <x v="0"/>
    <n v="8.4809323999999998E-4"/>
    <x v="0"/>
  </r>
  <r>
    <n v="42"/>
    <n v="1"/>
    <n v="3"/>
    <n v="5"/>
    <n v="2"/>
    <n v="2"/>
    <n v="0"/>
    <n v="30"/>
    <n v="4"/>
    <n v="2"/>
    <n v="3"/>
    <n v="8302"/>
    <n v="1294"/>
    <n v="7008"/>
    <n v="0.55800000000000005"/>
    <n v="3221"/>
    <n v="66"/>
    <n v="0.61"/>
    <n v="0.156"/>
    <n v="2.0424000000000001E-4"/>
    <n v="0.99980000000000002"/>
    <s v="25.364843718410604"/>
    <s v="76.59642429090239"/>
    <s v="128.96110164432469"/>
    <s v="14.140363185750722"/>
    <n v="780602733"/>
    <x v="0"/>
    <n v="3.2914013999999999E-4"/>
    <x v="0"/>
  </r>
  <r>
    <n v="45"/>
    <n v="0"/>
    <n v="2"/>
    <n v="2"/>
    <n v="1"/>
    <n v="4"/>
    <n v="0"/>
    <n v="25"/>
    <n v="4"/>
    <n v="2"/>
    <n v="2"/>
    <n v="3518"/>
    <n v="2035"/>
    <n v="1483"/>
    <n v="0.56699999999999995"/>
    <n v="4034"/>
    <n v="82"/>
    <n v="0.67300000000000004"/>
    <n v="0.57799999999999996"/>
    <n v="1.1382E-4"/>
    <n v="0.99988999999999995"/>
    <s v="47.15734811296368"/>
    <s v="23.92444752162347"/>
    <s v="76.08505267133576"/>
    <s v="4.539231351640414"/>
    <n v="720340383"/>
    <x v="0"/>
    <n v="3.2101269999999999E-4"/>
    <x v="0"/>
  </r>
  <r>
    <n v="58"/>
    <n v="1"/>
    <n v="1"/>
    <n v="6"/>
    <n v="2"/>
    <n v="1"/>
    <n v="0"/>
    <n v="52"/>
    <n v="3"/>
    <n v="2"/>
    <n v="3"/>
    <n v="3880"/>
    <n v="2517"/>
    <n v="1363"/>
    <n v="0.67300000000000004"/>
    <n v="3163"/>
    <n v="65"/>
    <n v="0.97"/>
    <n v="0.64900000000000002"/>
    <n v="1.9751E-4"/>
    <n v="0.99980000000000002"/>
    <s v="40.04426569000228"/>
    <s v="11.68807487858382"/>
    <s v="25.78455819589705"/>
    <s v="19.60821824885964"/>
    <n v="801994458"/>
    <x v="0"/>
    <n v="3.5545047000000001E-4"/>
    <x v="0"/>
  </r>
  <r>
    <n v="46"/>
    <n v="0"/>
    <n v="2"/>
    <n v="2"/>
    <n v="1"/>
    <n v="4"/>
    <n v="0"/>
    <n v="40"/>
    <n v="6"/>
    <n v="1"/>
    <n v="2"/>
    <n v="1696"/>
    <n v="1177"/>
    <n v="519"/>
    <n v="0.68600000000000005"/>
    <n v="4410"/>
    <n v="84"/>
    <n v="0.82599999999999996"/>
    <n v="0.69399999999999995"/>
    <s v="5.5077e-05"/>
    <n v="0.99994000000000005"/>
    <s v="33.96518382659601"/>
    <s v="41.413406518329474"/>
    <s v="43.53803930126056"/>
    <s v="34.12203482215803"/>
    <n v="716484333"/>
    <x v="0"/>
    <n v="3.2101269999999999E-4"/>
    <x v="0"/>
  </r>
  <r>
    <n v="56"/>
    <n v="1"/>
    <n v="3"/>
    <n v="6"/>
    <n v="1"/>
    <n v="1"/>
    <n v="0"/>
    <n v="45"/>
    <n v="6"/>
    <n v="2"/>
    <n v="4"/>
    <n v="1813"/>
    <n v="1387"/>
    <n v="426"/>
    <n v="0.40600000000000003"/>
    <n v="1468"/>
    <n v="32"/>
    <n v="0.23100000000000001"/>
    <n v="0.76500000000000001"/>
    <n v="3.7246000000000002E-4"/>
    <n v="0.99963000000000002"/>
    <s v="0.9998721564691376"/>
    <s v="12.50914054026272"/>
    <s v="62.07026621913395"/>
    <s v="20.623482210424594"/>
    <n v="779209083"/>
    <x v="0"/>
    <n v="1.1982243E-3"/>
    <x v="0"/>
  </r>
  <r>
    <n v="43"/>
    <n v="1"/>
    <n v="4"/>
    <n v="5"/>
    <n v="2"/>
    <n v="1"/>
    <n v="0"/>
    <n v="39"/>
    <n v="5"/>
    <n v="2"/>
    <n v="2"/>
    <n v="6648"/>
    <n v="2242"/>
    <n v="4406"/>
    <n v="0.79"/>
    <n v="2089"/>
    <n v="60"/>
    <n v="0.57899999999999996"/>
    <n v="0.33700000000000002"/>
    <n v="1.2274000000000001E-4"/>
    <n v="0.99987999999999999"/>
    <s v="20.076188026155886"/>
    <s v="15.610432956828854"/>
    <s v="90.72036760452715"/>
    <n v="9.94317814120528"/>
    <n v="827888433"/>
    <x v="0"/>
    <n v="4.5674305999999999E-4"/>
    <x v="0"/>
  </r>
  <r>
    <n v="46"/>
    <n v="0"/>
    <n v="1"/>
    <n v="6"/>
    <n v="1"/>
    <n v="4"/>
    <n v="0"/>
    <n v="36"/>
    <n v="2"/>
    <n v="3"/>
    <n v="2"/>
    <n v="2474"/>
    <n v="2143"/>
    <n v="331"/>
    <n v="1.53"/>
    <n v="1541"/>
    <n v="40"/>
    <n v="1"/>
    <n v="0.86599999999999999"/>
    <n v="1.8558E-4"/>
    <n v="0.99980999999999998"/>
    <s v="21.99766119679333"/>
    <s v="27.86651225383509"/>
    <s v="71.03642797500576"/>
    <s v="11.726407118895324"/>
    <n v="778661358"/>
    <x v="0"/>
    <n v="1.2280571000000001E-3"/>
    <x v="0"/>
  </r>
  <r>
    <n v="43"/>
    <n v="0"/>
    <n v="5"/>
    <n v="5"/>
    <n v="2"/>
    <n v="4"/>
    <n v="0"/>
    <n v="39"/>
    <n v="3"/>
    <n v="2"/>
    <n v="4"/>
    <n v="3161"/>
    <n v="2424"/>
    <n v="737"/>
    <n v="0.61699999999999999"/>
    <n v="4307"/>
    <n v="66"/>
    <n v="0.78400000000000003"/>
    <n v="0.76700000000000002"/>
    <n v="3.4664E-4"/>
    <n v="0.99965000000000004"/>
    <s v="20.45050099871946"/>
    <s v="15.067022223495904"/>
    <s v="132.5252072099528"/>
    <s v="23.81286544974419"/>
    <n v="824163333"/>
    <x v="0"/>
    <n v="3.2101269999999999E-4"/>
    <x v="0"/>
  </r>
  <r>
    <n v="57"/>
    <n v="1"/>
    <n v="3"/>
    <n v="2"/>
    <n v="2"/>
    <n v="0"/>
    <n v="0"/>
    <n v="49"/>
    <n v="5"/>
    <n v="3"/>
    <n v="3"/>
    <n v="32676"/>
    <n v="2134"/>
    <n v="30542"/>
    <n v="0.79700000000000004"/>
    <n v="3990"/>
    <n v="88"/>
    <n v="0.76"/>
    <n v="6.5000000000000002E-2"/>
    <n v="3.1389999999999999E-4"/>
    <n v="0.99968999999999997"/>
    <s v="39.91419259253739"/>
    <n v="52.740239847850297"/>
    <s v="108.87316630214234"/>
    <s v="15.080724186576736"/>
    <n v="719234883"/>
    <x v="0"/>
    <n v="3.5729867999999997E-4"/>
    <x v="0"/>
  </r>
  <r>
    <n v="43"/>
    <n v="1"/>
    <n v="5"/>
    <n v="2"/>
    <n v="2"/>
    <n v="1"/>
    <n v="0"/>
    <n v="31"/>
    <n v="4"/>
    <n v="1"/>
    <n v="2"/>
    <n v="7564"/>
    <n v="0"/>
    <n v="7564"/>
    <n v="0.61"/>
    <n v="4743"/>
    <n v="82"/>
    <n v="0.82199999999999995"/>
    <n v="0"/>
    <s v="5.6861e-05"/>
    <n v="0.99994000000000005"/>
    <s v="7.373935602283207"/>
    <s v="22.25412687881484"/>
    <s v="35.23917955924616"/>
    <s v="12.970500618079909"/>
    <n v="712914783"/>
    <x v="0"/>
    <n v="6.9517245999999998E-4"/>
    <x v="0"/>
  </r>
  <r>
    <n v="37"/>
    <n v="1"/>
    <n v="2"/>
    <n v="3"/>
    <n v="1"/>
    <n v="2"/>
    <n v="0"/>
    <n v="30"/>
    <n v="4"/>
    <n v="1"/>
    <n v="2"/>
    <n v="2218"/>
    <n v="1266"/>
    <n v="952"/>
    <n v="0.70899999999999996"/>
    <n v="1941"/>
    <n v="58"/>
    <n v="0.56799999999999995"/>
    <n v="0.57099999999999995"/>
    <s v="5.3542e-05"/>
    <n v="0.99995000000000001"/>
    <s v="12.46828152651744"/>
    <s v="10.128263892389969"/>
    <s v="27.070184200103068"/>
    <s v="17.823390730949516"/>
    <n v="735417408"/>
    <x v="0"/>
    <n v="4.6903219999999999E-4"/>
    <x v="0"/>
  </r>
  <r>
    <n v="51"/>
    <n v="1"/>
    <n v="1"/>
    <n v="2"/>
    <n v="2"/>
    <n v="1"/>
    <n v="1"/>
    <n v="44"/>
    <n v="3"/>
    <n v="3"/>
    <n v="3"/>
    <n v="22722"/>
    <n v="1790"/>
    <n v="20932"/>
    <n v="0.81299999999999994"/>
    <n v="15817"/>
    <n v="121"/>
    <n v="0.754"/>
    <n v="7.9000000000000001E-2"/>
    <n v="3.2713000000000002E-4"/>
    <n v="0.99966999999999995"/>
    <s v="37.65381661350555"/>
    <s v="54.64757166482117"/>
    <s v="8.288805116546712"/>
    <s v="5.832650788086308"/>
    <n v="766769058"/>
    <x v="0"/>
    <n v="3.6583058E-4"/>
    <x v="0"/>
  </r>
  <r>
    <n v="42"/>
    <n v="1"/>
    <n v="2"/>
    <n v="2"/>
    <n v="2"/>
    <n v="1"/>
    <n v="0"/>
    <n v="36"/>
    <n v="1"/>
    <n v="1"/>
    <n v="3"/>
    <n v="1438.3"/>
    <n v="686"/>
    <n v="752.3"/>
    <n v="0.68"/>
    <n v="3499"/>
    <n v="80"/>
    <n v="0.86"/>
    <n v="0.47699999999999998"/>
    <s v="9.2637e-05"/>
    <n v="0.99990999999999997"/>
    <s v="33.59151762768879"/>
    <s v="12.18268518001628"/>
    <s v="33.421819053248896"/>
    <s v="23.34737806472972"/>
    <n v="788595183"/>
    <x v="0"/>
    <n v="5.4489190000000002E-4"/>
    <x v="0"/>
  </r>
  <r>
    <n v="42"/>
    <n v="1"/>
    <n v="3"/>
    <n v="5"/>
    <n v="2"/>
    <n v="3"/>
    <n v="0"/>
    <n v="35"/>
    <n v="5"/>
    <n v="1"/>
    <n v="4"/>
    <n v="16054"/>
    <n v="0"/>
    <n v="16054"/>
    <n v="0.44600000000000001"/>
    <n v="3449"/>
    <n v="75"/>
    <n v="0.70499999999999996"/>
    <n v="0"/>
    <n v="1.6861E-4"/>
    <n v="0.99983"/>
    <s v="5.067493763127901"/>
    <s v="10.789532436281457"/>
    <n v="39.207124726684803"/>
    <s v="18.302837771666464"/>
    <n v="718038483"/>
    <x v="0"/>
    <n v="6.9517245999999998E-4"/>
    <x v="0"/>
  </r>
  <r>
    <n v="42"/>
    <n v="1"/>
    <n v="2"/>
    <n v="2"/>
    <n v="2"/>
    <n v="3"/>
    <n v="0"/>
    <n v="36"/>
    <n v="6"/>
    <n v="3"/>
    <n v="1"/>
    <n v="26690"/>
    <n v="0"/>
    <n v="26690"/>
    <n v="1.1439999999999999"/>
    <n v="4363"/>
    <n v="76"/>
    <n v="1.054"/>
    <n v="0"/>
    <n v="1.0848E-4"/>
    <n v="0.99988999999999995"/>
    <s v="41.74073290301195"/>
    <s v="3.838391643320076"/>
    <n v="71.686133671200693"/>
    <n v="3.7975164890023199"/>
    <n v="802856508"/>
    <x v="0"/>
    <n v="7.4699510000000001E-4"/>
    <x v="0"/>
  </r>
  <r>
    <n v="53"/>
    <n v="1"/>
    <n v="3"/>
    <n v="2"/>
    <n v="1"/>
    <n v="0"/>
    <n v="0"/>
    <n v="46"/>
    <n v="1"/>
    <n v="2"/>
    <n v="2"/>
    <n v="13670"/>
    <n v="0"/>
    <n v="13670"/>
    <n v="0.81899999999999995"/>
    <n v="4812"/>
    <n v="81"/>
    <n v="0.65300000000000002"/>
    <n v="0"/>
    <n v="1.1811000000000001E-4"/>
    <n v="0.99987999999999999"/>
    <s v="30.879815651461048"/>
    <s v="23.066357801219198"/>
    <s v="3.749127937423009"/>
    <s v="6.075452067996427"/>
    <n v="759947433"/>
    <x v="0"/>
    <n v="6.9517245999999998E-4"/>
    <x v="0"/>
  </r>
  <r>
    <n v="41"/>
    <n v="1"/>
    <n v="4"/>
    <n v="2"/>
    <n v="1"/>
    <n v="3"/>
    <n v="0"/>
    <n v="36"/>
    <n v="1"/>
    <n v="3"/>
    <n v="6"/>
    <n v="4725"/>
    <n v="1253"/>
    <n v="3472"/>
    <n v="1.008"/>
    <n v="9134"/>
    <n v="77"/>
    <n v="0.97399999999999998"/>
    <n v="0.26500000000000001"/>
    <n v="0.99939"/>
    <n v="6.0765000000000005E-4"/>
    <s v="31.176989499182792"/>
    <s v="16.693874736579545"/>
    <s v="12.368203800789953"/>
    <s v="10.54851429840053"/>
    <n v="710162133"/>
    <x v="1"/>
    <n v="0.98290960000000005"/>
    <x v="1"/>
  </r>
  <r>
    <n v="45"/>
    <n v="0"/>
    <n v="2"/>
    <n v="2"/>
    <n v="1"/>
    <n v="4"/>
    <n v="0"/>
    <n v="31"/>
    <n v="2"/>
    <n v="1"/>
    <n v="2"/>
    <n v="1946"/>
    <n v="1183"/>
    <n v="763"/>
    <n v="0.80600000000000005"/>
    <n v="8423"/>
    <n v="82"/>
    <n v="0.70799999999999996"/>
    <n v="0.60799999999999998"/>
    <s v="5.5077e-05"/>
    <n v="0.99994000000000005"/>
    <s v="86.61450248375895"/>
    <s v="21.75344326151525"/>
    <s v="121.08545635245302"/>
    <s v="7.538045624008369"/>
    <n v="779751258"/>
    <x v="0"/>
    <n v="3.6856539999999998E-4"/>
    <x v="0"/>
  </r>
  <r>
    <n v="35"/>
    <n v="0"/>
    <n v="4"/>
    <n v="5"/>
    <n v="2"/>
    <n v="4"/>
    <n v="0"/>
    <n v="24"/>
    <n v="4"/>
    <n v="2"/>
    <n v="2"/>
    <n v="3271"/>
    <n v="1367"/>
    <n v="1904"/>
    <n v="0.70399999999999996"/>
    <n v="2464"/>
    <n v="92"/>
    <n v="1"/>
    <n v="0.41799999999999998"/>
    <n v="1.2274000000000001E-4"/>
    <n v="0.99987999999999999"/>
    <s v="15.321665180457025"/>
    <s v="10.54224453790142"/>
    <s v="0.2888970071951777"/>
    <s v="27.953450653984813"/>
    <n v="712872183"/>
    <x v="0"/>
    <n v="3.9451056999999999E-4"/>
    <x v="0"/>
  </r>
  <r>
    <n v="47"/>
    <n v="1"/>
    <n v="2"/>
    <n v="3"/>
    <n v="2"/>
    <n v="1"/>
    <n v="0"/>
    <n v="27"/>
    <n v="2"/>
    <n v="3"/>
    <n v="2"/>
    <n v="1536"/>
    <n v="0"/>
    <n v="1536"/>
    <n v="0.91300000000000003"/>
    <n v="4643"/>
    <n v="89"/>
    <n v="0.745"/>
    <n v="0"/>
    <n v="1.7485999999999999E-4"/>
    <n v="0.99983"/>
    <n v="8.8261638441280699"/>
    <s v="5.511867961822713"/>
    <s v="66.59784285208158"/>
    <s v="30.309025814416174"/>
    <n v="711833508"/>
    <x v="0"/>
    <n v="7.1297199999999998E-4"/>
    <x v="0"/>
  </r>
  <r>
    <n v="43"/>
    <n v="1"/>
    <n v="5"/>
    <n v="2"/>
    <n v="2"/>
    <n v="1"/>
    <n v="0"/>
    <n v="33"/>
    <n v="4"/>
    <n v="2"/>
    <n v="1"/>
    <n v="1438.3"/>
    <n v="0"/>
    <n v="1438.3"/>
    <n v="0.64300000000000002"/>
    <n v="4509"/>
    <n v="80"/>
    <n v="0.56899999999999995"/>
    <n v="0"/>
    <s v="7.0865e-05"/>
    <n v="0.99992999999999999"/>
    <s v="27.575985862808785"/>
    <s v="45.04825714716966"/>
    <s v="37.80572099072531"/>
    <s v="7.367040286734049"/>
    <n v="714418983"/>
    <x v="0"/>
    <n v="7.387203E-4"/>
    <x v="0"/>
  </r>
  <r>
    <n v="58"/>
    <n v="0"/>
    <n v="1"/>
    <n v="6"/>
    <n v="1"/>
    <n v="1"/>
    <n v="0"/>
    <n v="48"/>
    <n v="3"/>
    <n v="3"/>
    <n v="2"/>
    <n v="12423"/>
    <n v="1910"/>
    <n v="10513"/>
    <n v="0.40500000000000003"/>
    <n v="1208"/>
    <n v="38"/>
    <n v="0.35699999999999998"/>
    <n v="0.154"/>
    <n v="1.8558E-4"/>
    <n v="0.99980999999999998"/>
    <s v="8.075449357482483"/>
    <s v="67.33963053568063"/>
    <n v="80.9721211079505"/>
    <s v="23.751283209539043"/>
    <n v="718950483"/>
    <x v="0"/>
    <n v="1.232702E-3"/>
    <x v="0"/>
  </r>
  <r>
    <n v="47"/>
    <n v="0"/>
    <n v="3"/>
    <n v="1"/>
    <n v="2"/>
    <n v="1"/>
    <n v="3"/>
    <n v="39"/>
    <n v="3"/>
    <n v="2"/>
    <n v="1"/>
    <n v="18341"/>
    <n v="1060"/>
    <n v="17281"/>
    <n v="0.71799999999999997"/>
    <n v="7584"/>
    <n v="85"/>
    <n v="0.7"/>
    <n v="5.8000000000000003E-2"/>
    <s v="9.3132e-05"/>
    <n v="0.99990999999999997"/>
    <s v="39.40774303763008"/>
    <s v="22.53197672763737"/>
    <s v="94.54271124909604"/>
    <s v="19.385577255623875"/>
    <n v="713911233"/>
    <x v="0"/>
    <n v="4.1022256E-4"/>
    <x v="0"/>
  </r>
  <r>
    <n v="39"/>
    <n v="1"/>
    <n v="4"/>
    <n v="3"/>
    <n v="1"/>
    <n v="2"/>
    <n v="0"/>
    <n v="31"/>
    <n v="3"/>
    <n v="1"/>
    <n v="4"/>
    <n v="11906"/>
    <n v="2032"/>
    <n v="9874"/>
    <n v="0.46500000000000002"/>
    <n v="1642"/>
    <n v="39"/>
    <n v="0.625"/>
    <n v="0.17100000000000001"/>
    <n v="1.6112E-4"/>
    <n v="0.99983999999999995"/>
    <s v="21.598090177739888"/>
    <s v="24.403350468564344"/>
    <s v="17.477634029548433"/>
    <s v="6.084438023892931"/>
    <n v="718587858"/>
    <x v="0"/>
    <n v="1.0903810999999999E-3"/>
    <x v="0"/>
  </r>
  <r>
    <n v="45"/>
    <n v="1"/>
    <n v="2"/>
    <n v="2"/>
    <n v="1"/>
    <n v="2"/>
    <n v="0"/>
    <n v="33"/>
    <n v="4"/>
    <n v="3"/>
    <n v="4"/>
    <n v="2648"/>
    <n v="2309"/>
    <n v="339"/>
    <n v="1.006"/>
    <n v="3281"/>
    <n v="63"/>
    <n v="0.85299999999999998"/>
    <n v="0.872"/>
    <n v="5.1599999999999997E-4"/>
    <n v="0.99948000000000004"/>
    <s v="6.253775662754801"/>
    <n v="26.645488664635899"/>
    <s v="24.612056303357576"/>
    <s v="2.831049406010382"/>
    <n v="709447908"/>
    <x v="0"/>
    <n v="3.4075615E-4"/>
    <x v="0"/>
  </r>
  <r>
    <n v="47"/>
    <n v="0"/>
    <n v="2"/>
    <n v="2"/>
    <n v="2"/>
    <n v="4"/>
    <n v="1"/>
    <n v="37"/>
    <n v="6"/>
    <n v="2"/>
    <n v="1"/>
    <n v="15109"/>
    <n v="897"/>
    <n v="14212"/>
    <n v="0.49399999999999999"/>
    <n v="2315"/>
    <n v="43"/>
    <n v="0.30299999999999999"/>
    <n v="5.8999999999999997E-2"/>
    <n v="0.98751"/>
    <n v="1.2489999999999999E-2"/>
    <s v="15.651993530630966"/>
    <s v="4.694575352228601"/>
    <s v="20.79477509518099"/>
    <s v="14.091657235858612"/>
    <n v="714848958"/>
    <x v="1"/>
    <n v="0.99716919999999998"/>
    <x v="1"/>
  </r>
  <r>
    <n v="47"/>
    <n v="1"/>
    <n v="4"/>
    <n v="3"/>
    <n v="0"/>
    <n v="2"/>
    <n v="0"/>
    <n v="36"/>
    <n v="1"/>
    <n v="1"/>
    <n v="1"/>
    <n v="1983"/>
    <n v="989"/>
    <n v="994"/>
    <n v="0.72599999999999998"/>
    <n v="5065"/>
    <n v="80"/>
    <n v="0.66700000000000004"/>
    <n v="0.499"/>
    <s v="3.3863e-05"/>
    <n v="0.99997000000000003"/>
    <s v="7.611995279801625"/>
    <s v="23.082445471499263"/>
    <s v="20.344173235658342"/>
    <s v="4.305469301432633"/>
    <n v="713519508"/>
    <x v="0"/>
    <n v="3.2101269999999999E-4"/>
    <x v="0"/>
  </r>
  <r>
    <n v="53"/>
    <n v="1"/>
    <n v="1"/>
    <n v="6"/>
    <n v="1"/>
    <n v="0"/>
    <n v="0"/>
    <n v="48"/>
    <n v="3"/>
    <n v="2"/>
    <n v="3"/>
    <n v="3088"/>
    <n v="2083"/>
    <n v="1005"/>
    <n v="0.63300000000000001"/>
    <n v="1561"/>
    <n v="40"/>
    <n v="0.53800000000000003"/>
    <n v="0.67500000000000004"/>
    <n v="1.9751E-4"/>
    <n v="0.99980000000000002"/>
    <s v="7.565832146814317"/>
    <s v="18.284429956495607"/>
    <s v="100.68392906771116"/>
    <s v="17.02217055310073"/>
    <n v="713835258"/>
    <x v="0"/>
    <n v="1.0903810999999999E-3"/>
    <x v="0"/>
  </r>
  <r>
    <n v="36"/>
    <n v="1"/>
    <n v="3"/>
    <n v="4"/>
    <n v="1"/>
    <n v="0"/>
    <n v="0"/>
    <n v="27"/>
    <n v="2"/>
    <n v="1"/>
    <n v="2"/>
    <n v="13873"/>
    <n v="0"/>
    <n v="13873"/>
    <n v="0.23300000000000001"/>
    <n v="694"/>
    <n v="18"/>
    <n v="0.28599999999999998"/>
    <n v="0"/>
    <n v="0.98534999999999995"/>
    <n v="1.465E-2"/>
    <s v="4.5339985829991045"/>
    <s v="22.229993300555098"/>
    <s v="12.32035538691453"/>
    <s v="5.025881350821131"/>
    <n v="708856983"/>
    <x v="1"/>
    <n v="0.99877890000000003"/>
    <x v="1"/>
  </r>
  <r>
    <n v="47"/>
    <n v="1"/>
    <n v="4"/>
    <n v="6"/>
    <n v="1"/>
    <n v="3"/>
    <n v="0"/>
    <n v="35"/>
    <n v="3"/>
    <n v="3"/>
    <n v="4"/>
    <n v="5589"/>
    <n v="1430"/>
    <n v="4159"/>
    <n v="0.63200000000000001"/>
    <n v="1570"/>
    <n v="31"/>
    <n v="0.72199999999999998"/>
    <n v="0.25600000000000001"/>
    <n v="5.9480000000000004E-4"/>
    <n v="0.99941000000000002"/>
    <s v="4.314106162948864"/>
    <n v="36.915305712398897"/>
    <s v="60.79419104754504"/>
    <s v="16.331958130765706"/>
    <n v="713577483"/>
    <x v="0"/>
    <n v="1.0949187999999999E-3"/>
    <x v="0"/>
  </r>
  <r>
    <n v="49"/>
    <n v="0"/>
    <n v="3"/>
    <n v="2"/>
    <n v="2"/>
    <n v="1"/>
    <n v="0"/>
    <n v="33"/>
    <n v="5"/>
    <n v="3"/>
    <n v="2"/>
    <n v="9995"/>
    <n v="1713"/>
    <n v="8282"/>
    <n v="0.96"/>
    <n v="1172"/>
    <n v="38"/>
    <n v="0.46200000000000002"/>
    <n v="0.17100000000000001"/>
    <n v="1.8665000000000001E-4"/>
    <n v="0.99980999999999998"/>
    <s v="11.558813438973656"/>
    <s v="24.530355575299943"/>
    <s v="44.89672611830684"/>
    <s v="12.577363127392807"/>
    <n v="779912283"/>
    <x v="0"/>
    <n v="1.1982243E-3"/>
    <x v="0"/>
  </r>
  <r>
    <n v="46"/>
    <n v="0"/>
    <n v="4"/>
    <n v="2"/>
    <n v="1"/>
    <n v="4"/>
    <n v="0"/>
    <n v="34"/>
    <n v="5"/>
    <n v="1"/>
    <n v="2"/>
    <n v="7562"/>
    <n v="1500"/>
    <n v="6062"/>
    <n v="0.63200000000000001"/>
    <n v="14908"/>
    <n v="100"/>
    <n v="0.754"/>
    <n v="0.19800000000000001"/>
    <s v="5.7762e-05"/>
    <n v="0.99994000000000005"/>
    <s v="43.665355122577125"/>
    <s v="0.1426337354895344"/>
    <s v="119.83924907268634"/>
    <n v="0.43334100130532199"/>
    <n v="718161708"/>
    <x v="0"/>
    <n v="3.4656386999999997E-4"/>
    <x v="0"/>
  </r>
  <r>
    <n v="44"/>
    <n v="0"/>
    <n v="4"/>
    <n v="3"/>
    <n v="0"/>
    <n v="4"/>
    <n v="0"/>
    <n v="39"/>
    <n v="5"/>
    <n v="1"/>
    <n v="4"/>
    <n v="9235"/>
    <n v="1796"/>
    <n v="7439"/>
    <n v="0.95799999999999996"/>
    <n v="1739"/>
    <n v="42"/>
    <n v="0.44800000000000001"/>
    <n v="0.19400000000000001"/>
    <n v="1.6112E-4"/>
    <n v="0.99983999999999995"/>
    <s v="16.835856119599434"/>
    <s v="14.336958639796048"/>
    <s v="54.63722652536971"/>
    <s v="2.3606808953519467"/>
    <n v="820981383"/>
    <x v="0"/>
    <n v="1.1982243E-3"/>
    <x v="0"/>
  </r>
  <r>
    <n v="47"/>
    <n v="0"/>
    <n v="4"/>
    <n v="6"/>
    <n v="1"/>
    <n v="1"/>
    <n v="0"/>
    <n v="43"/>
    <n v="4"/>
    <n v="3"/>
    <n v="4"/>
    <n v="4798"/>
    <n v="1017"/>
    <n v="3781"/>
    <n v="0.45800000000000002"/>
    <n v="4225"/>
    <n v="79"/>
    <n v="0.68100000000000005"/>
    <n v="0.21199999999999999"/>
    <n v="5.9480000000000004E-4"/>
    <n v="0.99941000000000002"/>
    <s v="1.6942054689044166"/>
    <s v="78.58945100973759"/>
    <s v="68.66115875514305"/>
    <s v="22.38467317204433"/>
    <n v="826414083"/>
    <x v="0"/>
    <n v="3.3051142000000002E-4"/>
    <x v="0"/>
  </r>
  <r>
    <n v="54"/>
    <n v="1"/>
    <n v="2"/>
    <n v="2"/>
    <n v="1"/>
    <n v="4"/>
    <n v="0"/>
    <n v="39"/>
    <n v="4"/>
    <n v="4"/>
    <n v="2"/>
    <n v="2702"/>
    <n v="2517"/>
    <n v="185"/>
    <n v="1.0189999999999999"/>
    <n v="1658"/>
    <n v="32"/>
    <n v="1.462"/>
    <n v="0.93200000000000005"/>
    <n v="2.1738000000000001E-4"/>
    <n v="0.99978"/>
    <s v="13.863541076699091"/>
    <s v="37.75485472031412"/>
    <s v="56.280774684998086"/>
    <s v="12.34943531397614"/>
    <n v="788868858"/>
    <x v="0"/>
    <n v="1.0254878999999999E-3"/>
    <x v="0"/>
  </r>
  <r>
    <n v="65"/>
    <n v="1"/>
    <n v="0"/>
    <n v="2"/>
    <n v="1"/>
    <n v="1"/>
    <n v="0"/>
    <n v="56"/>
    <n v="3"/>
    <n v="3"/>
    <n v="2"/>
    <n v="2297"/>
    <n v="0"/>
    <n v="2297"/>
    <n v="0.51100000000000001"/>
    <n v="1941"/>
    <n v="51"/>
    <n v="0.41699999999999998"/>
    <n v="0"/>
    <n v="1.5435000000000001E-4"/>
    <n v="0.99985000000000002"/>
    <s v="15.667014830482556"/>
    <s v="21.66876941912869"/>
    <s v="15.75505308948426"/>
    <s v="7.196705354703259"/>
    <n v="714547458"/>
    <x v="0"/>
    <n v="4.0736319999999998E-3"/>
    <x v="0"/>
  </r>
  <r>
    <n v="46"/>
    <n v="1"/>
    <n v="2"/>
    <n v="2"/>
    <n v="1"/>
    <n v="2"/>
    <n v="0"/>
    <n v="34"/>
    <n v="4"/>
    <n v="2"/>
    <n v="0"/>
    <n v="9451"/>
    <n v="1280"/>
    <n v="8171"/>
    <n v="0.68100000000000005"/>
    <n v="3179"/>
    <n v="79"/>
    <n v="0.97499999999999998"/>
    <n v="0.13500000000000001"/>
    <s v="4.1986e-05"/>
    <n v="0.99995999999999996"/>
    <s v="11.088481774116794"/>
    <s v="17.30386824254637"/>
    <s v="92.45614714405932"/>
    <s v="7.153004811095397"/>
    <n v="712762758"/>
    <x v="0"/>
    <n v="3.2101269999999999E-4"/>
    <x v="0"/>
  </r>
  <r>
    <n v="46"/>
    <n v="1"/>
    <n v="2"/>
    <n v="2"/>
    <n v="1"/>
    <n v="1"/>
    <n v="0"/>
    <n v="38"/>
    <n v="4"/>
    <n v="3"/>
    <n v="3"/>
    <n v="2457"/>
    <n v="1051"/>
    <n v="1406"/>
    <n v="0.98199999999999998"/>
    <n v="3256"/>
    <n v="71"/>
    <n v="0.91900000000000004"/>
    <n v="0.42799999999999999"/>
    <n v="3.0250999999999998E-4"/>
    <n v="0.99970000000000003"/>
    <n v="35.190906876761602"/>
    <s v="48.552101360177694"/>
    <s v="99.23628893519346"/>
    <s v="9.399876928426623"/>
    <n v="717007458"/>
    <x v="0"/>
    <n v="3.221314E-4"/>
    <x v="0"/>
  </r>
  <r>
    <n v="41"/>
    <n v="0"/>
    <n v="3"/>
    <n v="0"/>
    <n v="2"/>
    <n v="1"/>
    <n v="0"/>
    <n v="22"/>
    <n v="5"/>
    <n v="0"/>
    <n v="2"/>
    <n v="2577"/>
    <n v="1582"/>
    <n v="995"/>
    <n v="0.69699999999999995"/>
    <n v="4734"/>
    <n v="75"/>
    <n v="0.59599999999999997"/>
    <n v="0.61399999999999999"/>
    <s v="2.056e-05"/>
    <n v="0.99997999999999998"/>
    <s v="13.341922599876982"/>
    <s v="52.12269572939218"/>
    <s v="85.62973658260789"/>
    <s v="19.910389379712548"/>
    <n v="712133508"/>
    <x v="0"/>
    <n v="3.2914013999999999E-4"/>
    <x v="0"/>
  </r>
  <r>
    <n v="45"/>
    <n v="1"/>
    <n v="3"/>
    <n v="5"/>
    <n v="3"/>
    <n v="3"/>
    <n v="0"/>
    <n v="33"/>
    <n v="2"/>
    <n v="3"/>
    <n v="3"/>
    <n v="9303"/>
    <n v="1580"/>
    <n v="7723"/>
    <n v="0.877"/>
    <n v="7825"/>
    <n v="87"/>
    <n v="0.45"/>
    <n v="0.17"/>
    <n v="3.2275000000000001E-4"/>
    <n v="0.99968000000000001"/>
    <s v="39.33269157670713"/>
    <s v="46.15064872954354"/>
    <s v="17.493272340735075"/>
    <s v="0.3353717770124513"/>
    <n v="711842508"/>
    <x v="0"/>
    <n v="3.9225167999999998E-4"/>
    <x v="0"/>
  </r>
  <r>
    <n v="63"/>
    <n v="1"/>
    <n v="0"/>
    <n v="0"/>
    <n v="2"/>
    <n v="3"/>
    <n v="0"/>
    <n v="56"/>
    <n v="6"/>
    <n v="2"/>
    <n v="2"/>
    <n v="9033"/>
    <n v="0"/>
    <n v="9033"/>
    <n v="0.78"/>
    <n v="4456"/>
    <n v="85"/>
    <n v="0.63500000000000001"/>
    <n v="0"/>
    <s v="9.496e-05"/>
    <n v="0.99990999999999997"/>
    <s v="30.45838351914113"/>
    <s v="20.703146340383817"/>
    <s v="36.569425650925794"/>
    <s v="5.657220716243306"/>
    <n v="819189108"/>
    <x v="0"/>
    <n v="7.1276520000000004E-4"/>
    <x v="0"/>
  </r>
  <r>
    <n v="30"/>
    <n v="0"/>
    <n v="1"/>
    <n v="2"/>
    <n v="1"/>
    <n v="4"/>
    <n v="0"/>
    <n v="36"/>
    <n v="2"/>
    <n v="2"/>
    <n v="3"/>
    <n v="2905"/>
    <n v="2517"/>
    <n v="388"/>
    <n v="0.72499999999999998"/>
    <n v="2487"/>
    <n v="39"/>
    <n v="0.39300000000000002"/>
    <n v="0.86599999999999999"/>
    <n v="0.99446999999999997"/>
    <n v="5.5300000000000002E-3"/>
    <n v="5.1593203837045003"/>
    <s v="3.947639625110588"/>
    <s v="24.08673418991813"/>
    <s v="0.4678621590543626"/>
    <n v="711871758"/>
    <x v="1"/>
    <n v="0.99643599999999999"/>
    <x v="1"/>
  </r>
  <r>
    <n v="42"/>
    <n v="0"/>
    <n v="4"/>
    <n v="2"/>
    <n v="1"/>
    <n v="1"/>
    <n v="0"/>
    <n v="33"/>
    <n v="4"/>
    <n v="3"/>
    <n v="2"/>
    <n v="2918"/>
    <n v="0"/>
    <n v="2918"/>
    <n v="0.55900000000000005"/>
    <n v="2056"/>
    <n v="54"/>
    <n v="0.45900000000000002"/>
    <n v="0"/>
    <n v="0.99473"/>
    <n v="5.2700000000000004E-3"/>
    <s v="5.345168472670516"/>
    <s v="52.38905256865899"/>
    <n v="18.363780179725001"/>
    <n v="3.7203153311892598"/>
    <n v="714164808"/>
    <x v="1"/>
    <n v="0.99741875999999996"/>
    <x v="1"/>
  </r>
  <r>
    <n v="39"/>
    <n v="0"/>
    <n v="3"/>
    <n v="2"/>
    <n v="2"/>
    <n v="4"/>
    <n v="0"/>
    <n v="30"/>
    <n v="5"/>
    <n v="3"/>
    <n v="4"/>
    <n v="5202"/>
    <n v="815"/>
    <n v="4387"/>
    <n v="1.1080000000000001"/>
    <n v="1558"/>
    <n v="48"/>
    <n v="0.77800000000000002"/>
    <n v="0.157"/>
    <n v="5.3543000000000004E-4"/>
    <n v="0.99946000000000002"/>
    <s v="20.744684989076845"/>
    <s v="10.713042862065686"/>
    <s v="8.707289507529968"/>
    <s v="19.80642380832585"/>
    <n v="719412258"/>
    <x v="0"/>
    <n v="1.6964637000000001E-3"/>
    <x v="0"/>
  </r>
  <r>
    <n v="53"/>
    <n v="1"/>
    <n v="2"/>
    <n v="2"/>
    <n v="2"/>
    <n v="0"/>
    <n v="0"/>
    <n v="36"/>
    <n v="5"/>
    <n v="2"/>
    <n v="3"/>
    <n v="10620"/>
    <n v="2090"/>
    <n v="8530"/>
    <n v="0.88"/>
    <n v="3453"/>
    <n v="68"/>
    <n v="0.83799999999999997"/>
    <n v="0.19700000000000001"/>
    <n v="1.9143E-4"/>
    <n v="0.99980999999999998"/>
    <s v="39.78009635022734"/>
    <s v="108.34696167407088"/>
    <s v="3.420672085333812"/>
    <s v="2.438594729976941"/>
    <n v="713764458"/>
    <x v="0"/>
    <n v="3.2101269999999999E-4"/>
    <x v="0"/>
  </r>
  <r>
    <n v="47"/>
    <n v="0"/>
    <n v="3"/>
    <n v="2"/>
    <n v="0"/>
    <n v="4"/>
    <n v="0"/>
    <n v="41"/>
    <n v="1"/>
    <n v="1"/>
    <n v="3"/>
    <n v="9947"/>
    <n v="2496"/>
    <n v="7451"/>
    <n v="0.80200000000000005"/>
    <n v="14576"/>
    <n v="110"/>
    <n v="0.77400000000000002"/>
    <n v="0.251"/>
    <s v="9.6126e-05"/>
    <n v="0.99990000000000001"/>
    <s v="47.898160318832325"/>
    <s v="26.319269711255124"/>
    <s v="108.61468198463324"/>
    <n v="0.38790221006033898"/>
    <n v="794962983"/>
    <x v="0"/>
    <n v="3.7453471999999999E-4"/>
    <x v="0"/>
  </r>
  <r>
    <n v="43"/>
    <n v="1"/>
    <n v="4"/>
    <n v="1"/>
    <n v="3"/>
    <n v="2"/>
    <n v="0"/>
    <n v="33"/>
    <n v="4"/>
    <n v="3"/>
    <n v="4"/>
    <n v="2067"/>
    <n v="1250"/>
    <n v="817"/>
    <n v="0.89100000000000001"/>
    <n v="4565"/>
    <n v="65"/>
    <n v="0.80600000000000005"/>
    <n v="0.60499999999999998"/>
    <n v="7.8293999999999998E-4"/>
    <n v="0.99922"/>
    <n v="13.000909995847801"/>
    <n v="47.361638608734701"/>
    <s v="34.44153666034709"/>
    <s v="4.8232079867508375"/>
    <n v="719042208"/>
    <x v="0"/>
    <n v="4.0857968E-4"/>
    <x v="0"/>
  </r>
  <r>
    <n v="46"/>
    <n v="1"/>
    <n v="1"/>
    <n v="5"/>
    <n v="1"/>
    <n v="3"/>
    <n v="0"/>
    <n v="33"/>
    <n v="3"/>
    <n v="1"/>
    <n v="2"/>
    <n v="13324"/>
    <n v="0"/>
    <n v="13324"/>
    <n v="0.91700000000000004"/>
    <n v="4245"/>
    <n v="76"/>
    <n v="1"/>
    <n v="0"/>
    <s v="5.3155e-05"/>
    <n v="0.99995000000000001"/>
    <s v="25.158579834709283"/>
    <s v="17.039363882014108"/>
    <s v="133.0514384513134"/>
    <s v="28.91133430383399"/>
    <n v="771037008"/>
    <x v="0"/>
    <n v="7.4699510000000001E-4"/>
    <x v="0"/>
  </r>
  <r>
    <n v="53"/>
    <n v="1"/>
    <n v="2"/>
    <n v="6"/>
    <n v="1"/>
    <n v="3"/>
    <n v="0"/>
    <n v="36"/>
    <n v="2"/>
    <n v="2"/>
    <n v="1"/>
    <n v="3212"/>
    <n v="0"/>
    <n v="3212"/>
    <n v="0.71299999999999997"/>
    <n v="757"/>
    <n v="20"/>
    <n v="0.25"/>
    <n v="0"/>
    <n v="0.98692000000000002"/>
    <n v="1.308E-2"/>
    <s v="11.890623376367587"/>
    <s v="70.53704171328663"/>
    <s v="24.416180212772293"/>
    <s v="30.521446233772277"/>
    <n v="708953883"/>
    <x v="1"/>
    <n v="0.99877890000000003"/>
    <x v="1"/>
  </r>
  <r>
    <n v="48"/>
    <n v="1"/>
    <n v="4"/>
    <n v="1"/>
    <n v="2"/>
    <n v="3"/>
    <n v="0"/>
    <n v="28"/>
    <n v="3"/>
    <n v="3"/>
    <n v="4"/>
    <n v="6572"/>
    <n v="417"/>
    <n v="6155"/>
    <n v="0.58399999999999996"/>
    <n v="1766"/>
    <n v="46"/>
    <n v="0.53300000000000003"/>
    <n v="6.3E-2"/>
    <n v="0.99873000000000001"/>
    <n v="1.27462E-3"/>
    <s v="34.616229099635135"/>
    <s v="27.827975668808484"/>
    <s v="9.144979221211637"/>
    <s v="15.833317934368722"/>
    <n v="778381608"/>
    <x v="1"/>
    <n v="0.99805730000000004"/>
    <x v="1"/>
  </r>
  <r>
    <n v="53"/>
    <n v="1"/>
    <n v="2"/>
    <n v="3"/>
    <n v="1"/>
    <n v="0"/>
    <n v="0"/>
    <n v="39"/>
    <n v="3"/>
    <n v="2"/>
    <n v="3"/>
    <n v="13091"/>
    <n v="985"/>
    <n v="12106"/>
    <n v="0.32200000000000001"/>
    <n v="1452"/>
    <n v="37"/>
    <n v="0.27600000000000002"/>
    <n v="7.4999999999999997E-2"/>
    <n v="1.861E-4"/>
    <n v="0.99980999999999998"/>
    <s v="39.27422547616399"/>
    <s v="29.945047161498195"/>
    <s v="14.047755944219332"/>
    <s v="7.221328566237103"/>
    <n v="780276258"/>
    <x v="0"/>
    <n v="1.5105811E-3"/>
    <x v="0"/>
  </r>
  <r>
    <n v="43"/>
    <n v="0"/>
    <n v="1"/>
    <n v="5"/>
    <n v="0"/>
    <n v="4"/>
    <n v="0"/>
    <n v="36"/>
    <n v="5"/>
    <n v="2"/>
    <n v="3"/>
    <n v="2077"/>
    <n v="1254"/>
    <n v="823"/>
    <n v="0.82099999999999995"/>
    <n v="4226"/>
    <n v="75"/>
    <n v="1.143"/>
    <n v="0.60399999999999998"/>
    <n v="1.8474999999999999E-4"/>
    <n v="0.99982000000000004"/>
    <n v="0.47373367788557103"/>
    <s v="2.4438744672132424"/>
    <s v="35.39737590458041"/>
    <s v="4.921981988777739"/>
    <n v="710952933"/>
    <x v="0"/>
    <n v="3.2101269999999999E-4"/>
    <x v="0"/>
  </r>
  <r>
    <n v="64"/>
    <n v="0"/>
    <n v="0"/>
    <n v="2"/>
    <n v="2"/>
    <n v="4"/>
    <n v="0"/>
    <n v="56"/>
    <n v="4"/>
    <n v="2"/>
    <n v="3"/>
    <n v="2294"/>
    <n v="1582"/>
    <n v="712"/>
    <n v="0.77500000000000002"/>
    <n v="3951"/>
    <n v="79"/>
    <n v="0.88100000000000001"/>
    <n v="0.69"/>
    <n v="1.6427999999999999E-4"/>
    <n v="0.99983999999999995"/>
    <n v="15.733790105968099"/>
    <s v="35.82619203523912"/>
    <s v="13.921618341594474"/>
    <n v="18.0477557673122"/>
    <n v="818259558"/>
    <x v="0"/>
    <n v="3.2101269999999999E-4"/>
    <x v="0"/>
  </r>
  <r>
    <n v="33"/>
    <n v="0"/>
    <n v="3"/>
    <n v="0"/>
    <n v="2"/>
    <n v="4"/>
    <n v="0"/>
    <n v="23"/>
    <n v="6"/>
    <n v="4"/>
    <n v="1"/>
    <n v="2562"/>
    <n v="1968"/>
    <n v="594"/>
    <n v="0.54600000000000004"/>
    <n v="2256"/>
    <n v="70"/>
    <n v="0.59099999999999997"/>
    <n v="0.76800000000000002"/>
    <n v="1.3226000000000001E-4"/>
    <n v="0.99987000000000004"/>
    <s v="26.20996785099167"/>
    <s v="18.592633234593176"/>
    <s v="52.46061943488781"/>
    <s v="11.440268543680563"/>
    <n v="711403383"/>
    <x v="0"/>
    <n v="4.0449749999999998E-4"/>
    <x v="0"/>
  </r>
  <r>
    <n v="54"/>
    <n v="0"/>
    <n v="1"/>
    <n v="2"/>
    <n v="1"/>
    <n v="1"/>
    <n v="0"/>
    <n v="46"/>
    <n v="6"/>
    <n v="4"/>
    <n v="3"/>
    <n v="1632"/>
    <n v="351"/>
    <n v="1281"/>
    <n v="0.72099999999999997"/>
    <n v="2532"/>
    <n v="43"/>
    <n v="0.48299999999999998"/>
    <n v="0.215"/>
    <n v="0.99709999999999999"/>
    <n v="2.90471E-3"/>
    <s v="4.260969854108383"/>
    <s v="16.77619232579733"/>
    <n v="0.46614906726175198"/>
    <s v="0.3546882430410703"/>
    <n v="714773508"/>
    <x v="1"/>
    <n v="0.9985134"/>
    <x v="1"/>
  </r>
  <r>
    <n v="38"/>
    <n v="1"/>
    <n v="3"/>
    <n v="6"/>
    <n v="2"/>
    <n v="3"/>
    <n v="0"/>
    <n v="33"/>
    <n v="6"/>
    <n v="2"/>
    <n v="2"/>
    <n v="34516"/>
    <n v="2135"/>
    <n v="32381"/>
    <n v="0.48799999999999999"/>
    <n v="3514"/>
    <n v="63"/>
    <n v="0.70299999999999996"/>
    <n v="6.2E-2"/>
    <n v="1.2982E-4"/>
    <n v="0.99987000000000004"/>
    <s v="11.007799256715026"/>
    <s v="15.483263356710086"/>
    <s v="31.766753215305595"/>
    <s v="10.893700873992954"/>
    <n v="809358708"/>
    <x v="0"/>
    <n v="3.8724514999999998E-4"/>
    <x v="0"/>
  </r>
  <r>
    <n v="49"/>
    <n v="0"/>
    <n v="3"/>
    <n v="2"/>
    <n v="2"/>
    <n v="4"/>
    <n v="0"/>
    <n v="36"/>
    <n v="4"/>
    <n v="5"/>
    <n v="1"/>
    <n v="2285"/>
    <n v="1931"/>
    <n v="354"/>
    <n v="0.69"/>
    <n v="4944"/>
    <n v="78"/>
    <n v="0.66"/>
    <n v="0.84499999999999997"/>
    <n v="1.2572000000000001E-4"/>
    <n v="0.99987000000000004"/>
    <s v="11.213371622591836"/>
    <s v="43.57109555092448"/>
    <s v="22.224091356770703"/>
    <s v="2.768510473486661"/>
    <n v="719536608"/>
    <x v="0"/>
    <n v="3.2101269999999999E-4"/>
    <x v="0"/>
  </r>
  <r>
    <n v="41"/>
    <n v="0"/>
    <n v="4"/>
    <n v="5"/>
    <n v="1"/>
    <n v="4"/>
    <n v="0"/>
    <n v="33"/>
    <n v="5"/>
    <n v="2"/>
    <n v="3"/>
    <n v="2888"/>
    <n v="821"/>
    <n v="2067"/>
    <n v="0.93100000000000005"/>
    <n v="4713"/>
    <n v="77"/>
    <n v="1.026"/>
    <n v="0.28399999999999997"/>
    <n v="2.0642999999999999E-4"/>
    <n v="0.99978999999999996"/>
    <n v="7.26577676209582"/>
    <s v="40.06951641569125"/>
    <n v="17.878833364116598"/>
    <s v="16.69222621212256"/>
    <n v="720211533"/>
    <x v="0"/>
    <n v="5.1208410000000003E-4"/>
    <x v="0"/>
  </r>
  <r>
    <n v="35"/>
    <n v="0"/>
    <n v="1"/>
    <n v="3"/>
    <n v="1"/>
    <n v="5"/>
    <n v="0"/>
    <n v="17"/>
    <n v="5"/>
    <n v="3"/>
    <n v="3"/>
    <n v="4588"/>
    <n v="2517"/>
    <n v="2071"/>
    <n v="1.5249999999999999"/>
    <n v="2442"/>
    <n v="62"/>
    <n v="0.63200000000000001"/>
    <n v="0.54900000000000004"/>
    <n v="2.7604000000000002E-4"/>
    <n v="0.99972000000000005"/>
    <s v="11.43802215746432"/>
    <s v="15.253604662788096"/>
    <s v="41.29223496890499"/>
    <s v="13.93822307038644"/>
    <n v="709854483"/>
    <x v="0"/>
    <n v="4.3575162999999999E-4"/>
    <x v="0"/>
  </r>
  <r>
    <n v="34"/>
    <n v="1"/>
    <n v="2"/>
    <n v="3"/>
    <n v="1"/>
    <n v="3"/>
    <n v="0"/>
    <n v="25"/>
    <n v="6"/>
    <n v="2"/>
    <n v="0"/>
    <n v="1439"/>
    <n v="0"/>
    <n v="1439"/>
    <n v="0.89"/>
    <n v="2932"/>
    <n v="44"/>
    <n v="0.91300000000000003"/>
    <n v="0"/>
    <n v="0.97609000000000001"/>
    <n v="2.3910000000000001E-2"/>
    <s v="50.81710006602173"/>
    <s v="84.68214410949118"/>
    <s v="47.79992923134287"/>
    <s v="8.433378428656706"/>
    <n v="720150858"/>
    <x v="1"/>
    <n v="0.99824760000000001"/>
    <x v="1"/>
  </r>
  <r>
    <n v="50"/>
    <n v="1"/>
    <n v="2"/>
    <n v="2"/>
    <n v="1"/>
    <n v="3"/>
    <n v="3"/>
    <n v="42"/>
    <n v="2"/>
    <n v="3"/>
    <n v="3"/>
    <n v="34516"/>
    <n v="2517"/>
    <n v="31999"/>
    <n v="0.75900000000000001"/>
    <n v="8186"/>
    <n v="85"/>
    <n v="0.63500000000000001"/>
    <n v="7.2999999999999995E-2"/>
    <n v="2.7334000000000001E-4"/>
    <n v="0.99973000000000001"/>
    <s v="8.677004075673553"/>
    <s v="44.53377920008419"/>
    <s v="136.14802555918504"/>
    <s v="35.470627705395025"/>
    <n v="719178183"/>
    <x v="0"/>
    <n v="4.5455069999999998E-4"/>
    <x v="0"/>
  </r>
  <r>
    <n v="47"/>
    <n v="1"/>
    <n v="2"/>
    <n v="5"/>
    <n v="2"/>
    <n v="3"/>
    <n v="0"/>
    <n v="36"/>
    <n v="3"/>
    <n v="2"/>
    <n v="2"/>
    <n v="34516"/>
    <n v="1264"/>
    <n v="33252"/>
    <n v="0.77400000000000002"/>
    <n v="7827"/>
    <n v="77"/>
    <n v="0.54"/>
    <n v="3.6999999999999998E-2"/>
    <n v="1.1703E-4"/>
    <n v="0.99987999999999999"/>
    <s v="19.963614474742595"/>
    <s v="15.825947407861417"/>
    <s v="10.899145347309856"/>
    <s v="1.4473008138754562"/>
    <n v="713697933"/>
    <x v="0"/>
    <n v="6.3730389999999996E-4"/>
    <x v="0"/>
  </r>
  <r>
    <n v="53"/>
    <n v="1"/>
    <n v="3"/>
    <n v="2"/>
    <n v="3"/>
    <n v="1"/>
    <n v="0"/>
    <n v="48"/>
    <n v="2"/>
    <n v="2"/>
    <n v="2"/>
    <n v="14627"/>
    <n v="1997"/>
    <n v="12630"/>
    <n v="0.71799999999999997"/>
    <n v="7766"/>
    <n v="82"/>
    <n v="0.745"/>
    <n v="0.13700000000000001"/>
    <n v="1.1811000000000001E-4"/>
    <n v="0.99987999999999999"/>
    <s v="37.00822837644791"/>
    <s v="7.3276331275681725"/>
    <s v="26.82592276223252"/>
    <s v="1.4363561429552538"/>
    <n v="814760358"/>
    <x v="0"/>
    <n v="3.6856539999999998E-4"/>
    <x v="0"/>
  </r>
  <r>
    <n v="41"/>
    <n v="1"/>
    <n v="5"/>
    <n v="2"/>
    <n v="2"/>
    <n v="2"/>
    <n v="0"/>
    <n v="28"/>
    <n v="5"/>
    <n v="1"/>
    <n v="4"/>
    <n v="4821"/>
    <n v="1426"/>
    <n v="3395"/>
    <n v="0.89800000000000002"/>
    <n v="3571"/>
    <n v="58"/>
    <n v="0.93300000000000005"/>
    <n v="0.29599999999999999"/>
    <n v="1.6316E-4"/>
    <n v="0.99983999999999995"/>
    <s v="50.00366780135396"/>
    <s v="62.31944990237211"/>
    <s v="57.32626783471572"/>
    <s v="8.038294989654657"/>
    <n v="717650133"/>
    <x v="0"/>
    <n v="4.0212742000000001E-4"/>
    <x v="0"/>
  </r>
  <r>
    <n v="36"/>
    <n v="1"/>
    <n v="1"/>
    <n v="6"/>
    <n v="3"/>
    <n v="1"/>
    <n v="0"/>
    <n v="36"/>
    <n v="2"/>
    <n v="3"/>
    <n v="3"/>
    <n v="6893"/>
    <n v="1462"/>
    <n v="5431"/>
    <n v="1.0309999999999999"/>
    <n v="4782"/>
    <n v="50"/>
    <n v="0.35099999999999998"/>
    <n v="0.21199999999999999"/>
    <n v="0.99680999999999997"/>
    <n v="3.1927800000000001E-3"/>
    <s v="27.49685445613645"/>
    <s v="3.9971184473446417"/>
    <s v="24.353429454152977"/>
    <s v="16.857178084126332"/>
    <n v="717579258"/>
    <x v="1"/>
    <n v="0.99479335999999996"/>
    <x v="1"/>
  </r>
  <r>
    <n v="48"/>
    <n v="1"/>
    <n v="3"/>
    <n v="5"/>
    <n v="2"/>
    <n v="2"/>
    <n v="1"/>
    <n v="40"/>
    <n v="5"/>
    <n v="2"/>
    <n v="5"/>
    <n v="34516"/>
    <n v="2317"/>
    <n v="32199"/>
    <n v="0.69899999999999995"/>
    <n v="3927"/>
    <n v="68"/>
    <n v="0.7"/>
    <n v="6.7000000000000004E-2"/>
    <n v="6.9441000000000001E-4"/>
    <n v="0.99931000000000003"/>
    <s v="32.291786537542535"/>
    <s v="11.603260168093753"/>
    <s v="134.7255602449511"/>
    <s v="11.747555703331525"/>
    <n v="714199983"/>
    <x v="0"/>
    <n v="4.531801E-4"/>
    <x v="0"/>
  </r>
  <r>
    <n v="57"/>
    <n v="0"/>
    <n v="2"/>
    <n v="5"/>
    <n v="2"/>
    <n v="4"/>
    <n v="0"/>
    <n v="36"/>
    <n v="5"/>
    <n v="3"/>
    <n v="2"/>
    <n v="8224"/>
    <n v="1239"/>
    <n v="6985"/>
    <n v="0.79300000000000004"/>
    <n v="16319"/>
    <n v="124"/>
    <n v="0.65300000000000002"/>
    <n v="0.151"/>
    <n v="1.8494E-4"/>
    <n v="0.99982000000000004"/>
    <s v="86.20640022465982"/>
    <s v="36.28484789938828"/>
    <s v="5.808577529621162"/>
    <s v="7.941751263846331"/>
    <n v="714385983"/>
    <x v="0"/>
    <n v="3.4656386999999997E-4"/>
    <x v="0"/>
  </r>
  <r>
    <n v="49"/>
    <n v="0"/>
    <n v="4"/>
    <n v="3"/>
    <n v="1"/>
    <n v="4"/>
    <n v="0"/>
    <n v="42"/>
    <n v="4"/>
    <n v="1"/>
    <n v="4"/>
    <n v="2473"/>
    <n v="1263"/>
    <n v="1210"/>
    <n v="0.71"/>
    <n v="4597"/>
    <n v="80"/>
    <n v="0.6"/>
    <n v="0.51100000000000001"/>
    <n v="1.6112E-4"/>
    <n v="0.99983999999999995"/>
    <s v="42.97617720467824"/>
    <s v="7.028722115282719"/>
    <s v="9.238874245050903"/>
    <s v="5.303749949803541"/>
    <n v="766381908"/>
    <x v="0"/>
    <n v="3.2914013999999999E-4"/>
    <x v="0"/>
  </r>
  <r>
    <n v="48"/>
    <n v="1"/>
    <n v="3"/>
    <n v="1"/>
    <n v="1"/>
    <n v="2"/>
    <n v="0"/>
    <n v="36"/>
    <n v="3"/>
    <n v="2"/>
    <n v="1"/>
    <n v="8876"/>
    <n v="1132"/>
    <n v="7744"/>
    <n v="0.84399999999999997"/>
    <n v="3779"/>
    <n v="78"/>
    <n v="0.81399999999999995"/>
    <n v="0.128"/>
    <n v="1.0307E-4"/>
    <n v="0.99990000000000001"/>
    <s v="65.39212225046239"/>
    <s v="20.12976045233073"/>
    <s v="13.122771860940851"/>
    <s v="11.68045743496418"/>
    <n v="714537258"/>
    <x v="0"/>
    <n v="3.2101269999999999E-4"/>
    <x v="0"/>
  </r>
  <r>
    <n v="49"/>
    <n v="1"/>
    <n v="4"/>
    <n v="3"/>
    <n v="1"/>
    <n v="5"/>
    <n v="0"/>
    <n v="32"/>
    <n v="2"/>
    <n v="1"/>
    <n v="3"/>
    <n v="3519"/>
    <n v="1336"/>
    <n v="2183"/>
    <n v="0.50600000000000001"/>
    <n v="3552"/>
    <n v="68"/>
    <n v="0.61899999999999999"/>
    <n v="0.38"/>
    <s v="9.4447e-05"/>
    <n v="0.99990999999999997"/>
    <s v="10.65296668476836"/>
    <s v="89.97232821822432"/>
    <s v="27.67341121278003"/>
    <s v="14.728065040741706"/>
    <n v="780942633"/>
    <x v="0"/>
    <n v="3.2914013999999999E-4"/>
    <x v="0"/>
  </r>
  <r>
    <n v="43"/>
    <n v="0"/>
    <n v="2"/>
    <n v="2"/>
    <n v="1"/>
    <n v="4"/>
    <n v="0"/>
    <n v="36"/>
    <n v="5"/>
    <n v="2"/>
    <n v="4"/>
    <n v="3589"/>
    <n v="1808"/>
    <n v="1781"/>
    <n v="0.75"/>
    <n v="4262"/>
    <n v="70"/>
    <n v="0.66700000000000004"/>
    <n v="0.504"/>
    <n v="3.2655999999999999E-4"/>
    <n v="0.99966999999999995"/>
    <s v="14.984212801110615"/>
    <s v="16.882694070171063"/>
    <s v="13.495068210518165"/>
    <s v="7.397140224623524"/>
    <n v="716961933"/>
    <x v="0"/>
    <n v="3.2101269999999999E-4"/>
    <x v="0"/>
  </r>
  <r>
    <n v="48"/>
    <n v="0"/>
    <n v="4"/>
    <n v="2"/>
    <n v="2"/>
    <n v="4"/>
    <n v="0"/>
    <n v="35"/>
    <n v="3"/>
    <n v="2"/>
    <n v="2"/>
    <n v="1705"/>
    <n v="1192"/>
    <n v="513"/>
    <n v="0.76300000000000001"/>
    <n v="4862"/>
    <n v="41"/>
    <n v="0.24199999999999999"/>
    <n v="0.69899999999999995"/>
    <n v="1.1937E-4"/>
    <n v="0.99987999999999999"/>
    <s v="14.095236936690757"/>
    <s v="24.604913703035585"/>
    <s v="85.30736606899092"/>
    <s v="31.39281760520261"/>
    <n v="719038008"/>
    <x v="0"/>
    <n v="1.3139478E-3"/>
    <x v="0"/>
  </r>
  <r>
    <n v="57"/>
    <n v="0"/>
    <n v="3"/>
    <n v="0"/>
    <n v="2"/>
    <n v="1"/>
    <n v="0"/>
    <n v="36"/>
    <n v="3"/>
    <n v="1"/>
    <n v="3"/>
    <n v="8184"/>
    <n v="1508"/>
    <n v="6676"/>
    <n v="0.78900000000000003"/>
    <n v="4134"/>
    <n v="71"/>
    <n v="0.82099999999999995"/>
    <n v="0.184"/>
    <s v="9.3457e-05"/>
    <n v="0.99990999999999997"/>
    <s v="12.859610685042922"/>
    <s v="48.636083038386005"/>
    <s v="29.79332976957708"/>
    <s v="34.13041597001949"/>
    <n v="719528958"/>
    <x v="0"/>
    <n v="3.2101269999999999E-4"/>
    <x v="0"/>
  </r>
  <r>
    <n v="51"/>
    <n v="0"/>
    <n v="1"/>
    <n v="2"/>
    <n v="1"/>
    <n v="4"/>
    <n v="0"/>
    <n v="40"/>
    <n v="3"/>
    <n v="3"/>
    <n v="0"/>
    <n v="2774"/>
    <n v="1362"/>
    <n v="1412"/>
    <n v="0.86599999999999999"/>
    <n v="4802"/>
    <n v="91"/>
    <n v="0.68500000000000005"/>
    <n v="0.49099999999999999"/>
    <s v="6.2282e-05"/>
    <n v="0.99994000000000005"/>
    <s v="18.165401714569533"/>
    <s v="23.081656885969903"/>
    <s v="63.08035349663388"/>
    <s v="2.612483719542656"/>
    <n v="714554808"/>
    <x v="0"/>
    <n v="3.2101269999999999E-4"/>
    <x v="0"/>
  </r>
  <r>
    <n v="58"/>
    <n v="1"/>
    <n v="2"/>
    <n v="5"/>
    <n v="1"/>
    <n v="3"/>
    <n v="0"/>
    <n v="46"/>
    <n v="6"/>
    <n v="1"/>
    <n v="3"/>
    <n v="9149"/>
    <n v="1806"/>
    <n v="7343"/>
    <n v="0.35"/>
    <n v="1220"/>
    <n v="36"/>
    <n v="0.33300000000000002"/>
    <n v="0.19700000000000001"/>
    <s v="9.5249e-05"/>
    <n v="0.99990000000000001"/>
    <s v="6.204217685045187"/>
    <s v="17.938547812104872"/>
    <s v="7.917398589807638"/>
    <s v="4.4094558759842455"/>
    <n v="721485708"/>
    <x v="0"/>
    <n v="1.1982243E-3"/>
    <x v="0"/>
  </r>
  <r>
    <n v="43"/>
    <n v="0"/>
    <n v="5"/>
    <n v="2"/>
    <n v="1"/>
    <n v="4"/>
    <n v="0"/>
    <n v="39"/>
    <n v="2"/>
    <n v="3"/>
    <n v="4"/>
    <n v="3981"/>
    <n v="0"/>
    <n v="3981"/>
    <n v="0.76400000000000001"/>
    <n v="2134"/>
    <n v="42"/>
    <n v="0.35499999999999998"/>
    <n v="0"/>
    <n v="0.99812999999999996"/>
    <n v="1.8726599999999999E-3"/>
    <s v="50.178264635371605"/>
    <s v="10.13334237895961"/>
    <s v="58.76164205841536"/>
    <s v="15.27376516972582"/>
    <n v="717242058"/>
    <x v="1"/>
    <n v="0.99841880000000005"/>
    <x v="1"/>
  </r>
  <r>
    <n v="65"/>
    <n v="1"/>
    <n v="0"/>
    <n v="2"/>
    <n v="2"/>
    <n v="4"/>
    <n v="0"/>
    <n v="56"/>
    <n v="3"/>
    <n v="3"/>
    <n v="2"/>
    <n v="3422"/>
    <n v="0"/>
    <n v="3422"/>
    <n v="0.92900000000000005"/>
    <n v="1973"/>
    <n v="59"/>
    <n v="0.68600000000000005"/>
    <n v="0"/>
    <n v="1.5435000000000001E-4"/>
    <n v="0.99985000000000002"/>
    <s v="61.44068524607532"/>
    <s v="16.105195402653436"/>
    <n v="37.944224593409103"/>
    <s v="4.411583508300467"/>
    <n v="712004208"/>
    <x v="0"/>
    <n v="1.1885992999999999E-3"/>
    <x v="0"/>
  </r>
  <r>
    <n v="46"/>
    <n v="1"/>
    <n v="2"/>
    <n v="2"/>
    <n v="1"/>
    <n v="2"/>
    <n v="0"/>
    <n v="40"/>
    <n v="4"/>
    <n v="2"/>
    <n v="4"/>
    <n v="7949"/>
    <n v="1514"/>
    <n v="6435"/>
    <n v="0.85699999999999998"/>
    <n v="3355"/>
    <n v="58"/>
    <n v="0.65700000000000003"/>
    <n v="0.19"/>
    <n v="3.2655999999999999E-4"/>
    <n v="0.99966999999999995"/>
    <s v="18.277502320327127"/>
    <s v="6.711680753853276"/>
    <s v="94.98723794764676"/>
    <s v="10.272011817638248"/>
    <n v="798114033"/>
    <x v="0"/>
    <n v="3.9187474999999999E-4"/>
    <x v="0"/>
  </r>
  <r>
    <n v="46"/>
    <n v="0"/>
    <n v="3"/>
    <n v="6"/>
    <n v="3"/>
    <n v="4"/>
    <n v="0"/>
    <n v="36"/>
    <n v="2"/>
    <n v="3"/>
    <n v="1"/>
    <n v="7199"/>
    <n v="1235"/>
    <n v="5964"/>
    <n v="0.83"/>
    <n v="4050"/>
    <n v="78"/>
    <n v="0.81399999999999995"/>
    <n v="0.17199999999999999"/>
    <n v="1.2373000000000001E-4"/>
    <n v="0.99987999999999999"/>
    <s v="0.4293484566181447"/>
    <s v="9.663452612433666"/>
    <s v="96.08020938286074"/>
    <s v="11.339270610905348"/>
    <n v="716443608"/>
    <x v="0"/>
    <n v="3.2101269999999999E-4"/>
    <x v="0"/>
  </r>
  <r>
    <n v="54"/>
    <n v="0"/>
    <n v="3"/>
    <n v="3"/>
    <n v="1"/>
    <n v="1"/>
    <n v="0"/>
    <n v="49"/>
    <n v="5"/>
    <n v="1"/>
    <n v="2"/>
    <n v="1438.3"/>
    <n v="886"/>
    <n v="552.29999999999995"/>
    <n v="0.82199999999999995"/>
    <n v="4385"/>
    <n v="91"/>
    <n v="0.71699999999999997"/>
    <n v="0.61599999999999999"/>
    <s v="5.5559e-05"/>
    <n v="0.99994000000000005"/>
    <s v="44.559429694241175"/>
    <s v="14.251932637200206"/>
    <s v="143.16664593692832"/>
    <s v="1.171290819962878"/>
    <n v="818326083"/>
    <x v="0"/>
    <n v="4.2162873000000002E-4"/>
    <x v="0"/>
  </r>
  <r>
    <n v="61"/>
    <n v="1"/>
    <n v="0"/>
    <n v="2"/>
    <n v="2"/>
    <n v="3"/>
    <n v="1"/>
    <n v="50"/>
    <n v="3"/>
    <n v="3"/>
    <n v="3"/>
    <n v="34516"/>
    <n v="1357"/>
    <n v="33159"/>
    <n v="0.68700000000000006"/>
    <n v="13722"/>
    <n v="124"/>
    <n v="0.746"/>
    <n v="3.9E-2"/>
    <n v="2.9908000000000002E-4"/>
    <n v="0.99970000000000003"/>
    <s v="24.35316504068301"/>
    <s v="0.6949954429758601"/>
    <s v="102.1549385385914"/>
    <s v="18.054738549865903"/>
    <n v="715600533"/>
    <x v="0"/>
    <n v="3.8573547000000003E-4"/>
    <x v="0"/>
  </r>
  <r>
    <n v="60"/>
    <n v="0"/>
    <n v="1"/>
    <n v="2"/>
    <n v="1"/>
    <n v="5"/>
    <n v="0"/>
    <n v="52"/>
    <n v="2"/>
    <n v="3"/>
    <n v="3"/>
    <n v="13312"/>
    <n v="1974"/>
    <n v="11338"/>
    <n v="0.89800000000000002"/>
    <n v="14336"/>
    <n v="106"/>
    <n v="0.65600000000000003"/>
    <n v="0.14799999999999999"/>
    <n v="2.8394999999999999E-4"/>
    <n v="0.99972000000000005"/>
    <s v="16.78755259282268"/>
    <s v="12.20597445436681"/>
    <s v="108.95073478923862"/>
    <s v="13.943211228966346"/>
    <n v="718799958"/>
    <x v="0"/>
    <n v="3.6437239999999999E-4"/>
    <x v="0"/>
  </r>
  <r>
    <n v="30"/>
    <n v="0"/>
    <n v="1"/>
    <n v="0"/>
    <n v="2"/>
    <n v="4"/>
    <n v="0"/>
    <n v="36"/>
    <n v="4"/>
    <n v="3"/>
    <n v="6"/>
    <n v="4541"/>
    <n v="0"/>
    <n v="4541"/>
    <n v="0.97599999999999998"/>
    <n v="7996"/>
    <n v="80"/>
    <n v="0.77800000000000002"/>
    <n v="0"/>
    <n v="0.99929999999999997"/>
    <n v="6.9828000000000002E-4"/>
    <s v="30.55508120435025"/>
    <s v="8.746483280732331"/>
    <s v="91.98831238291991"/>
    <n v="8.3962795895963396"/>
    <n v="719694408"/>
    <x v="1"/>
    <n v="0.99138910000000002"/>
    <x v="1"/>
  </r>
  <r>
    <n v="57"/>
    <n v="0"/>
    <n v="2"/>
    <n v="6"/>
    <n v="1"/>
    <n v="4"/>
    <n v="0"/>
    <n v="49"/>
    <n v="5"/>
    <n v="3"/>
    <n v="1"/>
    <n v="2679"/>
    <n v="2011"/>
    <n v="668"/>
    <n v="0.46600000000000003"/>
    <n v="1723"/>
    <n v="28"/>
    <n v="0.75"/>
    <n v="0.751"/>
    <n v="1.1924E-4"/>
    <n v="0.99987999999999999"/>
    <s v="5.617647513204512"/>
    <s v="93.18341277181412"/>
    <n v="0.34761150766823401"/>
    <s v="6.092674947559215"/>
    <n v="716111808"/>
    <x v="0"/>
    <n v="1.0337284E-3"/>
    <x v="0"/>
  </r>
  <r>
    <n v="47"/>
    <n v="0"/>
    <n v="3"/>
    <n v="2"/>
    <n v="2"/>
    <n v="4"/>
    <n v="0"/>
    <n v="43"/>
    <n v="4"/>
    <n v="2"/>
    <n v="4"/>
    <n v="5062"/>
    <n v="1423"/>
    <n v="3639"/>
    <n v="0.77500000000000002"/>
    <n v="4535"/>
    <n v="68"/>
    <n v="0.41699999999999998"/>
    <n v="0.28100000000000003"/>
    <n v="3.3886000000000002E-4"/>
    <n v="0.99965999999999999"/>
    <s v="17.976561262758064"/>
    <s v="35.53622469024988"/>
    <s v="15.598934383183416"/>
    <s v="0.6086196101376816"/>
    <n v="827948133"/>
    <x v="0"/>
    <n v="3.5747702000000001E-4"/>
    <x v="0"/>
  </r>
  <r>
    <n v="48"/>
    <n v="1"/>
    <n v="2"/>
    <n v="6"/>
    <n v="3"/>
    <n v="1"/>
    <n v="0"/>
    <n v="43"/>
    <n v="5"/>
    <n v="2"/>
    <n v="2"/>
    <n v="1761"/>
    <n v="1249"/>
    <n v="512"/>
    <n v="0.93600000000000005"/>
    <n v="4410"/>
    <n v="73"/>
    <n v="0.622"/>
    <n v="0.70899999999999996"/>
    <n v="1.2511E-4"/>
    <n v="0.99987000000000004"/>
    <s v="21.291080718060385"/>
    <s v="16.089861316455917"/>
    <s v="18.37214859080961"/>
    <s v="6.403545539362476"/>
    <n v="809582058"/>
    <x v="0"/>
    <n v="3.3028650000000001E-4"/>
    <x v="0"/>
  </r>
  <r>
    <n v="44"/>
    <n v="0"/>
    <n v="3"/>
    <n v="2"/>
    <n v="1"/>
    <n v="4"/>
    <n v="0"/>
    <n v="40"/>
    <n v="2"/>
    <n v="2"/>
    <n v="1"/>
    <n v="1438.3"/>
    <n v="0"/>
    <n v="1438.3"/>
    <n v="0.77300000000000002"/>
    <n v="4625"/>
    <n v="93"/>
    <n v="0.93799999999999994"/>
    <n v="0"/>
    <s v="7.1226e-05"/>
    <n v="0.99992999999999999"/>
    <s v="66.66193250494932"/>
    <s v="2.302075901679643"/>
    <n v="69.067535447665193"/>
    <s v="1.6804192846982755"/>
    <n v="823566408"/>
    <x v="0"/>
    <n v="6.9517245999999998E-4"/>
    <x v="0"/>
  </r>
  <r>
    <n v="50"/>
    <n v="1"/>
    <n v="2"/>
    <n v="3"/>
    <n v="1"/>
    <n v="0"/>
    <n v="0"/>
    <n v="38"/>
    <n v="5"/>
    <n v="6"/>
    <n v="0"/>
    <n v="10747"/>
    <n v="1027"/>
    <n v="9720"/>
    <n v="0.92500000000000004"/>
    <n v="4538"/>
    <n v="63"/>
    <n v="0.65800000000000003"/>
    <n v="9.6000000000000002E-2"/>
    <s v="5.092e-05"/>
    <n v="0.99995000000000001"/>
    <s v="17.03452535102405"/>
    <s v="30.231622558950683"/>
    <s v="58.00558979384887"/>
    <s v="2.6023258207440545"/>
    <n v="771529608"/>
    <x v="0"/>
    <n v="3.5702356000000003E-4"/>
    <x v="0"/>
  </r>
  <r>
    <n v="49"/>
    <n v="0"/>
    <n v="3"/>
    <n v="2"/>
    <n v="1"/>
    <n v="4"/>
    <n v="0"/>
    <n v="35"/>
    <n v="3"/>
    <n v="3"/>
    <n v="3"/>
    <n v="2919"/>
    <n v="2032"/>
    <n v="887"/>
    <n v="0.65400000000000003"/>
    <n v="4937"/>
    <n v="75"/>
    <n v="0.66700000000000004"/>
    <n v="0.69599999999999995"/>
    <n v="3.1389999999999999E-4"/>
    <n v="0.99968999999999997"/>
    <s v="43.270405337630535"/>
    <s v="105.17452975941714"/>
    <s v="64.48129424086734"/>
    <n v="4.87297773869326"/>
    <n v="779360808"/>
    <x v="0"/>
    <n v="3.2101269999999999E-4"/>
    <x v="0"/>
  </r>
  <r>
    <n v="41"/>
    <n v="1"/>
    <n v="3"/>
    <n v="2"/>
    <n v="1"/>
    <n v="0"/>
    <n v="3"/>
    <n v="36"/>
    <n v="3"/>
    <n v="3"/>
    <n v="2"/>
    <n v="34516"/>
    <n v="1453"/>
    <n v="33063"/>
    <n v="0.35699999999999998"/>
    <n v="4147"/>
    <n v="76"/>
    <n v="0.94899999999999995"/>
    <n v="4.2000000000000003E-2"/>
    <n v="1.6865000000000001E-4"/>
    <n v="0.99983"/>
    <s v="20.734221227327865"/>
    <s v="28.79259667231768"/>
    <s v="73.64138325779818"/>
    <s v="14.914404319660475"/>
    <n v="715771608"/>
    <x v="0"/>
    <n v="3.5729867999999997E-4"/>
    <x v="0"/>
  </r>
  <r>
    <n v="58"/>
    <n v="1"/>
    <n v="3"/>
    <n v="6"/>
    <n v="1"/>
    <n v="0"/>
    <n v="0"/>
    <n v="52"/>
    <n v="4"/>
    <n v="5"/>
    <n v="3"/>
    <n v="12398"/>
    <n v="0"/>
    <n v="12398"/>
    <n v="0.78500000000000003"/>
    <n v="4228"/>
    <n v="93"/>
    <n v="0.78800000000000003"/>
    <n v="0"/>
    <n v="3.8536000000000001E-4"/>
    <n v="0.99961"/>
    <s v="12.960440137550648"/>
    <s v="29.092954367594945"/>
    <s v="49.73049973914212"/>
    <n v="2.2324628997165101"/>
    <n v="789601308"/>
    <x v="0"/>
    <n v="6.9517245999999998E-4"/>
    <x v="0"/>
  </r>
  <r>
    <n v="65"/>
    <n v="0"/>
    <n v="0"/>
    <n v="2"/>
    <n v="3"/>
    <n v="5"/>
    <n v="0"/>
    <n v="36"/>
    <n v="3"/>
    <n v="3"/>
    <n v="4"/>
    <n v="2025"/>
    <n v="1701"/>
    <n v="324"/>
    <n v="0.628"/>
    <n v="4056"/>
    <n v="71"/>
    <n v="0.57799999999999996"/>
    <n v="0.84"/>
    <n v="4.4282000000000002E-4"/>
    <n v="0.99956"/>
    <s v="4.352746585108858"/>
    <s v="15.765627841246843"/>
    <s v="18.737543394989803"/>
    <s v="6.340186541285444"/>
    <n v="709131033"/>
    <x v="0"/>
    <n v="3.2914013999999999E-4"/>
    <x v="0"/>
  </r>
  <r>
    <n v="40"/>
    <n v="1"/>
    <n v="5"/>
    <n v="2"/>
    <n v="3"/>
    <n v="0"/>
    <n v="0"/>
    <n v="27"/>
    <n v="5"/>
    <n v="2"/>
    <n v="3"/>
    <n v="31954"/>
    <n v="2297"/>
    <n v="29657"/>
    <n v="0.51600000000000001"/>
    <n v="4371"/>
    <n v="82"/>
    <n v="0.64"/>
    <n v="7.1999999999999995E-2"/>
    <n v="1.9764000000000001E-4"/>
    <n v="0.99980000000000002"/>
    <s v="30.69030608553419"/>
    <n v="68.531087375212095"/>
    <s v="49.59949105601216"/>
    <n v="2.6629023526027802"/>
    <n v="771246708"/>
    <x v="0"/>
    <n v="3.6634394000000002E-4"/>
    <x v="0"/>
  </r>
  <r>
    <n v="32"/>
    <n v="0"/>
    <n v="0"/>
    <n v="6"/>
    <n v="2"/>
    <n v="4"/>
    <n v="0"/>
    <n v="17"/>
    <n v="1"/>
    <n v="2"/>
    <n v="1"/>
    <n v="4445"/>
    <n v="1080"/>
    <n v="3365"/>
    <n v="0.84"/>
    <n v="5373"/>
    <n v="87"/>
    <n v="0.77600000000000002"/>
    <n v="0.24299999999999999"/>
    <s v="6.4745e-05"/>
    <n v="0.99994000000000005"/>
    <s v="20.93578880716361"/>
    <s v="25.873153289356345"/>
    <n v="57.135391193529102"/>
    <s v="18.68379754192012"/>
    <n v="720729108"/>
    <x v="0"/>
    <n v="3.6588970000000001E-4"/>
    <x v="0"/>
  </r>
  <r>
    <n v="54"/>
    <n v="0"/>
    <n v="1"/>
    <n v="3"/>
    <n v="2"/>
    <n v="4"/>
    <n v="0"/>
    <n v="43"/>
    <n v="5"/>
    <n v="2"/>
    <n v="4"/>
    <n v="2082"/>
    <n v="805"/>
    <n v="1277"/>
    <n v="1.0489999999999999"/>
    <n v="4383"/>
    <n v="75"/>
    <n v="0.875"/>
    <n v="0.38700000000000001"/>
    <n v="2.9798999999999998E-4"/>
    <n v="0.99970000000000003"/>
    <n v="67.395493773150307"/>
    <s v="49.83804114653419"/>
    <s v="20.22438044259725"/>
    <s v="28.38927979533597"/>
    <n v="716041908"/>
    <x v="0"/>
    <n v="5.1208410000000003E-4"/>
    <x v="0"/>
  </r>
  <r>
    <n v="44"/>
    <n v="1"/>
    <n v="2"/>
    <n v="3"/>
    <n v="1"/>
    <n v="3"/>
    <n v="0"/>
    <n v="38"/>
    <n v="6"/>
    <n v="3"/>
    <n v="3"/>
    <n v="9183"/>
    <n v="2191"/>
    <n v="6992"/>
    <n v="0.58199999999999996"/>
    <n v="4503"/>
    <n v="69"/>
    <n v="0.64300000000000002"/>
    <n v="0.23899999999999999"/>
    <n v="2.9408E-4"/>
    <n v="0.99970999999999999"/>
    <s v="25.31594791851794"/>
    <s v="63.011329598976594"/>
    <s v="131.00238005426985"/>
    <s v="3.939102408772455"/>
    <n v="714901383"/>
    <x v="0"/>
    <n v="3.2914013999999999E-4"/>
    <x v="0"/>
  </r>
  <r>
    <n v="51"/>
    <n v="0"/>
    <n v="4"/>
    <n v="6"/>
    <n v="2"/>
    <n v="4"/>
    <n v="0"/>
    <n v="40"/>
    <n v="3"/>
    <n v="2"/>
    <n v="2"/>
    <n v="5139"/>
    <n v="1799"/>
    <n v="3340"/>
    <n v="0.94"/>
    <n v="7548"/>
    <n v="89"/>
    <n v="0.61799999999999999"/>
    <n v="0.35"/>
    <n v="1.3121000000000001E-4"/>
    <n v="0.99987000000000004"/>
    <n v="11.6855023224159"/>
    <s v="62.542818806493614"/>
    <s v="76.79444312665493"/>
    <s v="7.207407178736934"/>
    <n v="718773333"/>
    <x v="0"/>
    <n v="3.9731347000000001E-4"/>
    <x v="0"/>
  </r>
  <r>
    <n v="57"/>
    <n v="0"/>
    <n v="4"/>
    <n v="3"/>
    <n v="1"/>
    <n v="4"/>
    <n v="0"/>
    <n v="47"/>
    <n v="5"/>
    <n v="3"/>
    <n v="4"/>
    <n v="3191"/>
    <n v="2517"/>
    <n v="674"/>
    <n v="0.71899999999999997"/>
    <n v="1501"/>
    <n v="35"/>
    <n v="0.59099999999999997"/>
    <n v="0.78900000000000003"/>
    <n v="5.2607999999999995E-4"/>
    <n v="0.99946999999999997"/>
    <s v="24.644648673243037"/>
    <s v="86.73125094657259"/>
    <s v="65.30430274819311"/>
    <s v="3.258813587115758"/>
    <n v="719078283"/>
    <x v="0"/>
    <n v="1.1011294999999999E-3"/>
    <x v="0"/>
  </r>
  <r>
    <n v="57"/>
    <n v="0"/>
    <n v="3"/>
    <n v="3"/>
    <n v="1"/>
    <n v="4"/>
    <n v="0"/>
    <n v="36"/>
    <n v="6"/>
    <n v="2"/>
    <n v="3"/>
    <n v="3032"/>
    <n v="2215"/>
    <n v="817"/>
    <n v="0.40799999999999997"/>
    <n v="1387"/>
    <n v="30"/>
    <n v="0.57899999999999996"/>
    <n v="0.73099999999999998"/>
    <n v="1.9311E-4"/>
    <n v="0.99980999999999998"/>
    <s v="17.982208914204882"/>
    <n v="21.730776035660799"/>
    <s v="0.6280467888011292"/>
    <s v="3.955369291047164"/>
    <n v="708238833"/>
    <x v="0"/>
    <n v="1.0598798E-3"/>
    <x v="0"/>
  </r>
  <r>
    <n v="48"/>
    <n v="0"/>
    <n v="4"/>
    <n v="2"/>
    <n v="3"/>
    <n v="4"/>
    <n v="0"/>
    <n v="36"/>
    <n v="5"/>
    <n v="2"/>
    <n v="2"/>
    <n v="2700"/>
    <n v="2480"/>
    <n v="220"/>
    <n v="0.68600000000000005"/>
    <n v="2396"/>
    <n v="49"/>
    <n v="0.53100000000000003"/>
    <n v="0.91900000000000004"/>
    <n v="0.99168999999999996"/>
    <n v="8.3099999999999997E-3"/>
    <s v="9.356089649116957"/>
    <s v="43.20681370087309"/>
    <s v="35.48834937896811"/>
    <s v="10.877568437347184"/>
    <n v="787493808"/>
    <x v="1"/>
    <n v="0.99483573000000003"/>
    <x v="1"/>
  </r>
  <r>
    <n v="29"/>
    <n v="1"/>
    <n v="0"/>
    <n v="3"/>
    <n v="1"/>
    <n v="1"/>
    <n v="0"/>
    <n v="13"/>
    <n v="4"/>
    <n v="1"/>
    <n v="4"/>
    <n v="1458"/>
    <n v="671"/>
    <n v="787"/>
    <n v="1.583"/>
    <n v="2449"/>
    <n v="56"/>
    <n v="0.93100000000000005"/>
    <n v="0.46"/>
    <n v="1.3184000000000001E-4"/>
    <n v="0.99987000000000004"/>
    <s v="45.23093919048359"/>
    <s v="20.033027768472984"/>
    <s v="9.467893764710508"/>
    <s v="13.639585593221788"/>
    <n v="718264233"/>
    <x v="0"/>
    <n v="8.1689375999999996E-4"/>
    <x v="0"/>
  </r>
  <r>
    <n v="45"/>
    <n v="0"/>
    <n v="5"/>
    <n v="6"/>
    <n v="2"/>
    <n v="4"/>
    <n v="0"/>
    <n v="36"/>
    <n v="4"/>
    <n v="2"/>
    <n v="0"/>
    <n v="2679"/>
    <n v="1558"/>
    <n v="1121"/>
    <n v="0.997"/>
    <n v="4756"/>
    <n v="73"/>
    <n v="0.55300000000000005"/>
    <n v="0.58199999999999996"/>
    <s v="4.7646e-05"/>
    <n v="0.99995000000000001"/>
    <s v="2.0790286983479427"/>
    <s v="14.886074611068858"/>
    <s v="16.33908102213456"/>
    <s v="25.02025734008267"/>
    <n v="710125608"/>
    <x v="0"/>
    <n v="3.3028650000000001E-4"/>
    <x v="0"/>
  </r>
  <r>
    <n v="46"/>
    <n v="0"/>
    <n v="4"/>
    <n v="5"/>
    <n v="2"/>
    <n v="5"/>
    <n v="0"/>
    <n v="36"/>
    <n v="5"/>
    <n v="1"/>
    <n v="4"/>
    <n v="3818"/>
    <n v="0"/>
    <n v="3818"/>
    <n v="0.88500000000000001"/>
    <n v="4272"/>
    <n v="71"/>
    <n v="0.57799999999999996"/>
    <n v="0"/>
    <n v="1.7042000000000001E-4"/>
    <n v="0.99983"/>
    <s v="6.671099713688353"/>
    <s v="106.74711333185893"/>
    <s v="36.29304066648477"/>
    <s v="17.883671068853825"/>
    <n v="711850533"/>
    <x v="0"/>
    <n v="8.3752749999999997E-4"/>
    <x v="0"/>
  </r>
  <r>
    <n v="56"/>
    <n v="0"/>
    <n v="3"/>
    <n v="5"/>
    <n v="2"/>
    <n v="4"/>
    <n v="0"/>
    <n v="46"/>
    <n v="4"/>
    <n v="3"/>
    <n v="2"/>
    <n v="2258"/>
    <n v="0"/>
    <n v="2258"/>
    <n v="0.61699999999999999"/>
    <n v="4803"/>
    <n v="72"/>
    <n v="0.71399999999999997"/>
    <n v="0"/>
    <n v="1.9191E-4"/>
    <n v="0.99980999999999998"/>
    <s v="61.62588234838015"/>
    <s v="106.03733446848268"/>
    <s v="27.288261491025462"/>
    <s v="2.1690593458244973"/>
    <n v="712805658"/>
    <x v="0"/>
    <n v="6.9517245999999998E-4"/>
    <x v="0"/>
  </r>
  <r>
    <n v="40"/>
    <n v="0"/>
    <n v="3"/>
    <n v="6"/>
    <n v="1"/>
    <n v="4"/>
    <n v="0"/>
    <n v="28"/>
    <n v="2"/>
    <n v="3"/>
    <n v="3"/>
    <n v="1535"/>
    <n v="0"/>
    <n v="1535"/>
    <n v="0.54400000000000004"/>
    <n v="1921"/>
    <n v="41"/>
    <n v="0.46400000000000002"/>
    <n v="0"/>
    <n v="0.99711000000000005"/>
    <n v="2.8889200000000001E-3"/>
    <s v="29.124592865064407"/>
    <s v="83.98983602721823"/>
    <s v="99.59710563921324"/>
    <s v="4.7482482252638665"/>
    <n v="712812408"/>
    <x v="1"/>
    <n v="0.99877304"/>
    <x v="1"/>
  </r>
  <r>
    <n v="43"/>
    <n v="1"/>
    <n v="1"/>
    <n v="4"/>
    <n v="3"/>
    <n v="2"/>
    <n v="0"/>
    <n v="37"/>
    <n v="4"/>
    <n v="3"/>
    <n v="4"/>
    <n v="4112"/>
    <n v="1128"/>
    <n v="2984"/>
    <n v="0.58699999999999997"/>
    <n v="4446"/>
    <n v="75"/>
    <n v="0.66700000000000004"/>
    <n v="0.27400000000000002"/>
    <n v="5.6988000000000004E-4"/>
    <n v="0.99943000000000004"/>
    <s v="3.4712570022611926"/>
    <n v="46.454825997457696"/>
    <s v="30.234149712487987"/>
    <s v="16.23944395276932"/>
    <n v="787261008"/>
    <x v="0"/>
    <n v="3.2101269999999999E-4"/>
    <x v="0"/>
  </r>
  <r>
    <n v="53"/>
    <n v="0"/>
    <n v="1"/>
    <n v="3"/>
    <n v="1"/>
    <n v="4"/>
    <n v="0"/>
    <n v="47"/>
    <n v="6"/>
    <n v="1"/>
    <n v="2"/>
    <n v="3445"/>
    <n v="1074"/>
    <n v="2371"/>
    <n v="0.67"/>
    <n v="1074"/>
    <n v="31"/>
    <n v="0.63200000000000001"/>
    <n v="0.312"/>
    <s v="5.0256e-05"/>
    <n v="0.99995000000000001"/>
    <s v="9.359645384440071"/>
    <s v="75.94721898702225"/>
    <s v="32.87896711398799"/>
    <s v="20.56254311691079"/>
    <n v="795979833"/>
    <x v="0"/>
    <n v="1.1454669E-3"/>
    <x v="0"/>
  </r>
  <r>
    <n v="43"/>
    <n v="0"/>
    <n v="4"/>
    <n v="6"/>
    <n v="2"/>
    <n v="4"/>
    <n v="0"/>
    <n v="38"/>
    <n v="2"/>
    <n v="1"/>
    <n v="2"/>
    <n v="3220"/>
    <n v="0"/>
    <n v="3220"/>
    <n v="0.78200000000000003"/>
    <n v="13339"/>
    <n v="90"/>
    <n v="0.69799999999999995"/>
    <n v="0"/>
    <s v="6.3492e-05"/>
    <n v="0.99994000000000005"/>
    <s v="79.07805064635006"/>
    <s v="36.66880546429678"/>
    <s v="3.852155535996556"/>
    <s v="0.5101000122402428"/>
    <n v="809459733"/>
    <x v="0"/>
    <n v="7.5047980000000002E-4"/>
    <x v="0"/>
  </r>
  <r>
    <n v="51"/>
    <n v="0"/>
    <n v="1"/>
    <n v="1"/>
    <n v="1"/>
    <n v="5"/>
    <n v="0"/>
    <n v="45"/>
    <n v="6"/>
    <n v="2"/>
    <n v="1"/>
    <n v="7336"/>
    <n v="1031"/>
    <n v="6305"/>
    <n v="0.65800000000000003"/>
    <n v="3812"/>
    <n v="67"/>
    <n v="0.67500000000000004"/>
    <n v="0.14099999999999999"/>
    <s v="9.3235e-05"/>
    <n v="0.99990999999999997"/>
    <s v="3.3768536168551564"/>
    <s v="0.3089447451946979"/>
    <s v="8.167294782749071"/>
    <s v="13.644988964510292"/>
    <n v="794866983"/>
    <x v="0"/>
    <n v="3.2101269999999999E-4"/>
    <x v="0"/>
  </r>
  <r>
    <n v="34"/>
    <n v="0"/>
    <n v="4"/>
    <n v="2"/>
    <n v="1"/>
    <n v="4"/>
    <n v="0"/>
    <n v="36"/>
    <n v="2"/>
    <n v="2"/>
    <n v="4"/>
    <n v="5021"/>
    <n v="2517"/>
    <n v="2504"/>
    <n v="0.58699999999999997"/>
    <n v="2270"/>
    <n v="40"/>
    <n v="0.48099999999999998"/>
    <n v="0.501"/>
    <n v="0.99709000000000003"/>
    <n v="2.9104000000000001E-3"/>
    <s v="31.93978255272612"/>
    <s v="34.65946521160493"/>
    <s v="10.440832807357005"/>
    <s v="0.4035072234025458"/>
    <n v="712795833"/>
    <x v="1"/>
    <n v="0.99543000000000004"/>
    <x v="1"/>
  </r>
  <r>
    <n v="40"/>
    <n v="0"/>
    <n v="1"/>
    <n v="3"/>
    <n v="0"/>
    <n v="4"/>
    <n v="0"/>
    <n v="30"/>
    <n v="6"/>
    <n v="2"/>
    <n v="1"/>
    <n v="2579"/>
    <n v="1959"/>
    <n v="620"/>
    <n v="0.61799999999999999"/>
    <n v="4300"/>
    <n v="69"/>
    <n v="0.68300000000000005"/>
    <n v="0.76"/>
    <s v="6.2633e-05"/>
    <n v="0.99994000000000005"/>
    <s v="23.77679026760852"/>
    <s v="15.730029297825803"/>
    <s v="42.40279735848377"/>
    <n v="9.2969702127679597"/>
    <n v="720774183"/>
    <x v="0"/>
    <n v="3.2101269999999999E-4"/>
    <x v="0"/>
  </r>
  <r>
    <n v="46"/>
    <n v="0"/>
    <n v="4"/>
    <n v="1"/>
    <n v="1"/>
    <n v="5"/>
    <n v="0"/>
    <n v="26"/>
    <n v="3"/>
    <n v="3"/>
    <n v="6"/>
    <n v="15195"/>
    <n v="0"/>
    <n v="15195"/>
    <n v="0.72599999999999998"/>
    <n v="2631"/>
    <n v="41"/>
    <n v="0.64"/>
    <n v="0"/>
    <n v="0.99958000000000002"/>
    <n v="4.1997999999999997E-4"/>
    <s v="16.034278925699837"/>
    <s v="35.995949159597195"/>
    <s v="18.902861276669604"/>
    <s v="14.841834006608082"/>
    <n v="720551733"/>
    <x v="1"/>
    <n v="0.99769633999999996"/>
    <x v="1"/>
  </r>
  <r>
    <n v="51"/>
    <n v="1"/>
    <n v="2"/>
    <n v="0"/>
    <n v="2"/>
    <n v="0"/>
    <n v="0"/>
    <n v="36"/>
    <n v="2"/>
    <n v="2"/>
    <n v="2"/>
    <n v="3477"/>
    <n v="752"/>
    <n v="2725"/>
    <n v="0.70299999999999996"/>
    <n v="13627"/>
    <n v="120"/>
    <n v="0.73899999999999999"/>
    <n v="0.216"/>
    <n v="1.1066E-4"/>
    <n v="0.99988999999999995"/>
    <s v="9.119878858010113"/>
    <s v="41.440088226454485"/>
    <s v="50.88478732721892"/>
    <s v="25.39969823986332"/>
    <n v="780730008"/>
    <x v="0"/>
    <n v="5.8825010000000005E-4"/>
    <x v="0"/>
  </r>
  <r>
    <n v="51"/>
    <n v="1"/>
    <n v="2"/>
    <n v="2"/>
    <n v="1"/>
    <n v="0"/>
    <n v="0"/>
    <n v="44"/>
    <n v="4"/>
    <n v="3"/>
    <n v="3"/>
    <n v="34516"/>
    <n v="1666"/>
    <n v="32850"/>
    <n v="0.61299999999999999"/>
    <n v="1218"/>
    <n v="18"/>
    <n v="0.8"/>
    <n v="4.8000000000000001E-2"/>
    <n v="3.0250999999999998E-4"/>
    <n v="0.99970000000000003"/>
    <s v="43.421702136181615"/>
    <s v="32.829621450392175"/>
    <s v="60.26536572312897"/>
    <s v="28.84234004971585"/>
    <n v="758348808"/>
    <x v="0"/>
    <n v="1.0985557E-3"/>
    <x v="0"/>
  </r>
  <r>
    <n v="42"/>
    <n v="0"/>
    <n v="0"/>
    <n v="0"/>
    <n v="2"/>
    <n v="1"/>
    <n v="0"/>
    <n v="30"/>
    <n v="5"/>
    <n v="2"/>
    <n v="3"/>
    <n v="1438.3"/>
    <n v="1223"/>
    <n v="215.3"/>
    <n v="0.49099999999999999"/>
    <n v="2181"/>
    <n v="43"/>
    <n v="0.59299999999999997"/>
    <n v="0.85"/>
    <n v="0.99378"/>
    <n v="6.2199999999999998E-3"/>
    <s v="35.77800550536117"/>
    <s v="22.047492682798055"/>
    <s v="54.27727254256763"/>
    <s v="7.964032594361237"/>
    <n v="712767858"/>
    <x v="1"/>
    <n v="0.99517619999999996"/>
    <x v="1"/>
  </r>
  <r>
    <n v="49"/>
    <n v="0"/>
    <n v="2"/>
    <n v="5"/>
    <n v="1"/>
    <n v="4"/>
    <n v="0"/>
    <n v="41"/>
    <n v="5"/>
    <n v="1"/>
    <n v="3"/>
    <n v="2189"/>
    <n v="1860"/>
    <n v="329"/>
    <n v="0.83399999999999996"/>
    <n v="4195"/>
    <n v="81"/>
    <n v="0.65300000000000002"/>
    <n v="0.85"/>
    <s v="9.5249e-05"/>
    <n v="0.99990000000000001"/>
    <s v="9.074114279296149"/>
    <s v="1.0343757961341338"/>
    <s v="30.775148232931382"/>
    <s v="12.744608361497974"/>
    <n v="712012758"/>
    <x v="0"/>
    <n v="3.2101269999999999E-4"/>
    <x v="0"/>
  </r>
  <r>
    <n v="43"/>
    <n v="1"/>
    <n v="4"/>
    <n v="6"/>
    <n v="1"/>
    <n v="2"/>
    <n v="0"/>
    <n v="35"/>
    <n v="6"/>
    <n v="3"/>
    <n v="2"/>
    <n v="24396"/>
    <n v="1171"/>
    <n v="23225"/>
    <n v="0.65500000000000003"/>
    <n v="965"/>
    <n v="17"/>
    <n v="1.125"/>
    <n v="4.8000000000000001E-2"/>
    <n v="2.0735E-4"/>
    <n v="0.99978999999999996"/>
    <s v="25.597000170193148"/>
    <s v="7.262901415173819"/>
    <s v="67.86128420273548"/>
    <s v="0.4896105541403269"/>
    <n v="710620383"/>
    <x v="0"/>
    <n v="1.1872624E-3"/>
    <x v="0"/>
  </r>
  <r>
    <n v="52"/>
    <n v="0"/>
    <n v="1"/>
    <n v="0"/>
    <n v="2"/>
    <n v="4"/>
    <n v="0"/>
    <n v="41"/>
    <n v="5"/>
    <n v="3"/>
    <n v="6"/>
    <n v="1764"/>
    <n v="0"/>
    <n v="1764"/>
    <n v="0.82399999999999995"/>
    <n v="2740"/>
    <n v="47"/>
    <n v="0.34300000000000003"/>
    <n v="0"/>
    <n v="0.99929999999999997"/>
    <n v="6.9828000000000002E-4"/>
    <s v="101.10002514342828"/>
    <s v="10.56946302358515"/>
    <s v="72.38242871434039"/>
    <s v="5.512677084529211"/>
    <n v="772073508"/>
    <x v="1"/>
    <n v="0.99792429999999999"/>
    <x v="1"/>
  </r>
  <r>
    <n v="57"/>
    <n v="0"/>
    <n v="3"/>
    <n v="0"/>
    <n v="2"/>
    <n v="5"/>
    <n v="0"/>
    <n v="39"/>
    <n v="4"/>
    <n v="1"/>
    <n v="2"/>
    <n v="7469"/>
    <n v="1752"/>
    <n v="5717"/>
    <n v="0.92300000000000004"/>
    <n v="2050"/>
    <n v="46"/>
    <n v="0.91700000000000004"/>
    <n v="0.23499999999999999"/>
    <s v="5.5564e-05"/>
    <n v="0.99994000000000005"/>
    <s v="5.271185758321441"/>
    <s v="34.873383746440325"/>
    <s v="61.34328849216482"/>
    <s v="14.55472457082564"/>
    <n v="788788758"/>
    <x v="0"/>
    <n v="1.1511369E-3"/>
    <x v="0"/>
  </r>
  <r>
    <n v="56"/>
    <n v="0"/>
    <n v="2"/>
    <n v="5"/>
    <n v="2"/>
    <n v="5"/>
    <n v="0"/>
    <n v="47"/>
    <n v="5"/>
    <n v="2"/>
    <n v="1"/>
    <n v="5261"/>
    <n v="1966"/>
    <n v="3295"/>
    <n v="0.67200000000000004"/>
    <n v="4448"/>
    <n v="86"/>
    <n v="0.79200000000000004"/>
    <n v="0.374"/>
    <s v="7.0576e-05"/>
    <n v="0.99992999999999999"/>
    <s v="9.070967503157892"/>
    <s v="9.863335182968916"/>
    <s v="3.6209124458554713"/>
    <s v="16.470052181204824"/>
    <n v="778268508"/>
    <x v="0"/>
    <n v="3.2101269999999999E-4"/>
    <x v="0"/>
  </r>
  <r>
    <n v="27"/>
    <n v="0"/>
    <n v="1"/>
    <n v="5"/>
    <n v="3"/>
    <n v="4"/>
    <n v="0"/>
    <n v="16"/>
    <n v="3"/>
    <n v="1"/>
    <n v="2"/>
    <n v="1438.3"/>
    <n v="0"/>
    <n v="1438.3"/>
    <n v="0.46899999999999997"/>
    <n v="4479"/>
    <n v="70"/>
    <n v="0.628"/>
    <n v="0"/>
    <s v="5.3155e-05"/>
    <n v="0.99995000000000001"/>
    <s v="7.0022157365071775"/>
    <s v="31.94283847796571"/>
    <s v="4.5660823188770525"/>
    <s v="10.286515793813845"/>
    <n v="715565058"/>
    <x v="0"/>
    <n v="7.686247E-4"/>
    <x v="0"/>
  </r>
  <r>
    <n v="44"/>
    <n v="1"/>
    <n v="4"/>
    <n v="5"/>
    <n v="1"/>
    <n v="1"/>
    <n v="0"/>
    <n v="33"/>
    <n v="5"/>
    <n v="4"/>
    <n v="3"/>
    <n v="1527"/>
    <n v="0"/>
    <n v="1527"/>
    <n v="0.53100000000000003"/>
    <n v="1877"/>
    <n v="38"/>
    <n v="0.46200000000000002"/>
    <n v="0"/>
    <n v="0.99746999999999997"/>
    <n v="2.5293300000000002E-3"/>
    <s v="10.124239358466577"/>
    <s v="39.485331606625735"/>
    <s v="52.18843135402142"/>
    <s v="2.1415915203714557"/>
    <n v="771776808"/>
    <x v="1"/>
    <n v="0.99866544999999995"/>
    <x v="1"/>
  </r>
  <r>
    <n v="39"/>
    <n v="1"/>
    <n v="1"/>
    <n v="3"/>
    <n v="0"/>
    <n v="2"/>
    <n v="0"/>
    <n v="33"/>
    <n v="5"/>
    <n v="3"/>
    <n v="3"/>
    <n v="5926"/>
    <n v="1251"/>
    <n v="4675"/>
    <n v="0.94399999999999995"/>
    <n v="1316"/>
    <n v="28"/>
    <n v="1.1539999999999999"/>
    <n v="0.21099999999999999"/>
    <n v="2.7604000000000002E-4"/>
    <n v="0.99972000000000005"/>
    <s v="43.33531611589262"/>
    <s v="51.87234392665778"/>
    <s v="18.221839100460883"/>
    <s v="1.569371985989731"/>
    <n v="711481533"/>
    <x v="0"/>
    <n v="9.8706899999999992E-4"/>
    <x v="0"/>
  </r>
  <r>
    <n v="48"/>
    <n v="0"/>
    <n v="4"/>
    <n v="3"/>
    <n v="1"/>
    <n v="4"/>
    <n v="0"/>
    <n v="30"/>
    <n v="2"/>
    <n v="3"/>
    <n v="2"/>
    <n v="2913"/>
    <n v="0"/>
    <n v="2913"/>
    <n v="1.0580000000000001"/>
    <n v="4955"/>
    <n v="56"/>
    <n v="0.80600000000000005"/>
    <n v="0"/>
    <n v="0.99458000000000002"/>
    <n v="5.4200000000000003E-3"/>
    <s v="44.85466297627124"/>
    <s v="7.597662417021033"/>
    <s v="14.060817902624626"/>
    <s v="26.77485272007456"/>
    <n v="720655833"/>
    <x v="1"/>
    <n v="0.99540114000000002"/>
    <x v="1"/>
  </r>
  <r>
    <n v="38"/>
    <n v="1"/>
    <n v="4"/>
    <n v="3"/>
    <n v="2"/>
    <n v="3"/>
    <n v="1"/>
    <n v="36"/>
    <n v="6"/>
    <n v="1"/>
    <n v="3"/>
    <n v="34516"/>
    <n v="1140"/>
    <n v="33376"/>
    <n v="0.81499999999999995"/>
    <n v="1445"/>
    <n v="45"/>
    <n v="0.95699999999999996"/>
    <n v="3.3000000000000002E-2"/>
    <n v="1.0881E-4"/>
    <n v="0.99988999999999995"/>
    <s v="9.506138004359151"/>
    <n v="83.737610851934605"/>
    <s v="24.242147192137445"/>
    <s v="4.095068103699604"/>
    <n v="710628783"/>
    <x v="0"/>
    <n v="1.0985557E-3"/>
    <x v="0"/>
  </r>
  <r>
    <n v="54"/>
    <n v="0"/>
    <n v="2"/>
    <n v="6"/>
    <n v="0"/>
    <n v="4"/>
    <n v="0"/>
    <n v="36"/>
    <n v="1"/>
    <n v="2"/>
    <n v="1"/>
    <n v="8758"/>
    <n v="1511"/>
    <n v="7247"/>
    <n v="0.67400000000000004"/>
    <n v="7680"/>
    <n v="89"/>
    <n v="0.50800000000000001"/>
    <n v="0.17299999999999999"/>
    <s v="7.5449e-05"/>
    <n v="0.99992000000000003"/>
    <s v="15.76080433818642"/>
    <s v="26.235694888940664"/>
    <s v="197.06840716122105"/>
    <s v="6.798989670582516"/>
    <n v="721225083"/>
    <x v="0"/>
    <n v="3.9225167999999998E-4"/>
    <x v="0"/>
  </r>
  <r>
    <n v="45"/>
    <n v="0"/>
    <n v="4"/>
    <n v="2"/>
    <n v="2"/>
    <n v="4"/>
    <n v="0"/>
    <n v="33"/>
    <n v="2"/>
    <n v="1"/>
    <n v="3"/>
    <n v="3001"/>
    <n v="2055"/>
    <n v="946"/>
    <n v="0.83799999999999997"/>
    <n v="4662"/>
    <n v="70"/>
    <n v="0.628"/>
    <n v="0.68500000000000005"/>
    <s v="9.7154e-05"/>
    <n v="0.99990000000000001"/>
    <s v="51.11999531811794"/>
    <s v="12.392225197053842"/>
    <s v="130.7956894361487"/>
    <s v="30.962303474751565"/>
    <n v="779420583"/>
    <x v="0"/>
    <n v="3.2914013999999999E-4"/>
    <x v="0"/>
  </r>
  <r>
    <n v="37"/>
    <n v="0"/>
    <n v="2"/>
    <n v="2"/>
    <n v="2"/>
    <n v="4"/>
    <n v="0"/>
    <n v="24"/>
    <n v="5"/>
    <n v="2"/>
    <n v="3"/>
    <n v="8444"/>
    <n v="1945"/>
    <n v="6499"/>
    <n v="0.70299999999999996"/>
    <n v="2497"/>
    <n v="74"/>
    <n v="0.60899999999999999"/>
    <n v="0.23"/>
    <n v="1.9143E-4"/>
    <n v="0.99980999999999998"/>
    <n v="39.302104959476203"/>
    <s v="38.50777768337611"/>
    <s v="32.73556944564265"/>
    <s v="12.647550512320471"/>
    <n v="771099183"/>
    <x v="0"/>
    <n v="4.0449749999999998E-4"/>
    <x v="0"/>
  </r>
  <r>
    <n v="44"/>
    <n v="0"/>
    <n v="4"/>
    <n v="2"/>
    <n v="1"/>
    <n v="1"/>
    <n v="0"/>
    <n v="30"/>
    <n v="3"/>
    <n v="3"/>
    <n v="3"/>
    <n v="4068"/>
    <n v="0"/>
    <n v="4068"/>
    <n v="1.121"/>
    <n v="5161"/>
    <n v="83"/>
    <n v="0.76600000000000001"/>
    <n v="0"/>
    <n v="3.1725999999999998E-4"/>
    <n v="0.99968000000000001"/>
    <s v="5.3643802950233805"/>
    <s v="24.352298014860832"/>
    <s v="21.670697576131342"/>
    <s v="7.343098860742355"/>
    <n v="708862233"/>
    <x v="0"/>
    <n v="7.4699510000000001E-4"/>
    <x v="0"/>
  </r>
  <r>
    <n v="43"/>
    <n v="1"/>
    <n v="3"/>
    <n v="6"/>
    <n v="2"/>
    <n v="2"/>
    <n v="0"/>
    <n v="34"/>
    <n v="6"/>
    <n v="2"/>
    <n v="0"/>
    <n v="13771"/>
    <n v="2517"/>
    <n v="11254"/>
    <n v="0.501"/>
    <n v="1510"/>
    <n v="42"/>
    <n v="0.75"/>
    <n v="0.183"/>
    <s v="4.7889e-05"/>
    <n v="0.99995000000000001"/>
    <s v="57.25077104793888"/>
    <s v="35.23892602816105"/>
    <n v="34.891335462246602"/>
    <s v="6.432478122346509"/>
    <n v="780913308"/>
    <x v="0"/>
    <n v="1.0739613999999999E-3"/>
    <x v="0"/>
  </r>
  <r>
    <n v="47"/>
    <n v="0"/>
    <n v="4"/>
    <n v="2"/>
    <n v="1"/>
    <n v="4"/>
    <n v="0"/>
    <n v="34"/>
    <n v="5"/>
    <n v="3"/>
    <n v="4"/>
    <n v="1926"/>
    <n v="879"/>
    <n v="1047"/>
    <n v="0.53600000000000003"/>
    <n v="4385"/>
    <n v="71"/>
    <n v="0.61399999999999999"/>
    <n v="0.45600000000000002"/>
    <n v="5.4115000000000001E-4"/>
    <n v="0.99946000000000002"/>
    <s v="49.504350009909125"/>
    <s v="15.80377145214685"/>
    <s v="34.617033907492484"/>
    <s v="6.869105191164428"/>
    <n v="771108933"/>
    <x v="0"/>
    <n v="4.3230187E-4"/>
    <x v="0"/>
  </r>
  <r>
    <n v="45"/>
    <n v="1"/>
    <n v="3"/>
    <n v="2"/>
    <n v="2"/>
    <n v="0"/>
    <n v="0"/>
    <n v="31"/>
    <n v="5"/>
    <n v="2"/>
    <n v="2"/>
    <n v="3534"/>
    <n v="0"/>
    <n v="3534"/>
    <n v="0.53600000000000003"/>
    <n v="3973"/>
    <n v="66"/>
    <n v="0.78400000000000003"/>
    <n v="0"/>
    <n v="1.1811000000000001E-4"/>
    <n v="0.99987999999999999"/>
    <s v="38.52837375414515"/>
    <s v="5.388566179993496"/>
    <n v="29.809885604744199"/>
    <s v="0.6155683713207913"/>
    <n v="716959833"/>
    <x v="0"/>
    <n v="7.4965424999999997E-4"/>
    <x v="0"/>
  </r>
  <r>
    <n v="54"/>
    <n v="0"/>
    <n v="0"/>
    <n v="0"/>
    <n v="1"/>
    <n v="1"/>
    <n v="0"/>
    <n v="46"/>
    <n v="6"/>
    <n v="2"/>
    <n v="3"/>
    <n v="2254"/>
    <n v="533"/>
    <n v="1721"/>
    <n v="1.0429999999999999"/>
    <n v="4913"/>
    <n v="84"/>
    <n v="0.90900000000000003"/>
    <n v="0.23599999999999999"/>
    <n v="1.5971E-4"/>
    <n v="0.99983999999999995"/>
    <s v="42.381522656055886"/>
    <s v="6.779068167356252"/>
    <s v="65.43618949576538"/>
    <s v="24.943640510195795"/>
    <n v="714393708"/>
    <x v="0"/>
    <n v="6.4059100000000003E-4"/>
    <x v="0"/>
  </r>
  <r>
    <n v="33"/>
    <n v="0"/>
    <n v="3"/>
    <n v="3"/>
    <n v="1"/>
    <n v="4"/>
    <n v="0"/>
    <n v="21"/>
    <n v="2"/>
    <n v="1"/>
    <n v="3"/>
    <n v="2831"/>
    <n v="1167"/>
    <n v="1664"/>
    <n v="0.74399999999999999"/>
    <n v="4460"/>
    <n v="65"/>
    <n v="0.85699999999999998"/>
    <n v="0.41199999999999998"/>
    <s v="9.3448e-05"/>
    <n v="0.99990999999999997"/>
    <s v="31.963309795537405"/>
    <s v="19.71612866397281"/>
    <s v="26.902665249810862"/>
    <s v="7.285660450550362"/>
    <n v="716741508"/>
    <x v="0"/>
    <n v="3.2890364000000001E-4"/>
    <x v="0"/>
  </r>
  <r>
    <n v="46"/>
    <n v="0"/>
    <n v="2"/>
    <n v="2"/>
    <n v="3"/>
    <n v="4"/>
    <n v="0"/>
    <n v="39"/>
    <n v="5"/>
    <n v="2"/>
    <n v="2"/>
    <n v="3003"/>
    <n v="1454"/>
    <n v="1549"/>
    <n v="0.59499999999999997"/>
    <n v="4378"/>
    <n v="96"/>
    <n v="0.54800000000000004"/>
    <n v="0.48399999999999999"/>
    <n v="1.1382E-4"/>
    <n v="0.99988999999999995"/>
    <s v="11.718829851881614"/>
    <s v="7.304425069724882"/>
    <s v="127.6291669533365"/>
    <s v="13.288793905353774"/>
    <n v="767280633"/>
    <x v="0"/>
    <n v="3.2914013999999999E-4"/>
    <x v="0"/>
  </r>
  <r>
    <n v="49"/>
    <n v="1"/>
    <n v="3"/>
    <n v="0"/>
    <n v="2"/>
    <n v="2"/>
    <n v="1"/>
    <n v="36"/>
    <n v="5"/>
    <n v="3"/>
    <n v="1"/>
    <n v="34516"/>
    <n v="1255"/>
    <n v="33261"/>
    <n v="0.73099999999999998"/>
    <n v="3847"/>
    <n v="73"/>
    <n v="0.69799999999999995"/>
    <n v="3.5999999999999997E-2"/>
    <n v="1.2608000000000001E-4"/>
    <n v="0.99987000000000004"/>
    <s v="10.945629073381506"/>
    <s v="3.033887846029963"/>
    <s v="94.40624715924888"/>
    <s v="1.2247637757349203"/>
    <n v="716614683"/>
    <x v="0"/>
    <n v="3.5729867999999997E-4"/>
    <x v="0"/>
  </r>
  <r>
    <n v="46"/>
    <n v="0"/>
    <n v="2"/>
    <n v="2"/>
    <n v="1"/>
    <n v="4"/>
    <n v="0"/>
    <n v="31"/>
    <n v="5"/>
    <n v="2"/>
    <n v="0"/>
    <n v="2330"/>
    <n v="1584"/>
    <n v="746"/>
    <n v="0.78"/>
    <n v="3917"/>
    <n v="71"/>
    <n v="0.65100000000000002"/>
    <n v="0.68"/>
    <s v="4.1986e-05"/>
    <n v="0.99995999999999996"/>
    <s v="1.6120992483724084"/>
    <s v="32.761713035305995"/>
    <s v="76.78452927351246"/>
    <s v="10.155672949765746"/>
    <n v="709993158"/>
    <x v="0"/>
    <n v="3.2101269999999999E-4"/>
    <x v="0"/>
  </r>
  <r>
    <n v="40"/>
    <n v="0"/>
    <n v="3"/>
    <n v="5"/>
    <n v="0"/>
    <n v="1"/>
    <n v="0"/>
    <n v="28"/>
    <n v="3"/>
    <n v="1"/>
    <n v="3"/>
    <n v="6608"/>
    <n v="2270"/>
    <n v="4338"/>
    <n v="0.75"/>
    <n v="4033"/>
    <n v="58"/>
    <n v="0.65700000000000003"/>
    <n v="0.34399999999999997"/>
    <s v="9.8837e-05"/>
    <n v="0.99990000000000001"/>
    <s v="2.203510108201335"/>
    <s v="9.921521523247222"/>
    <s v="29.88728075505724"/>
    <s v="1.5523898271866914"/>
    <n v="709236633"/>
    <x v="0"/>
    <n v="3.9187474999999999E-4"/>
    <x v="0"/>
  </r>
  <r>
    <n v="50"/>
    <n v="0"/>
    <n v="0"/>
    <n v="2"/>
    <n v="2"/>
    <n v="4"/>
    <n v="0"/>
    <n v="46"/>
    <n v="3"/>
    <n v="2"/>
    <n v="2"/>
    <n v="2165"/>
    <n v="1392"/>
    <n v="773"/>
    <n v="0.73399999999999999"/>
    <n v="4194"/>
    <n v="72"/>
    <n v="0.94599999999999995"/>
    <n v="0.64300000000000002"/>
    <s v="9.7673e-05"/>
    <n v="0.99990000000000001"/>
    <s v="31.241831027956508"/>
    <s v="2.468276894025834"/>
    <s v="101.72488628529912"/>
    <s v="10.84378240238006"/>
    <n v="711302883"/>
    <x v="0"/>
    <n v="3.2101269999999999E-4"/>
    <x v="0"/>
  </r>
  <r>
    <n v="41"/>
    <n v="0"/>
    <n v="4"/>
    <n v="2"/>
    <n v="1"/>
    <n v="4"/>
    <n v="0"/>
    <n v="36"/>
    <n v="4"/>
    <n v="1"/>
    <n v="1"/>
    <n v="4632"/>
    <n v="0"/>
    <n v="4632"/>
    <n v="0.63700000000000001"/>
    <n v="4306"/>
    <n v="63"/>
    <n v="0.75"/>
    <n v="0"/>
    <s v="3.4833e-05"/>
    <n v="0.99997000000000003"/>
    <s v="3.349900240888159"/>
    <s v="25.84499290950784"/>
    <s v="9.025829427049846"/>
    <s v="12.98474662100979"/>
    <n v="720457608"/>
    <x v="0"/>
    <n v="8.1245880000000001E-4"/>
    <x v="0"/>
  </r>
  <r>
    <n v="37"/>
    <n v="1"/>
    <n v="3"/>
    <n v="3"/>
    <n v="2"/>
    <n v="3"/>
    <n v="0"/>
    <n v="24"/>
    <n v="1"/>
    <n v="2"/>
    <n v="3"/>
    <n v="3437"/>
    <n v="1064"/>
    <n v="2373"/>
    <n v="0.85099999999999998"/>
    <n v="5110"/>
    <n v="76"/>
    <n v="0.85399999999999998"/>
    <n v="0.31"/>
    <n v="1.9311E-4"/>
    <n v="0.99980999999999998"/>
    <s v="13.900598229308615"/>
    <s v="115.43436643200748"/>
    <s v="28.04299925517028"/>
    <s v="4.539482458032976"/>
    <n v="711005583"/>
    <x v="0"/>
    <n v="3.2101269999999999E-4"/>
    <x v="0"/>
  </r>
  <r>
    <n v="50"/>
    <n v="0"/>
    <n v="2"/>
    <n v="6"/>
    <n v="2"/>
    <n v="5"/>
    <n v="0"/>
    <n v="42"/>
    <n v="1"/>
    <n v="3"/>
    <n v="3"/>
    <n v="21498"/>
    <n v="1542"/>
    <n v="19956"/>
    <n v="0.75900000000000001"/>
    <n v="13015"/>
    <n v="104"/>
    <n v="0.85699999999999998"/>
    <n v="7.1999999999999995E-2"/>
    <n v="3.3251E-4"/>
    <n v="0.99966999999999995"/>
    <s v="30.01516924064715"/>
    <s v="29.16378502833405"/>
    <s v="0.3444641512372663"/>
    <s v="13.920724531643785"/>
    <n v="717353433"/>
    <x v="0"/>
    <n v="3.8573547000000003E-4"/>
    <x v="0"/>
  </r>
  <r>
    <n v="40"/>
    <n v="0"/>
    <n v="3"/>
    <n v="2"/>
    <n v="0"/>
    <n v="4"/>
    <n v="0"/>
    <n v="31"/>
    <n v="1"/>
    <n v="3"/>
    <n v="2"/>
    <n v="8694"/>
    <n v="1117"/>
    <n v="7577"/>
    <n v="0.84199999999999997"/>
    <n v="9523"/>
    <n v="105"/>
    <n v="0.69399999999999995"/>
    <n v="0.128"/>
    <n v="1.8665000000000001E-4"/>
    <n v="0.99980999999999998"/>
    <s v="26.512406649735112"/>
    <s v="47.598330648117766"/>
    <s v="88.13296653258962"/>
    <n v="8.9229777046246799"/>
    <n v="787909158"/>
    <x v="0"/>
    <n v="3.6856539999999998E-4"/>
    <x v="0"/>
  </r>
  <r>
    <n v="47"/>
    <n v="1"/>
    <n v="1"/>
    <n v="2"/>
    <n v="2"/>
    <n v="1"/>
    <n v="0"/>
    <n v="36"/>
    <n v="5"/>
    <n v="3"/>
    <n v="0"/>
    <n v="6509"/>
    <n v="2033"/>
    <n v="4476"/>
    <n v="0.83"/>
    <n v="1409"/>
    <n v="37"/>
    <n v="0.37"/>
    <n v="0.312"/>
    <s v="6.2282e-05"/>
    <n v="0.99994000000000005"/>
    <s v="36.75303069270832"/>
    <s v="30.614821840893622"/>
    <s v="5.384879223941661"/>
    <s v="2.366044676019634"/>
    <n v="708813033"/>
    <x v="0"/>
    <n v="1.1982243E-3"/>
    <x v="0"/>
  </r>
  <r>
    <n v="42"/>
    <n v="0"/>
    <n v="4"/>
    <n v="2"/>
    <n v="0"/>
    <n v="5"/>
    <n v="0"/>
    <n v="36"/>
    <n v="3"/>
    <n v="3"/>
    <n v="1"/>
    <n v="2782"/>
    <n v="1782"/>
    <n v="1000"/>
    <n v="0.85299999999999998"/>
    <n v="4669"/>
    <n v="93"/>
    <n v="0.755"/>
    <n v="0.64100000000000001"/>
    <n v="1.1377E-4"/>
    <n v="0.99988999999999995"/>
    <s v="5.811177865706972"/>
    <n v="30.615668335590801"/>
    <s v="53.00349351529955"/>
    <s v="0.9915198260645988"/>
    <n v="709666908"/>
    <x v="0"/>
    <n v="3.2101269999999999E-4"/>
    <x v="0"/>
  </r>
  <r>
    <n v="47"/>
    <n v="1"/>
    <n v="3"/>
    <n v="2"/>
    <n v="1"/>
    <n v="0"/>
    <n v="3"/>
    <n v="42"/>
    <n v="1"/>
    <n v="3"/>
    <n v="1"/>
    <n v="34516"/>
    <n v="1161"/>
    <n v="33355"/>
    <n v="0.74"/>
    <n v="8212"/>
    <n v="100"/>
    <n v="0.69499999999999995"/>
    <n v="3.4000000000000002E-2"/>
    <n v="1.0171E-4"/>
    <n v="0.99990000000000001"/>
    <s v="7.757797399792445"/>
    <s v="88.94013958943505"/>
    <s v="72.78894362620154"/>
    <s v="10.225298673252563"/>
    <n v="717559533"/>
    <x v="0"/>
    <n v="4.1022256E-4"/>
    <x v="0"/>
  </r>
  <r>
    <n v="52"/>
    <n v="0"/>
    <n v="1"/>
    <n v="3"/>
    <n v="2"/>
    <n v="1"/>
    <n v="0"/>
    <n v="42"/>
    <n v="1"/>
    <n v="3"/>
    <n v="1"/>
    <n v="3416"/>
    <n v="1970"/>
    <n v="1446"/>
    <n v="0.80400000000000005"/>
    <n v="8254"/>
    <n v="75"/>
    <n v="0.59599999999999997"/>
    <n v="0.57699999999999996"/>
    <s v="9.8983e-05"/>
    <n v="0.99990000000000001"/>
    <s v="18.788868939460112"/>
    <s v="27.816605144472003"/>
    <s v="116.12491116360772"/>
    <s v="5.933285547981034"/>
    <n v="718292283"/>
    <x v="0"/>
    <n v="5.7260033999999998E-4"/>
    <x v="0"/>
  </r>
  <r>
    <n v="55"/>
    <n v="0"/>
    <n v="1"/>
    <n v="3"/>
    <n v="1"/>
    <n v="4"/>
    <n v="0"/>
    <n v="36"/>
    <n v="5"/>
    <n v="1"/>
    <n v="1"/>
    <n v="2747"/>
    <n v="0"/>
    <n v="2747"/>
    <n v="0.83399999999999996"/>
    <n v="5032"/>
    <n v="84"/>
    <n v="0.68"/>
    <n v="0"/>
    <s v="3.0307e-05"/>
    <n v="0.99997000000000003"/>
    <s v="58.19677657988656"/>
    <s v="5.164285613861033"/>
    <s v="27.909900356591503"/>
    <s v="12.792727141329635"/>
    <n v="710183283"/>
    <x v="0"/>
    <n v="6.9517245999999998E-4"/>
    <x v="0"/>
  </r>
  <r>
    <n v="38"/>
    <n v="1"/>
    <n v="3"/>
    <n v="2"/>
    <n v="2"/>
    <n v="4"/>
    <n v="0"/>
    <n v="34"/>
    <n v="5"/>
    <n v="3"/>
    <n v="2"/>
    <n v="3094"/>
    <n v="1317"/>
    <n v="1777"/>
    <n v="0.95699999999999996"/>
    <n v="3607"/>
    <n v="81"/>
    <n v="0.88400000000000001"/>
    <n v="0.42599999999999999"/>
    <n v="1.8665000000000001E-4"/>
    <n v="0.99980999999999998"/>
    <s v="4.105507213658286"/>
    <s v="24.26535505119501"/>
    <s v="137.9675071221973"/>
    <s v="9.693226445966204"/>
    <n v="827341383"/>
    <x v="0"/>
    <n v="3.221314E-4"/>
    <x v="0"/>
  </r>
  <r>
    <n v="44"/>
    <n v="0"/>
    <n v="4"/>
    <n v="5"/>
    <n v="2"/>
    <n v="4"/>
    <n v="0"/>
    <n v="36"/>
    <n v="5"/>
    <n v="2"/>
    <n v="4"/>
    <n v="1687"/>
    <n v="1290"/>
    <n v="397"/>
    <n v="0.70899999999999996"/>
    <n v="4247"/>
    <n v="87"/>
    <n v="0.70599999999999996"/>
    <n v="0.76500000000000001"/>
    <n v="3.5212999999999998E-4"/>
    <n v="0.99965000000000004"/>
    <s v="3.043870561591256"/>
    <n v="14.228995855971601"/>
    <s v="34.00451557228356"/>
    <s v="3.4699216018036605"/>
    <n v="710327508"/>
    <x v="0"/>
    <n v="3.2101269999999999E-4"/>
    <x v="0"/>
  </r>
  <r>
    <n v="43"/>
    <n v="1"/>
    <n v="3"/>
    <n v="2"/>
    <n v="1"/>
    <n v="3"/>
    <n v="0"/>
    <n v="38"/>
    <n v="3"/>
    <n v="5"/>
    <n v="1"/>
    <n v="23459"/>
    <n v="2305"/>
    <n v="21154"/>
    <n v="0.63600000000000001"/>
    <n v="7279"/>
    <n v="83"/>
    <n v="0.627"/>
    <n v="9.8000000000000004E-2"/>
    <n v="1.2572000000000001E-4"/>
    <n v="0.99987000000000004"/>
    <s v="13.250036465393531"/>
    <s v="0.3482299048299526"/>
    <s v="45.78815136539895"/>
    <s v="5.138062555473421"/>
    <n v="811889808"/>
    <x v="0"/>
    <n v="3.7789578000000003E-4"/>
    <x v="0"/>
  </r>
  <r>
    <n v="54"/>
    <n v="0"/>
    <n v="1"/>
    <n v="3"/>
    <n v="2"/>
    <n v="1"/>
    <n v="0"/>
    <n v="36"/>
    <n v="6"/>
    <n v="3"/>
    <n v="3"/>
    <n v="4717"/>
    <n v="1590"/>
    <n v="3127"/>
    <n v="0.80200000000000005"/>
    <n v="4216"/>
    <n v="67"/>
    <n v="0.59499999999999997"/>
    <n v="0.33700000000000002"/>
    <n v="2.7604000000000002E-4"/>
    <n v="0.99972000000000005"/>
    <n v="33.327335408639101"/>
    <s v="38.47449428211663"/>
    <s v="123.2352407712914"/>
    <s v="8.382058702874557"/>
    <n v="715234008"/>
    <x v="0"/>
    <n v="3.2914013999999999E-4"/>
    <x v="0"/>
  </r>
  <r>
    <n v="51"/>
    <n v="0"/>
    <n v="4"/>
    <n v="6"/>
    <n v="1"/>
    <n v="4"/>
    <n v="0"/>
    <n v="39"/>
    <n v="2"/>
    <n v="3"/>
    <n v="1"/>
    <n v="2268"/>
    <n v="651"/>
    <n v="1617"/>
    <n v="0.71699999999999997"/>
    <n v="5016"/>
    <n v="88"/>
    <n v="0.66"/>
    <n v="0.28699999999999998"/>
    <n v="1.2505E-4"/>
    <n v="0.99987000000000004"/>
    <s v="8.377875146993663"/>
    <s v="31.51767614125573"/>
    <s v="65.17104898592677"/>
    <s v="26.46626568436721"/>
    <n v="715663458"/>
    <x v="0"/>
    <n v="5.4489190000000002E-4"/>
    <x v="0"/>
  </r>
  <r>
    <n v="43"/>
    <n v="1"/>
    <n v="4"/>
    <n v="6"/>
    <n v="2"/>
    <n v="2"/>
    <n v="0"/>
    <n v="36"/>
    <n v="4"/>
    <n v="1"/>
    <n v="0"/>
    <n v="22322"/>
    <n v="953"/>
    <n v="21369"/>
    <n v="0.76900000000000002"/>
    <n v="1348"/>
    <n v="34"/>
    <n v="1.125"/>
    <n v="4.2999999999999997E-2"/>
    <s v="2.342e-05"/>
    <n v="0.99997999999999998"/>
    <s v="32.27640464003167"/>
    <s v="27.110373805546377"/>
    <s v="95.42549034681429"/>
    <s v="12.15110583893432"/>
    <n v="715432608"/>
    <x v="0"/>
    <n v="1.3966451E-3"/>
    <x v="0"/>
  </r>
  <r>
    <n v="57"/>
    <n v="1"/>
    <n v="2"/>
    <n v="2"/>
    <n v="1"/>
    <n v="0"/>
    <n v="3"/>
    <n v="39"/>
    <n v="4"/>
    <n v="2"/>
    <n v="3"/>
    <n v="34516"/>
    <n v="1444"/>
    <n v="33072"/>
    <n v="0.56799999999999995"/>
    <n v="16392"/>
    <n v="116"/>
    <n v="0.65700000000000003"/>
    <n v="4.2000000000000003E-2"/>
    <n v="1.7296999999999999E-4"/>
    <n v="0.99983"/>
    <s v="24.016902052216423"/>
    <s v="44.26714347802903"/>
    <s v="14.063774024749032"/>
    <s v="7.132897471499891"/>
    <n v="778444908"/>
    <x v="0"/>
    <n v="3.8573547000000003E-4"/>
    <x v="0"/>
  </r>
  <r>
    <n v="36"/>
    <n v="0"/>
    <n v="3"/>
    <n v="3"/>
    <n v="1"/>
    <n v="4"/>
    <n v="0"/>
    <n v="28"/>
    <n v="3"/>
    <n v="1"/>
    <n v="1"/>
    <n v="1967"/>
    <n v="0"/>
    <n v="1967"/>
    <n v="0.73"/>
    <n v="4620"/>
    <n v="77"/>
    <n v="0.878"/>
    <n v="0"/>
    <s v="3.3505e-05"/>
    <n v="0.99997000000000003"/>
    <s v="2.585280976538982"/>
    <s v="13.67800295020858"/>
    <s v="12.170339289302715"/>
    <s v="1.6048126716988946"/>
    <n v="719990358"/>
    <x v="0"/>
    <n v="6.9517245999999998E-4"/>
    <x v="0"/>
  </r>
  <r>
    <n v="43"/>
    <n v="0"/>
    <n v="4"/>
    <n v="6"/>
    <n v="2"/>
    <n v="4"/>
    <n v="0"/>
    <n v="33"/>
    <n v="3"/>
    <n v="3"/>
    <n v="1"/>
    <n v="2525"/>
    <n v="2217"/>
    <n v="308"/>
    <n v="0.76300000000000001"/>
    <n v="4409"/>
    <n v="69"/>
    <n v="0.56799999999999995"/>
    <n v="0.878"/>
    <n v="1.2505E-4"/>
    <n v="0.99987000000000004"/>
    <s v="26.93453775266689"/>
    <s v="15.732079953678454"/>
    <s v="184.43969178347595"/>
    <s v="9.114669574251325"/>
    <n v="709868433"/>
    <x v="0"/>
    <n v="3.2914013999999999E-4"/>
    <x v="0"/>
  </r>
  <r>
    <n v="32"/>
    <n v="0"/>
    <n v="1"/>
    <n v="6"/>
    <n v="0"/>
    <n v="4"/>
    <n v="0"/>
    <n v="19"/>
    <n v="3"/>
    <n v="2"/>
    <n v="1"/>
    <n v="1438.3"/>
    <n v="0"/>
    <n v="1438.3"/>
    <n v="0.68600000000000005"/>
    <n v="4593"/>
    <n v="79"/>
    <n v="0.61199999999999999"/>
    <n v="0"/>
    <s v="7.0819e-05"/>
    <n v="0.99992999999999999"/>
    <s v="6.421822756943789"/>
    <s v="42.18635836519007"/>
    <s v="64.79859754849157"/>
    <s v="24.73508804581928"/>
    <n v="720349983"/>
    <x v="0"/>
    <n v="7.1276520000000004E-4"/>
    <x v="0"/>
  </r>
  <r>
    <n v="46"/>
    <n v="0"/>
    <n v="4"/>
    <n v="6"/>
    <n v="1"/>
    <n v="5"/>
    <n v="0"/>
    <n v="27"/>
    <n v="1"/>
    <n v="2"/>
    <n v="3"/>
    <n v="6030"/>
    <n v="0"/>
    <n v="6030"/>
    <n v="1.0309999999999999"/>
    <n v="4983"/>
    <n v="62"/>
    <n v="0.442"/>
    <n v="0"/>
    <n v="0.99548999999999999"/>
    <n v="4.5100699999999997E-3"/>
    <s v="49.13199765699917"/>
    <s v="32.10280068127145"/>
    <s v="124.39308277844998"/>
    <s v="9.861631334686876"/>
    <n v="778863258"/>
    <x v="1"/>
    <n v="0.99310739999999997"/>
    <x v="1"/>
  </r>
  <r>
    <n v="38"/>
    <n v="0"/>
    <n v="2"/>
    <n v="2"/>
    <n v="1"/>
    <n v="4"/>
    <n v="0"/>
    <n v="18"/>
    <n v="5"/>
    <n v="3"/>
    <n v="3"/>
    <n v="1686"/>
    <n v="1206"/>
    <n v="480"/>
    <n v="0.76700000000000002"/>
    <n v="4891"/>
    <n v="68"/>
    <n v="0.51100000000000001"/>
    <n v="0.71499999999999997"/>
    <n v="3.0250999999999998E-4"/>
    <n v="0.99970000000000003"/>
    <s v="39.14730528155695"/>
    <s v="43.72369713139955"/>
    <s v="46.37254732793527"/>
    <n v="5.0379532355303098"/>
    <n v="718730283"/>
    <x v="0"/>
    <n v="3.4439339999999999E-4"/>
    <x v="0"/>
  </r>
  <r>
    <n v="45"/>
    <n v="1"/>
    <n v="3"/>
    <n v="2"/>
    <n v="3"/>
    <n v="2"/>
    <n v="0"/>
    <n v="35"/>
    <n v="3"/>
    <n v="3"/>
    <n v="3"/>
    <n v="10290"/>
    <n v="753"/>
    <n v="9537"/>
    <n v="0.85799999999999998"/>
    <n v="4326"/>
    <n v="81"/>
    <n v="0.76100000000000001"/>
    <n v="7.2999999999999995E-2"/>
    <n v="3.1389999999999999E-4"/>
    <n v="0.99968999999999997"/>
    <n v="42.570542359047003"/>
    <s v="42.36349079884096"/>
    <s v="31.664808779061065"/>
    <s v="5.839516089641879"/>
    <n v="716475183"/>
    <x v="0"/>
    <n v="6.0646630000000005E-4"/>
    <x v="0"/>
  </r>
  <r>
    <n v="44"/>
    <n v="1"/>
    <n v="4"/>
    <n v="2"/>
    <n v="1"/>
    <n v="1"/>
    <n v="0"/>
    <n v="38"/>
    <n v="5"/>
    <n v="2"/>
    <n v="3"/>
    <n v="5452"/>
    <n v="2091"/>
    <n v="3361"/>
    <n v="0.81299999999999994"/>
    <n v="1347"/>
    <n v="30"/>
    <n v="0.5"/>
    <n v="0.38400000000000001"/>
    <n v="2.0076999999999999E-4"/>
    <n v="0.99980000000000002"/>
    <s v="75.47398461832343"/>
    <s v="53.51733349213557"/>
    <s v="28.88697204643636"/>
    <s v="25.03451569525151"/>
    <n v="789611283"/>
    <x v="0"/>
    <n v="1.1982243E-3"/>
    <x v="0"/>
  </r>
  <r>
    <n v="37"/>
    <n v="0"/>
    <n v="2"/>
    <n v="3"/>
    <n v="1"/>
    <n v="4"/>
    <n v="0"/>
    <n v="27"/>
    <n v="6"/>
    <n v="6"/>
    <n v="2"/>
    <n v="3148"/>
    <n v="0"/>
    <n v="3148"/>
    <n v="0.498"/>
    <n v="1401"/>
    <n v="31"/>
    <n v="0.72199999999999998"/>
    <n v="0"/>
    <n v="1.3804E-4"/>
    <n v="0.99985999999999997"/>
    <s v="14.045077695073095"/>
    <s v="50.38796498081325"/>
    <s v="186.08355228344124"/>
    <s v="21.216691042606843"/>
    <n v="717100833"/>
    <x v="0"/>
    <n v="3.6896945E-3"/>
    <x v="0"/>
  </r>
  <r>
    <n v="39"/>
    <n v="0"/>
    <n v="1"/>
    <n v="2"/>
    <n v="1"/>
    <n v="5"/>
    <n v="0"/>
    <n v="30"/>
    <n v="3"/>
    <n v="2"/>
    <n v="3"/>
    <n v="2917"/>
    <n v="1357"/>
    <n v="1560"/>
    <n v="1.593"/>
    <n v="2422"/>
    <n v="46"/>
    <n v="0.438"/>
    <n v="0.46500000000000002"/>
    <n v="1.7969000000000001E-4"/>
    <n v="0.99982000000000004"/>
    <s v="16.653557034143205"/>
    <s v="66.83079259344544"/>
    <s v="74.13300609473416"/>
    <s v="2.497136731459615"/>
    <n v="718797558"/>
    <x v="0"/>
    <n v="1.308921E-3"/>
    <x v="0"/>
  </r>
  <r>
    <n v="46"/>
    <n v="1"/>
    <n v="2"/>
    <n v="2"/>
    <n v="2"/>
    <n v="0"/>
    <n v="0"/>
    <n v="28"/>
    <n v="1"/>
    <n v="1"/>
    <n v="1"/>
    <n v="7790"/>
    <n v="1921"/>
    <n v="5869"/>
    <n v="0.78900000000000003"/>
    <n v="14567"/>
    <n v="131"/>
    <n v="0.61699999999999999"/>
    <n v="0.247"/>
    <s v="3.3214e-05"/>
    <n v="0.99997000000000003"/>
    <s v="4.951189522260679"/>
    <s v="13.57151065116239"/>
    <s v="84.72671318981801"/>
    <s v="5.397623200806094"/>
    <n v="710699283"/>
    <x v="0"/>
    <n v="3.5533762999999998E-4"/>
    <x v="0"/>
  </r>
  <r>
    <n v="46"/>
    <n v="1"/>
    <n v="5"/>
    <n v="0"/>
    <n v="2"/>
    <n v="3"/>
    <n v="0"/>
    <n v="36"/>
    <n v="1"/>
    <n v="2"/>
    <n v="3"/>
    <n v="13187"/>
    <n v="2241"/>
    <n v="10946"/>
    <n v="0.68899999999999995"/>
    <n v="15354"/>
    <n v="112"/>
    <n v="0.93100000000000005"/>
    <n v="0.17"/>
    <n v="1.9215000000000001E-4"/>
    <n v="0.99980999999999998"/>
    <s v="1.5984322773343145"/>
    <s v="21.73770435414923"/>
    <s v="67.93418219895788"/>
    <s v="16.07901701909573"/>
    <n v="714109308"/>
    <x v="0"/>
    <n v="3.4656386999999997E-4"/>
    <x v="0"/>
  </r>
  <r>
    <n v="57"/>
    <n v="1"/>
    <n v="2"/>
    <n v="5"/>
    <n v="2"/>
    <n v="0"/>
    <n v="0"/>
    <n v="46"/>
    <n v="3"/>
    <n v="2"/>
    <n v="3"/>
    <n v="34516"/>
    <n v="1244"/>
    <n v="33272"/>
    <n v="0.60599999999999998"/>
    <n v="15176"/>
    <n v="126"/>
    <n v="0.8"/>
    <n v="3.5999999999999997E-2"/>
    <n v="1.9683E-4"/>
    <n v="0.99980000000000002"/>
    <s v="10.97968905244115"/>
    <s v="42.001968775416735"/>
    <s v="21.95577074511841"/>
    <s v="8.279017325353896"/>
    <n v="709831983"/>
    <x v="0"/>
    <n v="3.8573547000000003E-4"/>
    <x v="0"/>
  </r>
  <r>
    <n v="45"/>
    <n v="0"/>
    <n v="2"/>
    <n v="2"/>
    <n v="3"/>
    <n v="4"/>
    <n v="0"/>
    <n v="36"/>
    <n v="3"/>
    <n v="1"/>
    <n v="1"/>
    <n v="2723"/>
    <n v="1902"/>
    <n v="821"/>
    <n v="0.72299999999999998"/>
    <n v="3875"/>
    <n v="84"/>
    <n v="0.75"/>
    <n v="0.69799999999999995"/>
    <s v="3.3214e-05"/>
    <n v="0.99997000000000003"/>
    <s v="42.72658891240745"/>
    <n v="15.712582491479401"/>
    <s v="117.4803865300059"/>
    <s v="12.563610493519215"/>
    <n v="712891833"/>
    <x v="0"/>
    <n v="3.2101269999999999E-4"/>
    <x v="0"/>
  </r>
  <r>
    <n v="42"/>
    <n v="0"/>
    <n v="3"/>
    <n v="2"/>
    <n v="1"/>
    <n v="4"/>
    <n v="0"/>
    <n v="33"/>
    <n v="6"/>
    <n v="3"/>
    <n v="3"/>
    <n v="2363"/>
    <n v="1495"/>
    <n v="868"/>
    <n v="0.53100000000000003"/>
    <n v="4420"/>
    <n v="65"/>
    <n v="0.71099999999999997"/>
    <n v="0.63300000000000001"/>
    <n v="3.1389999999999999E-4"/>
    <n v="0.99968999999999997"/>
    <n v="66.531543649151402"/>
    <s v="14.644358982127777"/>
    <s v="7.690341497843533"/>
    <s v="2.687903736946175"/>
    <n v="715655283"/>
    <x v="0"/>
    <n v="3.2890364000000001E-4"/>
    <x v="0"/>
  </r>
  <r>
    <n v="36"/>
    <n v="0"/>
    <n v="2"/>
    <n v="1"/>
    <n v="2"/>
    <n v="5"/>
    <n v="0"/>
    <n v="23"/>
    <n v="5"/>
    <n v="2"/>
    <n v="3"/>
    <n v="6966"/>
    <n v="905"/>
    <n v="6061"/>
    <n v="0.755"/>
    <n v="4855"/>
    <n v="69"/>
    <n v="0.5"/>
    <n v="0.13"/>
    <n v="2.7701000000000001E-4"/>
    <n v="0.99972000000000005"/>
    <n v="9.9592977408483598"/>
    <s v="13.251767607493246"/>
    <s v="42.36181760515147"/>
    <s v="1.6303632437222304"/>
    <n v="787475433"/>
    <x v="0"/>
    <n v="4.5644380000000001E-4"/>
    <x v="0"/>
  </r>
  <r>
    <n v="37"/>
    <n v="0"/>
    <n v="2"/>
    <n v="6"/>
    <n v="2"/>
    <n v="4"/>
    <n v="0"/>
    <n v="27"/>
    <n v="6"/>
    <n v="1"/>
    <n v="3"/>
    <n v="3061"/>
    <n v="2517"/>
    <n v="544"/>
    <n v="0.80900000000000005"/>
    <n v="5032"/>
    <n v="89"/>
    <n v="0.61799999999999999"/>
    <n v="0.82199999999999995"/>
    <n v="1.0183000000000001E-4"/>
    <n v="0.99990000000000001"/>
    <s v="17.347013586490853"/>
    <s v="69.80842131988076"/>
    <s v="49.03894703222181"/>
    <s v="0.6815332606803478"/>
    <n v="779625858"/>
    <x v="0"/>
    <n v="3.5570623000000002E-4"/>
    <x v="0"/>
  </r>
  <r>
    <n v="51"/>
    <n v="0"/>
    <n v="1"/>
    <n v="2"/>
    <n v="1"/>
    <n v="4"/>
    <n v="3"/>
    <n v="45"/>
    <n v="6"/>
    <n v="3"/>
    <n v="3"/>
    <n v="13199"/>
    <n v="781"/>
    <n v="12418"/>
    <n v="0.41099999999999998"/>
    <n v="1927"/>
    <n v="44"/>
    <n v="0.63"/>
    <n v="5.8999999999999997E-2"/>
    <n v="0.99612000000000001"/>
    <n v="3.8814000000000001E-3"/>
    <s v="2.9557082747676007"/>
    <s v="17.055386406702283"/>
    <s v="1.613823696265115"/>
    <n v="22.195685347008901"/>
    <n v="794965233"/>
    <x v="1"/>
    <n v="0.99709915999999998"/>
    <x v="1"/>
  </r>
  <r>
    <n v="42"/>
    <n v="0"/>
    <n v="4"/>
    <n v="2"/>
    <n v="1"/>
    <n v="1"/>
    <n v="0"/>
    <n v="36"/>
    <n v="6"/>
    <n v="2"/>
    <n v="2"/>
    <n v="4008"/>
    <n v="1636"/>
    <n v="2372"/>
    <n v="0.63700000000000001"/>
    <n v="1395"/>
    <n v="43"/>
    <n v="0.95499999999999996"/>
    <n v="0.40799999999999997"/>
    <n v="1.1937E-4"/>
    <n v="0.99987999999999999"/>
    <s v="17.990837583575583"/>
    <s v="34.46430788085052"/>
    <s v="77.49946555012204"/>
    <s v="12.566285986814986"/>
    <n v="715684308"/>
    <x v="0"/>
    <n v="9.8706899999999992E-4"/>
    <x v="0"/>
  </r>
  <r>
    <n v="54"/>
    <n v="1"/>
    <n v="3"/>
    <n v="0"/>
    <n v="2"/>
    <n v="1"/>
    <n v="0"/>
    <n v="42"/>
    <n v="1"/>
    <n v="2"/>
    <n v="1"/>
    <n v="5608"/>
    <n v="1775"/>
    <n v="3833"/>
    <n v="0.52200000000000002"/>
    <n v="4325"/>
    <n v="77"/>
    <n v="0.75"/>
    <n v="0.317"/>
    <s v="6.9248e-05"/>
    <n v="0.99992999999999999"/>
    <s v="13.828907052110075"/>
    <s v="104.15684167577976"/>
    <s v="81.60911890358614"/>
    <s v="8.307178685628383"/>
    <n v="717603858"/>
    <x v="0"/>
    <n v="3.2101269999999999E-4"/>
    <x v="0"/>
  </r>
  <r>
    <n v="61"/>
    <n v="0"/>
    <n v="1"/>
    <n v="2"/>
    <n v="1"/>
    <n v="5"/>
    <n v="0"/>
    <n v="50"/>
    <n v="3"/>
    <n v="3"/>
    <n v="1"/>
    <n v="3359"/>
    <n v="1405"/>
    <n v="1954"/>
    <n v="0.68400000000000005"/>
    <n v="4871"/>
    <n v="79"/>
    <n v="0.97499999999999998"/>
    <n v="0.41799999999999998"/>
    <n v="1.0182E-4"/>
    <n v="0.99990000000000001"/>
    <s v="12.271959840951672"/>
    <s v="43.03176519767774"/>
    <s v="37.14099779282986"/>
    <s v="23.596333158604654"/>
    <n v="771799008"/>
    <x v="0"/>
    <n v="3.2101269999999999E-4"/>
    <x v="0"/>
  </r>
  <r>
    <n v="47"/>
    <n v="1"/>
    <n v="2"/>
    <n v="5"/>
    <n v="1"/>
    <n v="1"/>
    <n v="0"/>
    <n v="39"/>
    <n v="2"/>
    <n v="2"/>
    <n v="2"/>
    <n v="3471"/>
    <n v="0"/>
    <n v="3471"/>
    <n v="0.871"/>
    <n v="14381"/>
    <n v="115"/>
    <n v="0.74199999999999999"/>
    <n v="0"/>
    <n v="1.1703E-4"/>
    <n v="0.99987999999999999"/>
    <s v="11.746787667692104"/>
    <s v="15.566411753968907"/>
    <s v="14.484250392156865"/>
    <n v="8.6151146586480394"/>
    <n v="708332808"/>
    <x v="0"/>
    <n v="7.6702517000000003E-4"/>
    <x v="0"/>
  </r>
  <r>
    <n v="43"/>
    <n v="0"/>
    <n v="3"/>
    <n v="6"/>
    <n v="1"/>
    <n v="4"/>
    <n v="3"/>
    <n v="32"/>
    <n v="4"/>
    <n v="3"/>
    <n v="2"/>
    <n v="10466"/>
    <n v="2080"/>
    <n v="8386"/>
    <n v="0.64800000000000002"/>
    <n v="4116"/>
    <n v="64"/>
    <n v="0.68400000000000005"/>
    <n v="0.19900000000000001"/>
    <n v="1.8537999999999999E-4"/>
    <n v="0.99980999999999998"/>
    <s v="23.846529287498367"/>
    <n v="33.452949826938003"/>
    <s v="17.99654994193783"/>
    <s v="7.099654524997358"/>
    <n v="771790083"/>
    <x v="0"/>
    <n v="3.3750320000000002E-4"/>
    <x v="0"/>
  </r>
  <r>
    <n v="52"/>
    <n v="0"/>
    <n v="2"/>
    <n v="2"/>
    <n v="1"/>
    <n v="4"/>
    <n v="0"/>
    <n v="39"/>
    <n v="4"/>
    <n v="1"/>
    <n v="3"/>
    <n v="8431"/>
    <n v="1862"/>
    <n v="6569"/>
    <n v="0.59"/>
    <n v="2008"/>
    <n v="37"/>
    <n v="0.68200000000000005"/>
    <n v="0.221"/>
    <s v="9.2637e-05"/>
    <n v="0.99990999999999997"/>
    <n v="28.523951372148801"/>
    <s v="19.23037803851057"/>
    <s v="31.73343966237253"/>
    <s v="14.768916030562009"/>
    <n v="778760808"/>
    <x v="0"/>
    <n v="1.1451696999999999E-3"/>
    <x v="0"/>
  </r>
  <r>
    <n v="34"/>
    <n v="1"/>
    <n v="2"/>
    <n v="2"/>
    <n v="2"/>
    <n v="4"/>
    <n v="0"/>
    <n v="28"/>
    <n v="5"/>
    <n v="1"/>
    <n v="4"/>
    <n v="4439"/>
    <n v="844"/>
    <n v="3595"/>
    <n v="0.86299999999999999"/>
    <n v="2858"/>
    <n v="71"/>
    <n v="0.69"/>
    <n v="0.19"/>
    <n v="1.5804E-4"/>
    <n v="0.99983999999999995"/>
    <s v="13.23971987638206"/>
    <s v="78.14789746356242"/>
    <s v="54.23469744575838"/>
    <n v="8.2522244699981009"/>
    <n v="799249833"/>
    <x v="0"/>
    <n v="5.8257923000000001E-4"/>
    <x v="0"/>
  </r>
  <r>
    <n v="48"/>
    <n v="0"/>
    <n v="2"/>
    <n v="2"/>
    <n v="1"/>
    <n v="4"/>
    <n v="0"/>
    <n v="31"/>
    <n v="5"/>
    <n v="1"/>
    <n v="1"/>
    <n v="2315"/>
    <n v="1565"/>
    <n v="750"/>
    <n v="0.873"/>
    <n v="4828"/>
    <n v="90"/>
    <n v="0.8"/>
    <n v="0.67600000000000005"/>
    <s v="3.3214e-05"/>
    <n v="0.99997000000000003"/>
    <s v="39.31701124820605"/>
    <s v="32.46786864264586"/>
    <s v="16.980736910722904"/>
    <s v="13.83998311308481"/>
    <n v="708884658"/>
    <x v="0"/>
    <n v="3.2101269999999999E-4"/>
    <x v="0"/>
  </r>
  <r>
    <n v="61"/>
    <n v="0"/>
    <n v="2"/>
    <n v="2"/>
    <n v="2"/>
    <n v="4"/>
    <n v="0"/>
    <n v="45"/>
    <n v="2"/>
    <n v="2"/>
    <n v="3"/>
    <n v="2602"/>
    <n v="1441"/>
    <n v="1161"/>
    <n v="0.70399999999999996"/>
    <n v="4838"/>
    <n v="85"/>
    <n v="0.73499999999999999"/>
    <n v="0.55400000000000005"/>
    <n v="1.9143E-4"/>
    <n v="0.99980999999999998"/>
    <s v="8.938963225287758"/>
    <s v="57.26143986299353"/>
    <n v="9.3671836351180993"/>
    <s v="28.25158083342117"/>
    <n v="717541308"/>
    <x v="0"/>
    <n v="3.2101269999999999E-4"/>
    <x v="0"/>
  </r>
  <r>
    <n v="47"/>
    <n v="1"/>
    <n v="3"/>
    <n v="5"/>
    <n v="1"/>
    <n v="2"/>
    <n v="0"/>
    <n v="36"/>
    <n v="2"/>
    <n v="3"/>
    <n v="1"/>
    <n v="11919"/>
    <n v="2347"/>
    <n v="9572"/>
    <n v="0.84199999999999997"/>
    <n v="8257"/>
    <n v="96"/>
    <n v="0.57399999999999995"/>
    <n v="0.19700000000000001"/>
    <n v="1.1574E-4"/>
    <n v="0.99987999999999999"/>
    <s v="0.4058403268217659"/>
    <s v="29.46190270795228"/>
    <s v="10.910238317325184"/>
    <s v="11.881534114093894"/>
    <n v="718320933"/>
    <x v="0"/>
    <n v="3.7789578000000003E-4"/>
    <x v="0"/>
  </r>
  <r>
    <n v="36"/>
    <n v="0"/>
    <n v="3"/>
    <n v="5"/>
    <n v="2"/>
    <n v="4"/>
    <n v="0"/>
    <n v="36"/>
    <n v="5"/>
    <n v="2"/>
    <n v="4"/>
    <n v="5750"/>
    <n v="1521"/>
    <n v="4229"/>
    <n v="0.83699999999999997"/>
    <n v="2155"/>
    <n v="61"/>
    <n v="0.60499999999999998"/>
    <n v="0.26500000000000001"/>
    <n v="3.4841000000000001E-4"/>
    <n v="0.99965000000000004"/>
    <s v="11.739341734430411"/>
    <s v="21.564442000002064"/>
    <s v="52.34346206684131"/>
    <s v="5.666464447019373"/>
    <n v="718068933"/>
    <x v="0"/>
    <n v="4.3839816000000001E-4"/>
    <x v="0"/>
  </r>
  <r>
    <n v="49"/>
    <n v="1"/>
    <n v="2"/>
    <n v="6"/>
    <n v="1"/>
    <n v="0"/>
    <n v="0"/>
    <n v="34"/>
    <n v="5"/>
    <n v="4"/>
    <n v="2"/>
    <n v="27732"/>
    <n v="1623"/>
    <n v="26109"/>
    <n v="0.45200000000000001"/>
    <n v="1413"/>
    <n v="31"/>
    <n v="0.72199999999999998"/>
    <n v="5.8999999999999997E-2"/>
    <n v="2.3892999999999999E-4"/>
    <n v="0.99975999999999998"/>
    <s v="20.53658754846997"/>
    <s v="48.83766534820322"/>
    <s v="46.76946646370705"/>
    <s v="0.7944170351594634"/>
    <n v="714002658"/>
    <x v="0"/>
    <n v="1.1504791999999999E-3"/>
    <x v="0"/>
  </r>
  <r>
    <n v="45"/>
    <n v="1"/>
    <n v="3"/>
    <n v="2"/>
    <n v="2"/>
    <n v="2"/>
    <n v="0"/>
    <n v="38"/>
    <n v="1"/>
    <n v="3"/>
    <n v="3"/>
    <n v="3243"/>
    <n v="1580"/>
    <n v="1663"/>
    <n v="1.075"/>
    <n v="15710"/>
    <n v="122"/>
    <n v="0.74299999999999999"/>
    <n v="0.48699999999999999"/>
    <n v="3.1389999999999999E-4"/>
    <n v="0.99968999999999997"/>
    <s v="20.87888909460627"/>
    <s v="37.39038495941341"/>
    <s v="47.338026806078254"/>
    <s v="8.716673019369795"/>
    <n v="757256358"/>
    <x v="0"/>
    <n v="3.4777042999999998E-4"/>
    <x v="0"/>
  </r>
  <r>
    <n v="50"/>
    <n v="0"/>
    <n v="1"/>
    <n v="2"/>
    <n v="1"/>
    <n v="4"/>
    <n v="0"/>
    <n v="36"/>
    <n v="3"/>
    <n v="1"/>
    <n v="2"/>
    <n v="4143"/>
    <n v="1888"/>
    <n v="2255"/>
    <n v="0.56100000000000005"/>
    <n v="3940"/>
    <n v="74"/>
    <n v="0.80500000000000005"/>
    <n v="0.45600000000000002"/>
    <s v="5.1697e-05"/>
    <n v="0.99995000000000001"/>
    <s v="1.0123770661356215"/>
    <s v="77.04443627936003"/>
    <s v="25.445363236243253"/>
    <s v="0.3041668020536456"/>
    <n v="715440558"/>
    <x v="0"/>
    <n v="3.2101269999999999E-4"/>
    <x v="0"/>
  </r>
  <r>
    <n v="26"/>
    <n v="1"/>
    <n v="0"/>
    <n v="5"/>
    <n v="2"/>
    <n v="1"/>
    <n v="0"/>
    <n v="15"/>
    <n v="4"/>
    <n v="1"/>
    <n v="3"/>
    <n v="2158"/>
    <n v="1695"/>
    <n v="463"/>
    <n v="0.76600000000000001"/>
    <n v="1833"/>
    <n v="27"/>
    <n v="0.58799999999999997"/>
    <n v="0.78500000000000003"/>
    <s v="8.1736e-05"/>
    <n v="0.99992000000000003"/>
    <s v="3.5963095580156974"/>
    <s v="26.357083705583783"/>
    <s v="41.914642353764414"/>
    <s v="2.8282113205831783"/>
    <n v="713203908"/>
    <x v="0"/>
    <n v="1.0598798E-3"/>
    <x v="0"/>
  </r>
  <r>
    <n v="55"/>
    <n v="1"/>
    <n v="4"/>
    <n v="2"/>
    <n v="1"/>
    <n v="0"/>
    <n v="0"/>
    <n v="36"/>
    <n v="4"/>
    <n v="2"/>
    <n v="2"/>
    <n v="24336"/>
    <n v="856"/>
    <n v="23480"/>
    <n v="0.45900000000000002"/>
    <n v="1425"/>
    <n v="33"/>
    <n v="0.65"/>
    <n v="3.5000000000000003E-2"/>
    <n v="1.1937E-4"/>
    <n v="0.99987999999999999"/>
    <s v="10.499048559724562"/>
    <n v="1.9960287750976999"/>
    <s v="62.22192409814008"/>
    <s v="3.8190755305102657"/>
    <n v="712281183"/>
    <x v="0"/>
    <n v="1.8116848999999999E-3"/>
    <x v="0"/>
  </r>
  <r>
    <n v="48"/>
    <n v="1"/>
    <n v="3"/>
    <n v="4"/>
    <n v="3"/>
    <n v="0"/>
    <n v="0"/>
    <n v="35"/>
    <n v="2"/>
    <n v="2"/>
    <n v="6"/>
    <n v="34516"/>
    <n v="0"/>
    <n v="34516"/>
    <n v="0.46400000000000002"/>
    <n v="1632"/>
    <n v="44"/>
    <n v="0.33300000000000002"/>
    <n v="0"/>
    <n v="0.99917999999999996"/>
    <n v="8.2468999999999999E-4"/>
    <s v="58.48306574528594"/>
    <s v="32.448691099124645"/>
    <s v="50.34376492869745"/>
    <s v="4.573059300272133"/>
    <n v="715570533"/>
    <x v="1"/>
    <n v="0.99790800000000002"/>
    <x v="1"/>
  </r>
  <r>
    <n v="53"/>
    <n v="0"/>
    <n v="2"/>
    <n v="2"/>
    <n v="1"/>
    <n v="4"/>
    <n v="0"/>
    <n v="36"/>
    <n v="6"/>
    <n v="1"/>
    <n v="3"/>
    <n v="3176"/>
    <n v="1470"/>
    <n v="1706"/>
    <n v="0.38800000000000001"/>
    <n v="1634"/>
    <n v="53"/>
    <n v="0.47199999999999998"/>
    <n v="0.46300000000000002"/>
    <s v="9.2637e-05"/>
    <n v="0.99990999999999997"/>
    <s v="16.414714726852768"/>
    <s v="56.60907876717724"/>
    <s v="21.11149810844476"/>
    <s v="31.88395917806981"/>
    <n v="709212183"/>
    <x v="0"/>
    <n v="7.9671940000000001E-4"/>
    <x v="0"/>
  </r>
  <r>
    <n v="40"/>
    <n v="0"/>
    <n v="1"/>
    <n v="3"/>
    <n v="2"/>
    <n v="4"/>
    <n v="0"/>
    <n v="29"/>
    <n v="3"/>
    <n v="2"/>
    <n v="2"/>
    <n v="2506"/>
    <n v="1362"/>
    <n v="1144"/>
    <n v="0.84399999999999997"/>
    <n v="4665"/>
    <n v="82"/>
    <n v="0.745"/>
    <n v="0.54300000000000004"/>
    <n v="1.0386E-4"/>
    <n v="0.99990000000000001"/>
    <s v="19.77139211625007"/>
    <s v="43.44583646285449"/>
    <s v="68.10072738685241"/>
    <s v="14.252746904925427"/>
    <n v="715510683"/>
    <x v="0"/>
    <n v="3.2101269999999999E-4"/>
    <x v="0"/>
  </r>
  <r>
    <n v="47"/>
    <n v="0"/>
    <n v="3"/>
    <n v="6"/>
    <n v="1"/>
    <n v="1"/>
    <n v="0"/>
    <n v="41"/>
    <n v="5"/>
    <n v="3"/>
    <n v="3"/>
    <n v="7553"/>
    <n v="660"/>
    <n v="6893"/>
    <n v="0.54900000000000004"/>
    <n v="4079"/>
    <n v="67"/>
    <n v="0.45700000000000002"/>
    <n v="8.6999999999999994E-2"/>
    <n v="3.4503000000000002E-4"/>
    <n v="0.99965000000000004"/>
    <s v="3.869095815508972"/>
    <s v="33.33112247912607"/>
    <n v="28.267636373704999"/>
    <s v="8.713816960284289"/>
    <n v="795991758"/>
    <x v="0"/>
    <n v="6.2417250000000005E-4"/>
    <x v="0"/>
  </r>
  <r>
    <n v="31"/>
    <n v="0"/>
    <n v="1"/>
    <n v="5"/>
    <n v="1"/>
    <n v="4"/>
    <n v="0"/>
    <n v="20"/>
    <n v="6"/>
    <n v="2"/>
    <n v="2"/>
    <n v="1438.3"/>
    <n v="0"/>
    <n v="1438.3"/>
    <n v="0.70599999999999996"/>
    <n v="2614"/>
    <n v="49"/>
    <n v="0.53100000000000003"/>
    <n v="0"/>
    <n v="0.99097999999999997"/>
    <n v="9.0200000000000002E-3"/>
    <s v="11.798854382804151"/>
    <s v="4.691909276152728"/>
    <s v="76.63114247050251"/>
    <s v="16.794423292021314"/>
    <n v="772127508"/>
    <x v="1"/>
    <n v="0.99846387000000003"/>
    <x v="1"/>
  </r>
  <r>
    <n v="48"/>
    <n v="0"/>
    <n v="3"/>
    <n v="2"/>
    <n v="1"/>
    <n v="4"/>
    <n v="0"/>
    <n v="43"/>
    <n v="5"/>
    <n v="3"/>
    <n v="2"/>
    <n v="2109"/>
    <n v="1205"/>
    <n v="904"/>
    <n v="0.51400000000000001"/>
    <n v="2935"/>
    <n v="60"/>
    <n v="0.93500000000000005"/>
    <n v="0.57099999999999995"/>
    <n v="1.8665000000000001E-4"/>
    <n v="0.99980999999999998"/>
    <s v="48.24860272733218"/>
    <s v="2.852612565935474"/>
    <s v="38.77190517107363"/>
    <s v="9.813922136373652"/>
    <n v="721241583"/>
    <x v="0"/>
    <n v="4.1423495999999999E-4"/>
    <x v="0"/>
  </r>
  <r>
    <n v="54"/>
    <n v="1"/>
    <n v="2"/>
    <n v="0"/>
    <n v="1"/>
    <n v="0"/>
    <n v="0"/>
    <n v="43"/>
    <n v="3"/>
    <n v="2"/>
    <n v="3"/>
    <n v="5657"/>
    <n v="1719"/>
    <n v="3938"/>
    <n v="0.60599999999999998"/>
    <n v="2028"/>
    <n v="55"/>
    <n v="0.66700000000000004"/>
    <n v="0.30399999999999999"/>
    <n v="1.8611999999999999E-4"/>
    <n v="0.99980999999999998"/>
    <s v="3.6566828294466265"/>
    <s v="61.29265048839903"/>
    <s v="30.666398330500503"/>
    <s v="0.3637959312782149"/>
    <n v="718050033"/>
    <x v="0"/>
    <n v="5.6959484999999995E-4"/>
    <x v="0"/>
  </r>
  <r>
    <n v="44"/>
    <n v="1"/>
    <n v="4"/>
    <n v="6"/>
    <n v="1"/>
    <n v="2"/>
    <n v="0"/>
    <n v="32"/>
    <n v="4"/>
    <n v="1"/>
    <n v="1"/>
    <n v="10007"/>
    <n v="1586"/>
    <n v="8421"/>
    <n v="0.92100000000000004"/>
    <n v="4309"/>
    <n v="77"/>
    <n v="0.71099999999999997"/>
    <n v="0.158"/>
    <s v="3.8289e-05"/>
    <n v="0.99995999999999996"/>
    <s v="28.20880704890661"/>
    <s v="26.56067996955152"/>
    <s v="34.89446492129515"/>
    <s v="1.3679320984539325"/>
    <n v="713476758"/>
    <x v="0"/>
    <n v="3.3750932000000002E-4"/>
    <x v="0"/>
  </r>
  <r>
    <n v="50"/>
    <n v="0"/>
    <n v="0"/>
    <n v="2"/>
    <n v="1"/>
    <n v="4"/>
    <n v="0"/>
    <n v="38"/>
    <n v="2"/>
    <n v="3"/>
    <n v="1"/>
    <n v="4935"/>
    <n v="1574"/>
    <n v="3361"/>
    <n v="1.01"/>
    <n v="8527"/>
    <n v="84"/>
    <n v="0.5"/>
    <n v="0.31900000000000001"/>
    <n v="0.98936999999999997"/>
    <n v="1.0630000000000001E-2"/>
    <s v="10.169886437883942"/>
    <n v="8.3611931402198199"/>
    <s v="39.927222263010485"/>
    <s v="1.4124532448254044"/>
    <n v="711684408"/>
    <x v="1"/>
    <n v="0.98463199999999995"/>
    <x v="1"/>
  </r>
  <r>
    <n v="42"/>
    <n v="0"/>
    <n v="3"/>
    <n v="3"/>
    <n v="1"/>
    <n v="4"/>
    <n v="0"/>
    <n v="33"/>
    <n v="5"/>
    <n v="2"/>
    <n v="4"/>
    <n v="6848"/>
    <n v="0"/>
    <n v="6848"/>
    <n v="0.96199999999999997"/>
    <n v="4006"/>
    <n v="82"/>
    <n v="0.82199999999999995"/>
    <n v="0"/>
    <n v="3.2941999999999997E-4"/>
    <n v="0.99966999999999995"/>
    <s v="66.80588265193694"/>
    <s v="10.366433640296933"/>
    <s v="94.41327743957746"/>
    <s v="4.772891659593292"/>
    <n v="714215058"/>
    <x v="0"/>
    <n v="7.4699510000000001E-4"/>
    <x v="0"/>
  </r>
  <r>
    <n v="46"/>
    <n v="1"/>
    <n v="2"/>
    <n v="6"/>
    <n v="1"/>
    <n v="3"/>
    <n v="0"/>
    <n v="34"/>
    <n v="3"/>
    <n v="3"/>
    <n v="3"/>
    <n v="2925"/>
    <n v="2365"/>
    <n v="560"/>
    <n v="0.69099999999999995"/>
    <n v="1371"/>
    <n v="30"/>
    <n v="0.57899999999999996"/>
    <n v="0.80900000000000005"/>
    <n v="3.3251E-4"/>
    <n v="0.99966999999999995"/>
    <s v="28.07397421317669"/>
    <n v="8.6642163893818491"/>
    <n v="39.6213631117961"/>
    <s v="16.35032722882957"/>
    <n v="708895158"/>
    <x v="0"/>
    <n v="1.0903810999999999E-3"/>
    <x v="0"/>
  </r>
  <r>
    <n v="35"/>
    <n v="0"/>
    <n v="2"/>
    <n v="2"/>
    <n v="1"/>
    <n v="4"/>
    <n v="0"/>
    <n v="28"/>
    <n v="6"/>
    <n v="1"/>
    <n v="3"/>
    <n v="4014"/>
    <n v="2266"/>
    <n v="1748"/>
    <n v="0.71799999999999997"/>
    <n v="14257"/>
    <n v="94"/>
    <n v="0.95799999999999996"/>
    <n v="0.56499999999999995"/>
    <s v="9.2637e-05"/>
    <n v="0.99990999999999997"/>
    <s v="7.554046962231599"/>
    <s v="0.4113746710453412"/>
    <s v="0.8014036452473454"/>
    <s v="4.499030184412455"/>
    <n v="716454858"/>
    <x v="0"/>
    <n v="3.4656386999999997E-4"/>
    <x v="0"/>
  </r>
  <r>
    <n v="46"/>
    <n v="1"/>
    <n v="1"/>
    <n v="2"/>
    <n v="0"/>
    <n v="0"/>
    <n v="0"/>
    <n v="30"/>
    <n v="6"/>
    <n v="2"/>
    <n v="2"/>
    <n v="2016"/>
    <n v="797"/>
    <n v="1219"/>
    <n v="1.1080000000000001"/>
    <n v="3772"/>
    <n v="62"/>
    <n v="0.879"/>
    <n v="0.39500000000000002"/>
    <n v="1.0684E-4"/>
    <n v="0.99988999999999995"/>
    <s v="8.321667026310696"/>
    <s v="0.7430150625736115"/>
    <s v="108.86290439613076"/>
    <s v="4.312260177573189"/>
    <n v="780971583"/>
    <x v="0"/>
    <n v="5.5798993000000002E-4"/>
    <x v="0"/>
  </r>
  <r>
    <n v="55"/>
    <n v="0"/>
    <n v="4"/>
    <n v="2"/>
    <n v="2"/>
    <n v="4"/>
    <n v="0"/>
    <n v="41"/>
    <n v="6"/>
    <n v="2"/>
    <n v="1"/>
    <n v="4430"/>
    <n v="1543"/>
    <n v="2887"/>
    <n v="0.752"/>
    <n v="3395"/>
    <n v="70"/>
    <n v="0.628"/>
    <n v="0.34799999999999998"/>
    <s v="7.1987e-05"/>
    <n v="0.99992999999999999"/>
    <s v="59.66500059781789"/>
    <s v="67.36461471514434"/>
    <n v="106.50445854048201"/>
    <s v="8.085433539377156"/>
    <n v="718428033"/>
    <x v="0"/>
    <n v="3.2914013999999999E-4"/>
    <x v="0"/>
  </r>
  <r>
    <n v="37"/>
    <n v="0"/>
    <n v="3"/>
    <n v="2"/>
    <n v="2"/>
    <n v="4"/>
    <n v="0"/>
    <n v="21"/>
    <n v="4"/>
    <n v="2"/>
    <n v="2"/>
    <n v="1784"/>
    <n v="577"/>
    <n v="1207"/>
    <n v="0.54200000000000004"/>
    <n v="2348"/>
    <n v="47"/>
    <n v="0.51600000000000001"/>
    <n v="0.32300000000000001"/>
    <n v="0.99160999999999999"/>
    <n v="8.3899999999999999E-3"/>
    <s v="4.305814901996884"/>
    <s v="74.52164769508752"/>
    <s v="58.976283664517226"/>
    <s v="8.421912138300605"/>
    <n v="779848383"/>
    <x v="1"/>
    <n v="0.99834716000000001"/>
    <x v="1"/>
  </r>
  <r>
    <n v="53"/>
    <n v="0"/>
    <n v="3"/>
    <n v="5"/>
    <n v="2"/>
    <n v="4"/>
    <n v="0"/>
    <n v="48"/>
    <n v="5"/>
    <n v="3"/>
    <n v="1"/>
    <n v="4908"/>
    <n v="1429"/>
    <n v="3479"/>
    <n v="0.745"/>
    <n v="3535"/>
    <n v="65"/>
    <n v="0.66700000000000004"/>
    <n v="0.29099999999999998"/>
    <n v="1.1574E-4"/>
    <n v="0.99987999999999999"/>
    <s v="16.092398812560905"/>
    <s v="44.16139012384248"/>
    <n v="56.1422606504279"/>
    <s v="14.096394487969588"/>
    <n v="818311533"/>
    <x v="0"/>
    <n v="3.2890364000000001E-4"/>
    <x v="0"/>
  </r>
  <r>
    <n v="36"/>
    <n v="0"/>
    <n v="2"/>
    <n v="3"/>
    <n v="1"/>
    <n v="1"/>
    <n v="0"/>
    <n v="36"/>
    <n v="4"/>
    <n v="3"/>
    <n v="2"/>
    <n v="1848"/>
    <n v="0"/>
    <n v="1848"/>
    <n v="0.90600000000000003"/>
    <n v="2775"/>
    <n v="33"/>
    <n v="0.435"/>
    <n v="0"/>
    <n v="0.99431000000000003"/>
    <n v="5.6899999999999997E-3"/>
    <s v="2.834482105846867"/>
    <s v="30.58431881318905"/>
    <s v="6.175047605812774"/>
    <s v="11.93531337654925"/>
    <n v="715499058"/>
    <x v="1"/>
    <n v="0.99869054999999995"/>
    <x v="1"/>
  </r>
  <r>
    <n v="33"/>
    <n v="1"/>
    <n v="1"/>
    <n v="3"/>
    <n v="2"/>
    <n v="3"/>
    <n v="0"/>
    <n v="28"/>
    <n v="4"/>
    <n v="3"/>
    <n v="3"/>
    <n v="34516"/>
    <n v="0"/>
    <n v="34516"/>
    <n v="0.63600000000000001"/>
    <n v="2804"/>
    <n v="70"/>
    <n v="0.84199999999999997"/>
    <n v="0"/>
    <n v="2.7604000000000002E-4"/>
    <n v="0.99972000000000005"/>
    <s v="8.432406321556156"/>
    <s v="5.733824032000605"/>
    <s v="116.86208718356102"/>
    <s v="10.774311005948984"/>
    <n v="711346383"/>
    <x v="0"/>
    <n v="9.0940940000000005E-4"/>
    <x v="0"/>
  </r>
  <r>
    <n v="39"/>
    <n v="0"/>
    <n v="1"/>
    <n v="0"/>
    <n v="1"/>
    <n v="4"/>
    <n v="0"/>
    <n v="22"/>
    <n v="3"/>
    <n v="1"/>
    <n v="2"/>
    <n v="3214"/>
    <n v="2257"/>
    <n v="957"/>
    <n v="1.2789999999999999"/>
    <n v="2516"/>
    <n v="42"/>
    <n v="0.75"/>
    <n v="0.70199999999999996"/>
    <s v="5.0261e-05"/>
    <n v="0.99995000000000001"/>
    <s v="21.38669525354575"/>
    <s v="9.243618257107132"/>
    <s v="66.27199585547896"/>
    <s v="19.24636404939786"/>
    <n v="779506158"/>
    <x v="0"/>
    <n v="1.1292467E-3"/>
    <x v="0"/>
  </r>
  <r>
    <n v="49"/>
    <n v="1"/>
    <n v="2"/>
    <n v="3"/>
    <n v="1"/>
    <n v="3"/>
    <n v="0"/>
    <n v="40"/>
    <n v="4"/>
    <n v="2"/>
    <n v="0"/>
    <n v="13490"/>
    <n v="1672"/>
    <n v="11818"/>
    <n v="0.79900000000000004"/>
    <n v="4205"/>
    <n v="75"/>
    <n v="0.41499999999999998"/>
    <n v="0.124"/>
    <s v="4.0816e-05"/>
    <n v="0.99995999999999996"/>
    <s v="66.21557475711978"/>
    <n v="73.594899184976299"/>
    <s v="81.18903096388594"/>
    <s v="1.5694662354710345"/>
    <n v="787849833"/>
    <x v="0"/>
    <n v="3.5747702000000001E-4"/>
    <x v="0"/>
  </r>
  <r>
    <n v="50"/>
    <n v="1"/>
    <n v="1"/>
    <n v="1"/>
    <n v="1"/>
    <n v="3"/>
    <n v="0"/>
    <n v="36"/>
    <n v="5"/>
    <n v="3"/>
    <n v="3"/>
    <n v="18964"/>
    <n v="2207"/>
    <n v="16757"/>
    <n v="0.625"/>
    <n v="3835"/>
    <n v="78"/>
    <n v="0.625"/>
    <n v="0.11600000000000001"/>
    <n v="4.1086999999999997E-4"/>
    <n v="0.99958999999999998"/>
    <s v="35.37550757294155"/>
    <s v="52.52024270948156"/>
    <n v="38.820814015929898"/>
    <s v="7.898371287911532"/>
    <n v="711243108"/>
    <x v="0"/>
    <n v="3.2914013999999999E-4"/>
    <x v="0"/>
  </r>
  <r>
    <n v="26"/>
    <n v="0"/>
    <n v="0"/>
    <n v="3"/>
    <n v="2"/>
    <n v="4"/>
    <n v="0"/>
    <n v="13"/>
    <n v="6"/>
    <n v="3"/>
    <n v="4"/>
    <n v="3517"/>
    <n v="1195"/>
    <n v="2322"/>
    <n v="0.55600000000000005"/>
    <n v="2255"/>
    <n v="48"/>
    <n v="0.5"/>
    <n v="0.34"/>
    <n v="4.3049000000000001E-4"/>
    <n v="0.99956999999999996"/>
    <n v="4.0564658719072098"/>
    <s v="2.5330340338509223"/>
    <s v="19.389384494909127"/>
    <s v="4.734471684165736"/>
    <n v="771556308"/>
    <x v="0"/>
    <n v="1.4998564000000001E-3"/>
    <x v="0"/>
  </r>
  <r>
    <n v="48"/>
    <n v="1"/>
    <n v="3"/>
    <n v="2"/>
    <n v="2"/>
    <n v="3"/>
    <n v="0"/>
    <n v="35"/>
    <n v="3"/>
    <n v="3"/>
    <n v="3"/>
    <n v="21374"/>
    <n v="0"/>
    <n v="21374"/>
    <n v="0.63100000000000001"/>
    <n v="4100"/>
    <n v="79"/>
    <n v="0.68100000000000005"/>
    <n v="0"/>
    <n v="3.1389999999999999E-4"/>
    <n v="0.99968999999999997"/>
    <s v="43.74281512995114"/>
    <s v="20.164470951431237"/>
    <s v="40.950436121086845"/>
    <s v="15.408372246592448"/>
    <n v="720555483"/>
    <x v="0"/>
    <n v="6.9517245999999998E-4"/>
    <x v="0"/>
  </r>
  <r>
    <n v="45"/>
    <n v="1"/>
    <n v="3"/>
    <n v="0"/>
    <n v="2"/>
    <n v="2"/>
    <n v="0"/>
    <n v="32"/>
    <n v="4"/>
    <n v="1"/>
    <n v="2"/>
    <n v="1438.3"/>
    <n v="0"/>
    <n v="1438.3"/>
    <n v="0.81"/>
    <n v="1468"/>
    <n v="26"/>
    <n v="0.625"/>
    <n v="0"/>
    <s v="5.5564e-05"/>
    <n v="0.99994000000000005"/>
    <s v="26.801705430970536"/>
    <s v="31.73681823656288"/>
    <s v="4.317383526189008"/>
    <s v="6.795212962875473"/>
    <n v="769425858"/>
    <x v="0"/>
    <n v="3.7827827E-3"/>
    <x v="0"/>
  </r>
  <r>
    <n v="43"/>
    <n v="1"/>
    <n v="3"/>
    <n v="0"/>
    <n v="1"/>
    <n v="3"/>
    <n v="0"/>
    <n v="25"/>
    <n v="3"/>
    <n v="3"/>
    <n v="3"/>
    <n v="2900"/>
    <n v="2517"/>
    <n v="383"/>
    <n v="0.71899999999999997"/>
    <n v="2180"/>
    <n v="31"/>
    <n v="0.40899999999999997"/>
    <n v="0.86799999999999999"/>
    <n v="0.99673999999999996"/>
    <n v="3.2649799999999998E-3"/>
    <s v="27.507857009078062"/>
    <s v="19.89358839427537"/>
    <s v="82.83991969436762"/>
    <s v="10.515095341744614"/>
    <n v="779320008"/>
    <x v="1"/>
    <n v="0.99596244"/>
    <x v="1"/>
  </r>
  <r>
    <n v="47"/>
    <n v="1"/>
    <n v="2"/>
    <n v="6"/>
    <n v="2"/>
    <n v="3"/>
    <n v="0"/>
    <n v="41"/>
    <n v="6"/>
    <n v="1"/>
    <n v="1"/>
    <n v="2877"/>
    <n v="1136"/>
    <n v="1741"/>
    <n v="0.75600000000000001"/>
    <n v="4006"/>
    <n v="68"/>
    <n v="0.47799999999999998"/>
    <n v="0.39500000000000002"/>
    <s v="3.6508e-05"/>
    <n v="0.99995999999999996"/>
    <s v="8.398925096137944"/>
    <s v="19.324192381267075"/>
    <s v="9.877530083134724"/>
    <s v="3.832004886984514"/>
    <n v="768390708"/>
    <x v="0"/>
    <n v="3.5747702000000001E-4"/>
    <x v="0"/>
  </r>
  <r>
    <n v="51"/>
    <n v="0"/>
    <n v="0"/>
    <n v="6"/>
    <n v="1"/>
    <n v="4"/>
    <n v="0"/>
    <n v="37"/>
    <n v="4"/>
    <n v="3"/>
    <n v="2"/>
    <n v="1515"/>
    <n v="996"/>
    <n v="519"/>
    <n v="0.55800000000000005"/>
    <n v="4324"/>
    <n v="89"/>
    <n v="0.85399999999999998"/>
    <n v="0.65700000000000003"/>
    <n v="1.6966E-4"/>
    <n v="0.99983"/>
    <s v="19.961146291507998"/>
    <s v="7.439443267968553"/>
    <s v="19.746456585395705"/>
    <s v="20.56505902782482"/>
    <n v="787457883"/>
    <x v="0"/>
    <n v="3.2101269999999999E-4"/>
    <x v="0"/>
  </r>
  <r>
    <n v="47"/>
    <n v="1"/>
    <n v="2"/>
    <n v="0"/>
    <n v="1"/>
    <n v="0"/>
    <n v="0"/>
    <n v="35"/>
    <n v="4"/>
    <n v="3"/>
    <n v="2"/>
    <n v="3636"/>
    <n v="1010"/>
    <n v="2626"/>
    <n v="0.59599999999999997"/>
    <n v="1564"/>
    <n v="59"/>
    <n v="0.68600000000000005"/>
    <n v="0.27800000000000002"/>
    <n v="1.7488000000000001E-4"/>
    <n v="0.99983"/>
    <s v="11.123381338655712"/>
    <s v="103.77274570312282"/>
    <s v="37.70189508491214"/>
    <s v="12.29214649043698"/>
    <n v="718344033"/>
    <x v="0"/>
    <n v="4.3657009999999998E-4"/>
    <x v="0"/>
  </r>
  <r>
    <n v="42"/>
    <n v="1"/>
    <n v="3"/>
    <n v="2"/>
    <n v="2"/>
    <n v="2"/>
    <n v="0"/>
    <n v="33"/>
    <n v="3"/>
    <n v="1"/>
    <n v="3"/>
    <n v="7328"/>
    <n v="936"/>
    <n v="6392"/>
    <n v="0.68899999999999995"/>
    <n v="4518"/>
    <n v="79"/>
    <n v="0.79500000000000004"/>
    <n v="0.128"/>
    <s v="9.6126e-05"/>
    <n v="0.99990000000000001"/>
    <s v="3.499637899566692"/>
    <s v="25.40926285555544"/>
    <s v="22.09484095748234"/>
    <s v="8.674249626899368"/>
    <n v="787568433"/>
    <x v="0"/>
    <n v="3.9522952000000002E-4"/>
    <x v="0"/>
  </r>
  <r>
    <n v="50"/>
    <n v="0"/>
    <n v="2"/>
    <n v="0"/>
    <n v="1"/>
    <n v="1"/>
    <n v="0"/>
    <n v="36"/>
    <n v="5"/>
    <n v="4"/>
    <n v="1"/>
    <n v="2428"/>
    <n v="2005"/>
    <n v="423"/>
    <n v="0.83499999999999996"/>
    <n v="5170"/>
    <n v="68"/>
    <n v="0.65900000000000003"/>
    <n v="0.82599999999999996"/>
    <n v="1.2746E-4"/>
    <n v="0.99987000000000004"/>
    <s v="21.69252368106257"/>
    <s v="4.629555585190459"/>
    <s v="75.28285509108211"/>
    <s v="3.4101215548726054"/>
    <n v="716537433"/>
    <x v="0"/>
    <n v="3.2101269999999999E-4"/>
    <x v="0"/>
  </r>
  <r>
    <n v="43"/>
    <n v="0"/>
    <n v="4"/>
    <n v="3"/>
    <n v="3"/>
    <n v="4"/>
    <n v="3"/>
    <n v="31"/>
    <n v="6"/>
    <n v="2"/>
    <n v="2"/>
    <n v="13651"/>
    <n v="0"/>
    <n v="13651"/>
    <n v="1.046"/>
    <n v="9772"/>
    <n v="71"/>
    <n v="0.77500000000000002"/>
    <n v="0"/>
    <n v="0.99055000000000004"/>
    <n v="9.4500000000000001E-3"/>
    <s v="2.510887403436535"/>
    <s v="47.86851151492932"/>
    <s v="49.52685215115646"/>
    <s v="14.073012117136726"/>
    <n v="718614183"/>
    <x v="1"/>
    <n v="0.9954307"/>
    <x v="1"/>
  </r>
  <r>
    <n v="51"/>
    <n v="0"/>
    <n v="0"/>
    <n v="1"/>
    <n v="2"/>
    <n v="4"/>
    <n v="0"/>
    <n v="38"/>
    <n v="2"/>
    <n v="2"/>
    <n v="2"/>
    <n v="4132"/>
    <n v="2517"/>
    <n v="1615"/>
    <n v="0.78600000000000003"/>
    <n v="13820"/>
    <n v="129"/>
    <n v="0.69699999999999995"/>
    <n v="0.60899999999999999"/>
    <n v="1.4134E-4"/>
    <n v="0.99985999999999997"/>
    <s v="16.870405217821414"/>
    <s v="52.91773831350488"/>
    <s v="150.61959233890542"/>
    <s v="6.144155234855601"/>
    <n v="770926158"/>
    <x v="0"/>
    <n v="3.7453471999999999E-4"/>
    <x v="0"/>
  </r>
  <r>
    <n v="44"/>
    <n v="0"/>
    <n v="2"/>
    <n v="3"/>
    <n v="2"/>
    <n v="4"/>
    <n v="0"/>
    <n v="31"/>
    <n v="3"/>
    <n v="3"/>
    <n v="3"/>
    <n v="1506"/>
    <n v="168"/>
    <n v="1338"/>
    <n v="0.67100000000000004"/>
    <n v="2312"/>
    <n v="44"/>
    <n v="0.46700000000000003"/>
    <n v="0.112"/>
    <n v="0.99661"/>
    <n v="3.3878799999999998E-3"/>
    <s v="33.80172239411196"/>
    <s v="22.42022475566748"/>
    <s v="1.4176799971753635"/>
    <s v="0.8769846593840381"/>
    <n v="708692583"/>
    <x v="1"/>
    <n v="0.99855499999999997"/>
    <x v="1"/>
  </r>
  <r>
    <n v="43"/>
    <n v="1"/>
    <n v="4"/>
    <n v="2"/>
    <n v="2"/>
    <n v="2"/>
    <n v="0"/>
    <n v="25"/>
    <n v="3"/>
    <n v="2"/>
    <n v="4"/>
    <n v="13193"/>
    <n v="1749"/>
    <n v="11444"/>
    <n v="0.67100000000000004"/>
    <n v="4071"/>
    <n v="64"/>
    <n v="0.73"/>
    <n v="0.13300000000000001"/>
    <n v="3.4247999999999999E-4"/>
    <n v="0.99965999999999999"/>
    <s v="21.236915593867725"/>
    <s v="4.4249355572035975"/>
    <s v="97.48123022103655"/>
    <s v="9.832833232463663"/>
    <n v="720188508"/>
    <x v="0"/>
    <n v="3.3750320000000002E-4"/>
    <x v="0"/>
  </r>
  <r>
    <n v="33"/>
    <n v="0"/>
    <n v="2"/>
    <n v="1"/>
    <n v="3"/>
    <n v="5"/>
    <n v="0"/>
    <n v="21"/>
    <n v="3"/>
    <n v="3"/>
    <n v="3"/>
    <n v="4651"/>
    <n v="2499"/>
    <n v="2152"/>
    <n v="0.76600000000000001"/>
    <n v="5097"/>
    <n v="79"/>
    <n v="0.79500000000000004"/>
    <n v="0.53700000000000003"/>
    <n v="4.3772E-4"/>
    <n v="0.99956"/>
    <s v="6.844022169270124"/>
    <s v="19.315177485117733"/>
    <s v="47.53390752585051"/>
    <s v="12.088861392925846"/>
    <n v="708291633"/>
    <x v="0"/>
    <n v="3.4692350000000002E-4"/>
    <x v="0"/>
  </r>
  <r>
    <n v="39"/>
    <n v="1"/>
    <n v="2"/>
    <n v="4"/>
    <n v="1"/>
    <n v="2"/>
    <n v="0"/>
    <n v="36"/>
    <n v="6"/>
    <n v="3"/>
    <n v="2"/>
    <n v="5471"/>
    <n v="2056"/>
    <n v="3415"/>
    <n v="0.46500000000000002"/>
    <n v="1992"/>
    <n v="46"/>
    <n v="0.70399999999999996"/>
    <n v="0.376"/>
    <n v="2.1164999999999999E-4"/>
    <n v="0.99978999999999996"/>
    <s v="0.4610452453190443"/>
    <s v="14.565074249358693"/>
    <s v="36.46169971201739"/>
    <s v="22.673341104381574"/>
    <n v="719320833"/>
    <x v="0"/>
    <n v="1.1451696999999999E-3"/>
    <x v="0"/>
  </r>
  <r>
    <n v="50"/>
    <n v="1"/>
    <n v="1"/>
    <n v="5"/>
    <n v="1"/>
    <n v="1"/>
    <n v="0"/>
    <n v="45"/>
    <n v="5"/>
    <n v="3"/>
    <n v="3"/>
    <n v="2151"/>
    <n v="1163"/>
    <n v="988"/>
    <n v="0.84899999999999998"/>
    <n v="2513"/>
    <n v="62"/>
    <n v="0.59"/>
    <n v="0.54100000000000004"/>
    <n v="2.9196000000000002E-4"/>
    <n v="0.99970999999999999"/>
    <s v="6.430562856264648"/>
    <s v="23.640870637436507"/>
    <s v="72.00422549877327"/>
    <s v="16.938257574261684"/>
    <n v="814752558"/>
    <x v="0"/>
    <n v="4.3839816000000001E-4"/>
    <x v="0"/>
  </r>
  <r>
    <n v="60"/>
    <n v="1"/>
    <n v="0"/>
    <n v="0"/>
    <n v="1"/>
    <n v="3"/>
    <n v="0"/>
    <n v="50"/>
    <n v="1"/>
    <n v="4"/>
    <n v="2"/>
    <n v="29239"/>
    <n v="0"/>
    <n v="29239"/>
    <n v="1.0569999999999999"/>
    <n v="8169"/>
    <n v="65"/>
    <n v="0.58499999999999996"/>
    <n v="0"/>
    <n v="0.99451999999999996"/>
    <n v="5.4799999999999996E-3"/>
    <s v="59.13326120186884"/>
    <s v="58.599025455337234"/>
    <s v="134.8087926731157"/>
    <s v="1.7280885782394193"/>
    <n v="716088783"/>
    <x v="1"/>
    <n v="0.99560462999999999"/>
    <x v="1"/>
  </r>
  <r>
    <n v="52"/>
    <n v="1"/>
    <n v="2"/>
    <n v="0"/>
    <n v="1"/>
    <n v="3"/>
    <n v="0"/>
    <n v="36"/>
    <n v="1"/>
    <n v="2"/>
    <n v="2"/>
    <n v="9959"/>
    <n v="1049"/>
    <n v="8910"/>
    <n v="0.97599999999999998"/>
    <n v="15195"/>
    <n v="99"/>
    <n v="0.94099999999999995"/>
    <n v="0.105"/>
    <n v="1.1066E-4"/>
    <n v="0.99988999999999995"/>
    <s v="24.881819637490977"/>
    <s v="50.37721810382504"/>
    <s v="137.2121039496028"/>
    <s v="3.864975348783642"/>
    <n v="716543433"/>
    <x v="0"/>
    <n v="3.6437239999999999E-4"/>
    <x v="0"/>
  </r>
  <r>
    <n v="49"/>
    <n v="0"/>
    <n v="2"/>
    <n v="3"/>
    <n v="1"/>
    <n v="1"/>
    <n v="0"/>
    <n v="39"/>
    <n v="5"/>
    <n v="3"/>
    <n v="4"/>
    <n v="2720"/>
    <n v="1926"/>
    <n v="794"/>
    <n v="0.60199999999999998"/>
    <n v="3806"/>
    <n v="61"/>
    <n v="0.79400000000000004"/>
    <n v="0.70799999999999996"/>
    <n v="5.0162999999999998E-4"/>
    <n v="0.99950000000000006"/>
    <s v="6.647436078169247"/>
    <n v="45.403304703930097"/>
    <s v="52.70648675160454"/>
    <s v="2.534735426213843"/>
    <n v="720028683"/>
    <x v="0"/>
    <n v="3.479205E-4"/>
    <x v="0"/>
  </r>
  <r>
    <n v="46"/>
    <n v="1"/>
    <n v="3"/>
    <n v="5"/>
    <n v="0"/>
    <n v="2"/>
    <n v="0"/>
    <n v="34"/>
    <n v="4"/>
    <n v="3"/>
    <n v="0"/>
    <n v="11501"/>
    <n v="713"/>
    <n v="10788"/>
    <n v="0.84"/>
    <n v="1481"/>
    <n v="41"/>
    <n v="0.51900000000000002"/>
    <n v="6.2E-2"/>
    <s v="7.0795e-05"/>
    <n v="0.99992999999999999"/>
    <s v="5.553112246088744"/>
    <s v="43.85108475749428"/>
    <s v="71.09292992252936"/>
    <s v="13.485679460584262"/>
    <n v="718064283"/>
    <x v="0"/>
    <n v="2.2507333000000001E-3"/>
    <x v="0"/>
  </r>
  <r>
    <n v="44"/>
    <n v="0"/>
    <n v="3"/>
    <n v="2"/>
    <n v="0"/>
    <n v="4"/>
    <n v="0"/>
    <n v="36"/>
    <n v="6"/>
    <n v="3"/>
    <n v="3"/>
    <n v="1467"/>
    <n v="896"/>
    <n v="571"/>
    <n v="0.69199999999999995"/>
    <n v="1731"/>
    <n v="54"/>
    <n v="0.5"/>
    <n v="0.61099999999999999"/>
    <n v="3.1389999999999999E-4"/>
    <n v="0.99968999999999997"/>
    <s v="6.4041649401329375"/>
    <s v="47.89858239104914"/>
    <s v="1.5504569596600817"/>
    <s v="3.334160114804698"/>
    <n v="773073558"/>
    <x v="0"/>
    <n v="7.9767879999999996E-4"/>
    <x v="0"/>
  </r>
  <r>
    <n v="54"/>
    <n v="0"/>
    <n v="5"/>
    <n v="3"/>
    <n v="1"/>
    <n v="5"/>
    <n v="0"/>
    <n v="44"/>
    <n v="5"/>
    <n v="3"/>
    <n v="3"/>
    <n v="5342"/>
    <n v="605"/>
    <n v="4737"/>
    <n v="0.69099999999999995"/>
    <n v="2426"/>
    <n v="46"/>
    <n v="0.39400000000000002"/>
    <n v="0.113"/>
    <n v="0.99672000000000005"/>
    <n v="3.2818700000000001E-3"/>
    <s v="6.998312070058419"/>
    <s v="16.42861221133815"/>
    <s v="52.41723428122388"/>
    <s v="2.9644041061259183"/>
    <n v="711886383"/>
    <x v="1"/>
    <n v="0.99828064000000005"/>
    <x v="1"/>
  </r>
  <r>
    <n v="46"/>
    <n v="1"/>
    <n v="1"/>
    <n v="2"/>
    <n v="2"/>
    <n v="2"/>
    <n v="0"/>
    <n v="37"/>
    <n v="2"/>
    <n v="3"/>
    <n v="4"/>
    <n v="2445"/>
    <n v="848"/>
    <n v="1597"/>
    <n v="0.77100000000000002"/>
    <n v="2216"/>
    <n v="39"/>
    <n v="0.56000000000000005"/>
    <n v="0.34699999999999998"/>
    <n v="0.99794000000000005"/>
    <n v="2.05937E-3"/>
    <s v="42.18094069833805"/>
    <s v="6.909836025355807"/>
    <s v="103.57684886655476"/>
    <s v="10.651668913770676"/>
    <n v="717035283"/>
    <x v="1"/>
    <n v="0.99662539999999999"/>
    <x v="1"/>
  </r>
  <r>
    <n v="53"/>
    <n v="1"/>
    <n v="1"/>
    <n v="4"/>
    <n v="2"/>
    <n v="2"/>
    <n v="0"/>
    <n v="46"/>
    <n v="6"/>
    <n v="2"/>
    <n v="4"/>
    <n v="4573"/>
    <n v="2076"/>
    <n v="2497"/>
    <n v="0.83899999999999997"/>
    <n v="2720"/>
    <n v="46"/>
    <n v="0.48399999999999999"/>
    <n v="0.45400000000000001"/>
    <n v="0.99724000000000002"/>
    <n v="2.764E-3"/>
    <s v="39.50418246893991"/>
    <s v="107.60800347334975"/>
    <s v="2.2971839479343954"/>
    <s v="8.911984406766503"/>
    <n v="720044658"/>
    <x v="1"/>
    <n v="0.99434820000000002"/>
    <x v="1"/>
  </r>
  <r>
    <n v="26"/>
    <n v="0"/>
    <n v="0"/>
    <n v="2"/>
    <n v="2"/>
    <n v="1"/>
    <n v="0"/>
    <n v="36"/>
    <n v="5"/>
    <n v="3"/>
    <n v="3"/>
    <n v="3930"/>
    <n v="0"/>
    <n v="3930"/>
    <n v="0.75800000000000001"/>
    <n v="2067"/>
    <n v="42"/>
    <n v="0.35499999999999998"/>
    <n v="0"/>
    <n v="2.5960000000000002E-4"/>
    <n v="0.99973999999999996"/>
    <s v="24.41044561748986"/>
    <s v="47.18972117876864"/>
    <s v="88.82658711328797"/>
    <s v="20.09795605042422"/>
    <n v="715074258"/>
    <x v="0"/>
    <n v="5.0474659999999996E-3"/>
    <x v="0"/>
  </r>
  <r>
    <n v="44"/>
    <n v="0"/>
    <n v="4"/>
    <n v="1"/>
    <n v="3"/>
    <n v="4"/>
    <n v="0"/>
    <n v="34"/>
    <n v="5"/>
    <n v="2"/>
    <n v="2"/>
    <n v="2718"/>
    <n v="1718"/>
    <n v="1000"/>
    <n v="0.67900000000000005"/>
    <n v="4423"/>
    <n v="68"/>
    <n v="0.61899999999999999"/>
    <n v="0.63200000000000001"/>
    <n v="1.7274E-4"/>
    <n v="0.99983"/>
    <s v="39.04363929061261"/>
    <s v="5.923399010444957"/>
    <s v="119.9189952279424"/>
    <s v="8.859865643866678"/>
    <n v="708837858"/>
    <x v="0"/>
    <n v="3.2914013999999999E-4"/>
    <x v="0"/>
  </r>
  <r>
    <n v="44"/>
    <n v="0"/>
    <n v="3"/>
    <n v="0"/>
    <n v="2"/>
    <n v="4"/>
    <n v="0"/>
    <n v="32"/>
    <n v="1"/>
    <n v="2"/>
    <n v="1"/>
    <n v="7926"/>
    <n v="1051"/>
    <n v="6875"/>
    <n v="0.72899999999999998"/>
    <n v="7677"/>
    <n v="87"/>
    <n v="0.55400000000000005"/>
    <n v="0.13300000000000001"/>
    <s v="6.9248e-05"/>
    <n v="0.99992999999999999"/>
    <s v="3.1193217663094788"/>
    <s v="39.70290542178845"/>
    <s v="133.26458854159247"/>
    <s v="8.212732198207371"/>
    <n v="711830433"/>
    <x v="0"/>
    <n v="3.7789578000000003E-4"/>
    <x v="0"/>
  </r>
  <r>
    <n v="53"/>
    <n v="0"/>
    <n v="1"/>
    <n v="2"/>
    <n v="2"/>
    <n v="4"/>
    <n v="0"/>
    <n v="48"/>
    <n v="6"/>
    <n v="6"/>
    <n v="3"/>
    <n v="2370"/>
    <n v="1166"/>
    <n v="1204"/>
    <n v="0.56200000000000006"/>
    <n v="2164"/>
    <n v="45"/>
    <n v="0.60699999999999998"/>
    <n v="0.49199999999999999"/>
    <n v="0.99556"/>
    <n v="4.4403300000000001E-3"/>
    <s v="40.14313542139092"/>
    <s v="76.70730348127844"/>
    <s v="31.74454222624593"/>
    <s v="9.000112551074148"/>
    <n v="712144158"/>
    <x v="1"/>
    <n v="0.99517619999999996"/>
    <x v="1"/>
  </r>
  <r>
    <n v="39"/>
    <n v="0"/>
    <n v="2"/>
    <n v="2"/>
    <n v="1"/>
    <n v="5"/>
    <n v="0"/>
    <n v="31"/>
    <n v="4"/>
    <n v="2"/>
    <n v="3"/>
    <n v="1438.3"/>
    <n v="997"/>
    <n v="441.3"/>
    <n v="1.867"/>
    <n v="2583"/>
    <n v="47"/>
    <n v="0.95799999999999996"/>
    <n v="0.69299999999999995"/>
    <n v="1.9143E-4"/>
    <n v="0.99980999999999998"/>
    <s v="22.96645421743056"/>
    <s v="0.2971054257559819"/>
    <s v="141.24197027371642"/>
    <s v="16.419534722196957"/>
    <n v="789528183"/>
    <x v="0"/>
    <n v="1.0481173E-3"/>
    <x v="0"/>
  </r>
  <r>
    <n v="41"/>
    <n v="0"/>
    <n v="5"/>
    <n v="3"/>
    <n v="1"/>
    <n v="1"/>
    <n v="3"/>
    <n v="36"/>
    <n v="2"/>
    <n v="1"/>
    <n v="1"/>
    <n v="19281"/>
    <n v="1805"/>
    <n v="17476"/>
    <n v="0.89300000000000002"/>
    <n v="15423"/>
    <n v="110"/>
    <n v="0.69199999999999995"/>
    <n v="9.4E-2"/>
    <s v="3.012e-05"/>
    <n v="0.99997000000000003"/>
    <s v="14.091607845132025"/>
    <s v="45.58652041275451"/>
    <s v="14.54031509271596"/>
    <s v="0.3421324616068932"/>
    <n v="711814608"/>
    <x v="0"/>
    <n v="3.7482595999999998E-4"/>
    <x v="0"/>
  </r>
  <r>
    <n v="52"/>
    <n v="0"/>
    <n v="3"/>
    <n v="5"/>
    <n v="1"/>
    <n v="4"/>
    <n v="0"/>
    <n v="47"/>
    <n v="6"/>
    <n v="3"/>
    <n v="2"/>
    <n v="2516"/>
    <n v="1486"/>
    <n v="1030"/>
    <n v="0.503"/>
    <n v="3987"/>
    <n v="77"/>
    <n v="0.54"/>
    <n v="0.59099999999999997"/>
    <n v="1.9191E-4"/>
    <n v="0.99980999999999998"/>
    <s v="10.214600403520052"/>
    <s v="89.17403302951041"/>
    <s v="27.154479280210506"/>
    <s v="16.41585280746564"/>
    <n v="803952408"/>
    <x v="0"/>
    <n v="3.2914013999999999E-4"/>
    <x v="0"/>
  </r>
  <r>
    <n v="44"/>
    <n v="1"/>
    <n v="3"/>
    <n v="6"/>
    <n v="1"/>
    <n v="0"/>
    <n v="0"/>
    <n v="32"/>
    <n v="6"/>
    <n v="2"/>
    <n v="2"/>
    <n v="12725"/>
    <n v="1759"/>
    <n v="10966"/>
    <n v="1.056"/>
    <n v="4139"/>
    <n v="58"/>
    <n v="0.81200000000000006"/>
    <n v="0.13800000000000001"/>
    <n v="1.2982E-4"/>
    <n v="0.99987000000000004"/>
    <s v="3.1021184724187054"/>
    <s v="20.07066161091409"/>
    <s v="16.96600457940641"/>
    <s v="17.098820043576648"/>
    <n v="717609633"/>
    <x v="0"/>
    <n v="4.0212742000000001E-4"/>
    <x v="0"/>
  </r>
  <r>
    <n v="50"/>
    <n v="0"/>
    <n v="4"/>
    <n v="3"/>
    <n v="0"/>
    <n v="4"/>
    <n v="0"/>
    <n v="43"/>
    <n v="6"/>
    <n v="3"/>
    <n v="4"/>
    <n v="5908"/>
    <n v="0"/>
    <n v="5908"/>
    <n v="0.82199999999999995"/>
    <n v="3313"/>
    <n v="72"/>
    <n v="0.75600000000000001"/>
    <n v="0"/>
    <n v="5.2607999999999995E-4"/>
    <n v="0.99946999999999997"/>
    <s v="48.55282820248495"/>
    <s v="16.68630762401818"/>
    <s v="77.62900890541297"/>
    <s v="2.5888546918169806"/>
    <n v="758417508"/>
    <x v="0"/>
    <n v="6.9517245999999998E-4"/>
    <x v="0"/>
  </r>
  <r>
    <n v="59"/>
    <n v="1"/>
    <n v="0"/>
    <n v="2"/>
    <n v="2"/>
    <n v="3"/>
    <n v="3"/>
    <n v="36"/>
    <n v="5"/>
    <n v="3"/>
    <n v="3"/>
    <n v="34516"/>
    <n v="1494"/>
    <n v="33022"/>
    <n v="1.2290000000000001"/>
    <n v="3259"/>
    <n v="65"/>
    <n v="0.58499999999999996"/>
    <n v="4.2999999999999997E-2"/>
    <n v="2.3457E-4"/>
    <n v="0.99977000000000005"/>
    <s v="7.107188455647383"/>
    <n v="19.238340818980902"/>
    <s v="28.200525893188715"/>
    <s v="14.037750836349982"/>
    <n v="714030183"/>
    <x v="0"/>
    <n v="3.8516849999999998E-4"/>
    <x v="0"/>
  </r>
  <r>
    <n v="46"/>
    <n v="1"/>
    <n v="5"/>
    <n v="1"/>
    <n v="2"/>
    <n v="2"/>
    <n v="0"/>
    <n v="39"/>
    <n v="4"/>
    <n v="3"/>
    <n v="3"/>
    <n v="11464"/>
    <n v="0"/>
    <n v="11464"/>
    <n v="1.02"/>
    <n v="3660"/>
    <n v="55"/>
    <n v="1.0369999999999999"/>
    <n v="0"/>
    <n v="4.5189999999999998E-4"/>
    <n v="0.99955000000000005"/>
    <s v="18.512728414309148"/>
    <s v="5.674554269348073"/>
    <s v="6.549733127782785"/>
    <s v="0.7777850508034855"/>
    <n v="714429258"/>
    <x v="0"/>
    <n v="1.2067949000000001E-3"/>
    <x v="0"/>
  </r>
  <r>
    <n v="44"/>
    <n v="1"/>
    <n v="4"/>
    <n v="0"/>
    <n v="2"/>
    <n v="3"/>
    <n v="0"/>
    <n v="34"/>
    <n v="2"/>
    <n v="2"/>
    <n v="3"/>
    <n v="1876"/>
    <n v="861"/>
    <n v="1015"/>
    <n v="0.83899999999999997"/>
    <n v="5056"/>
    <n v="82"/>
    <n v="0.54700000000000004"/>
    <n v="0.45900000000000002"/>
    <n v="1.9519000000000001E-4"/>
    <n v="0.99980000000000002"/>
    <s v="9.235283716570516"/>
    <s v="13.681046114012696"/>
    <s v="3.6961352446260696"/>
    <s v="7.311391696831238"/>
    <n v="712132383"/>
    <x v="0"/>
    <n v="5.0206790000000001E-4"/>
    <x v="0"/>
  </r>
  <r>
    <n v="54"/>
    <n v="1"/>
    <n v="4"/>
    <n v="2"/>
    <n v="2"/>
    <n v="3"/>
    <n v="0"/>
    <n v="43"/>
    <n v="3"/>
    <n v="4"/>
    <n v="3"/>
    <n v="8208"/>
    <n v="1256"/>
    <n v="6952"/>
    <n v="0.81399999999999995"/>
    <n v="4824"/>
    <n v="83"/>
    <n v="0.627"/>
    <n v="0.153"/>
    <n v="3.834E-4"/>
    <n v="0.99961999999999995"/>
    <s v="13.916245322926075"/>
    <s v="10.98272165418681"/>
    <s v="105.39269523177629"/>
    <s v="4.104919120055767"/>
    <n v="771918033"/>
    <x v="0"/>
    <n v="3.2914013999999999E-4"/>
    <x v="0"/>
  </r>
  <r>
    <n v="32"/>
    <n v="0"/>
    <n v="1"/>
    <n v="2"/>
    <n v="2"/>
    <n v="4"/>
    <n v="0"/>
    <n v="28"/>
    <n v="6"/>
    <n v="3"/>
    <n v="3"/>
    <n v="2428"/>
    <n v="1027"/>
    <n v="1401"/>
    <n v="0.82399999999999995"/>
    <n v="3007"/>
    <n v="84"/>
    <n v="0.86699999999999999"/>
    <n v="0.42299999999999999"/>
    <n v="2.8394999999999999E-4"/>
    <n v="0.99972000000000005"/>
    <s v="10.622902980258033"/>
    <n v="89.890525091933199"/>
    <s v="97.12889282313569"/>
    <s v="10.22704486730304"/>
    <n v="824667708"/>
    <x v="0"/>
    <n v="3.6685002999999999E-4"/>
    <x v="0"/>
  </r>
  <r>
    <n v="46"/>
    <n v="0"/>
    <n v="3"/>
    <n v="2"/>
    <n v="2"/>
    <n v="4"/>
    <n v="0"/>
    <n v="37"/>
    <n v="1"/>
    <n v="2"/>
    <n v="4"/>
    <n v="1438.3"/>
    <n v="0"/>
    <n v="1438.3"/>
    <n v="0.35"/>
    <n v="1757"/>
    <n v="44"/>
    <n v="0.46700000000000003"/>
    <n v="0"/>
    <n v="0.99705999999999995"/>
    <n v="2.9414100000000002E-3"/>
    <s v="2.5264326549154816"/>
    <s v="0.9496339060256264"/>
    <s v="71.03788328314238"/>
    <s v="2.2780028586604826"/>
    <n v="713748708"/>
    <x v="1"/>
    <n v="0.99830662999999997"/>
    <x v="1"/>
  </r>
  <r>
    <n v="39"/>
    <n v="1"/>
    <n v="1"/>
    <n v="4"/>
    <n v="2"/>
    <n v="1"/>
    <n v="0"/>
    <n v="35"/>
    <n v="5"/>
    <n v="1"/>
    <n v="1"/>
    <n v="2623"/>
    <n v="2121"/>
    <n v="502"/>
    <n v="0.72199999999999998"/>
    <n v="4078"/>
    <n v="70"/>
    <n v="0.79500000000000004"/>
    <n v="0.80900000000000005"/>
    <s v="3.6684e-05"/>
    <n v="0.99995999999999996"/>
    <s v="37.66740837058817"/>
    <s v="11.016632149320513"/>
    <s v="72.06847995429993"/>
    <s v="2.7323231301983566"/>
    <n v="825856083"/>
    <x v="0"/>
    <n v="3.2101269999999999E-4"/>
    <x v="0"/>
  </r>
  <r>
    <n v="34"/>
    <n v="0"/>
    <n v="2"/>
    <n v="0"/>
    <n v="2"/>
    <n v="4"/>
    <n v="0"/>
    <n v="22"/>
    <n v="5"/>
    <n v="2"/>
    <n v="0"/>
    <n v="1695"/>
    <n v="761"/>
    <n v="934"/>
    <n v="0.79700000000000004"/>
    <n v="4905"/>
    <n v="91"/>
    <n v="0.75"/>
    <n v="0.44900000000000001"/>
    <s v="4.082e-05"/>
    <n v="0.99995999999999996"/>
    <s v="6.739840337254121"/>
    <s v="49.41123001632948"/>
    <s v="129.69098033983116"/>
    <s v="3.024337389416387"/>
    <n v="721044333"/>
    <x v="0"/>
    <n v="5.4489190000000002E-4"/>
    <x v="0"/>
  </r>
  <r>
    <n v="44"/>
    <n v="0"/>
    <n v="4"/>
    <n v="2"/>
    <n v="1"/>
    <n v="4"/>
    <n v="0"/>
    <n v="25"/>
    <n v="5"/>
    <n v="3"/>
    <n v="2"/>
    <n v="1602"/>
    <n v="1044"/>
    <n v="558"/>
    <n v="0.78100000000000003"/>
    <n v="5428"/>
    <n v="85"/>
    <n v="0.63500000000000001"/>
    <n v="0.65200000000000002"/>
    <n v="1.8864000000000001E-4"/>
    <n v="0.99980999999999998"/>
    <s v="27.203258934371025"/>
    <s v="111.56780483069709"/>
    <s v="25.893262391180432"/>
    <s v="0.4443522915308017"/>
    <n v="714738033"/>
    <x v="0"/>
    <n v="3.7789578000000003E-4"/>
    <x v="0"/>
  </r>
  <r>
    <n v="43"/>
    <n v="1"/>
    <n v="3"/>
    <n v="2"/>
    <n v="1"/>
    <n v="0"/>
    <n v="0"/>
    <n v="31"/>
    <n v="2"/>
    <n v="4"/>
    <n v="1"/>
    <n v="13883"/>
    <n v="783"/>
    <n v="13100"/>
    <n v="0.749"/>
    <n v="1871"/>
    <n v="32"/>
    <n v="0.68400000000000005"/>
    <n v="5.6000000000000001E-2"/>
    <n v="0.99270000000000003"/>
    <n v="7.3000000000000001E-3"/>
    <s v="8.171661864747719"/>
    <s v="85.79624034856356"/>
    <s v="97.97607784303082"/>
    <s v="13.483329527281713"/>
    <n v="712693908"/>
    <x v="1"/>
    <n v="0.99732659999999995"/>
    <x v="1"/>
  </r>
  <r>
    <n v="49"/>
    <n v="1"/>
    <n v="1"/>
    <n v="6"/>
    <n v="2"/>
    <n v="3"/>
    <n v="0"/>
    <n v="36"/>
    <n v="6"/>
    <n v="3"/>
    <n v="4"/>
    <n v="34516"/>
    <n v="0"/>
    <n v="34516"/>
    <n v="0.66500000000000004"/>
    <n v="2512"/>
    <n v="45"/>
    <n v="0.32400000000000001"/>
    <n v="0"/>
    <n v="5.3237E-4"/>
    <n v="0.99946999999999997"/>
    <s v="41.41147256252376"/>
    <s v="43.52377276318548"/>
    <s v="5.539095854377399"/>
    <s v="26.095503375080195"/>
    <n v="720846558"/>
    <x v="0"/>
    <n v="5.0474659999999996E-3"/>
    <x v="0"/>
  </r>
  <r>
    <n v="59"/>
    <n v="0"/>
    <n v="0"/>
    <n v="0"/>
    <n v="1"/>
    <n v="1"/>
    <n v="0"/>
    <n v="53"/>
    <n v="3"/>
    <n v="2"/>
    <n v="0"/>
    <n v="1438.3"/>
    <n v="0"/>
    <n v="1438.3"/>
    <n v="0.89600000000000002"/>
    <n v="4457"/>
    <n v="79"/>
    <n v="0.92700000000000005"/>
    <n v="0"/>
    <s v="3.5028e-05"/>
    <n v="0.99995999999999996"/>
    <s v="12.207453804653008"/>
    <n v="18.354554316980099"/>
    <s v="52.28336400931014"/>
    <s v="5.559774122078825"/>
    <n v="786546783"/>
    <x v="0"/>
    <n v="7.1297199999999998E-4"/>
    <x v="0"/>
  </r>
  <r>
    <n v="49"/>
    <n v="0"/>
    <n v="1"/>
    <n v="2"/>
    <n v="1"/>
    <n v="1"/>
    <n v="0"/>
    <n v="38"/>
    <n v="5"/>
    <n v="2"/>
    <n v="2"/>
    <n v="5481"/>
    <n v="0"/>
    <n v="5481"/>
    <n v="0.78400000000000003"/>
    <n v="3380"/>
    <n v="73"/>
    <n v="0.78"/>
    <n v="0"/>
    <n v="1.0684E-4"/>
    <n v="0.99988999999999995"/>
    <s v="2.392595572797525"/>
    <n v="23.135379396099001"/>
    <s v="58.15420608172085"/>
    <n v="18.344696781680199"/>
    <n v="718338708"/>
    <x v="0"/>
    <n v="6.9517245999999998E-4"/>
    <x v="0"/>
  </r>
  <r>
    <n v="37"/>
    <n v="0"/>
    <n v="3"/>
    <n v="4"/>
    <n v="1"/>
    <n v="4"/>
    <n v="0"/>
    <n v="26"/>
    <n v="5"/>
    <n v="3"/>
    <n v="2"/>
    <n v="1910"/>
    <n v="1164"/>
    <n v="746"/>
    <n v="0.74399999999999999"/>
    <n v="2028"/>
    <n v="39"/>
    <n v="1.0529999999999999"/>
    <n v="0.60899999999999999"/>
    <n v="2.1961999999999999E-4"/>
    <n v="0.99978"/>
    <s v="14.057843329626618"/>
    <s v="1.9758489092227691"/>
    <s v="61.749284990715374"/>
    <s v="22.210237535951567"/>
    <n v="712142733"/>
    <x v="0"/>
    <n v="1.1511369E-3"/>
    <x v="0"/>
  </r>
  <r>
    <n v="48"/>
    <n v="0"/>
    <n v="3"/>
    <n v="6"/>
    <n v="3"/>
    <n v="5"/>
    <n v="0"/>
    <n v="36"/>
    <n v="3"/>
    <n v="3"/>
    <n v="2"/>
    <n v="4431"/>
    <n v="2517"/>
    <n v="1914"/>
    <n v="0.499"/>
    <n v="2185"/>
    <n v="48"/>
    <n v="0.371"/>
    <n v="0.56799999999999995"/>
    <n v="0.99514999999999998"/>
    <n v="4.8496700000000004E-3"/>
    <s v="44.86120335633896"/>
    <s v="7.858289489264949"/>
    <s v="5.593108815753825"/>
    <n v="7.4310698424841402"/>
    <n v="714127383"/>
    <x v="1"/>
    <n v="0.99596244"/>
    <x v="1"/>
  </r>
  <r>
    <n v="57"/>
    <n v="0"/>
    <n v="3"/>
    <n v="3"/>
    <n v="2"/>
    <n v="4"/>
    <n v="0"/>
    <n v="36"/>
    <n v="4"/>
    <n v="3"/>
    <n v="3"/>
    <n v="2347"/>
    <n v="1900"/>
    <n v="447"/>
    <n v="0.84499999999999997"/>
    <n v="2447"/>
    <n v="47"/>
    <n v="0.621"/>
    <n v="0.81"/>
    <n v="0.99673"/>
    <n v="3.2652800000000002E-3"/>
    <s v="13.865535342926748"/>
    <s v="59.28967034698876"/>
    <s v="45.33408851823013"/>
    <s v="10.927202672743457"/>
    <n v="719305608"/>
    <x v="1"/>
    <n v="0.99517619999999996"/>
    <x v="1"/>
  </r>
  <r>
    <n v="62"/>
    <n v="0"/>
    <n v="2"/>
    <n v="2"/>
    <n v="1"/>
    <n v="4"/>
    <n v="0"/>
    <n v="51"/>
    <n v="6"/>
    <n v="2"/>
    <n v="4"/>
    <n v="2986"/>
    <n v="1632"/>
    <n v="1354"/>
    <n v="0.88300000000000001"/>
    <n v="2141"/>
    <n v="55"/>
    <n v="0.66700000000000004"/>
    <n v="0.54700000000000004"/>
    <n v="3.2655999999999999E-4"/>
    <n v="0.99966999999999995"/>
    <s v="4.6122006798732285"/>
    <s v="47.49562179385087"/>
    <s v="156.9008085626009"/>
    <s v="20.02946243550566"/>
    <n v="716882658"/>
    <x v="0"/>
    <n v="5.9430883000000003E-4"/>
    <x v="0"/>
  </r>
  <r>
    <n v="54"/>
    <n v="1"/>
    <n v="1"/>
    <n v="3"/>
    <n v="1"/>
    <n v="2"/>
    <n v="0"/>
    <n v="37"/>
    <n v="5"/>
    <n v="1"/>
    <n v="1"/>
    <n v="9453"/>
    <n v="2188"/>
    <n v="7265"/>
    <n v="0.57199999999999995"/>
    <n v="1688"/>
    <n v="45"/>
    <n v="0.45200000000000001"/>
    <n v="0.23100000000000001"/>
    <s v="3.0307e-05"/>
    <n v="0.99997000000000003"/>
    <n v="29.208248524628999"/>
    <s v="21.911808276103116"/>
    <s v="1.5914396690615844"/>
    <s v="12.592625830071729"/>
    <n v="717595908"/>
    <x v="0"/>
    <n v="1.2315542E-3"/>
    <x v="0"/>
  </r>
  <r>
    <n v="54"/>
    <n v="1"/>
    <n v="4"/>
    <n v="2"/>
    <n v="2"/>
    <n v="3"/>
    <n v="0"/>
    <n v="36"/>
    <n v="4"/>
    <n v="2"/>
    <n v="3"/>
    <n v="30666"/>
    <n v="1046"/>
    <n v="29620"/>
    <n v="0.80100000000000005"/>
    <n v="3709"/>
    <n v="66"/>
    <n v="0.88600000000000001"/>
    <n v="3.4000000000000002E-2"/>
    <n v="2.0076999999999999E-4"/>
    <n v="0.99980000000000002"/>
    <s v="26.47810988408836"/>
    <s v="67.01823078513107"/>
    <s v="11.005299008767455"/>
    <s v="0.9651877332354972"/>
    <n v="714021183"/>
    <x v="0"/>
    <n v="3.5729867999999997E-4"/>
    <x v="0"/>
  </r>
  <r>
    <n v="53"/>
    <n v="1"/>
    <n v="2"/>
    <n v="5"/>
    <n v="2"/>
    <n v="3"/>
    <n v="0"/>
    <n v="47"/>
    <n v="6"/>
    <n v="1"/>
    <n v="1"/>
    <n v="22855"/>
    <n v="0"/>
    <n v="22855"/>
    <n v="0.74099999999999999"/>
    <n v="3711"/>
    <n v="83"/>
    <n v="0.80400000000000005"/>
    <n v="0"/>
    <s v="3.415e-05"/>
    <n v="0.99997000000000003"/>
    <s v="26.19702091997463"/>
    <s v="14.449878506207549"/>
    <n v="55.675561719464397"/>
    <s v="1.7351004774841543"/>
    <n v="802031583"/>
    <x v="0"/>
    <n v="6.9517245999999998E-4"/>
    <x v="0"/>
  </r>
  <r>
    <n v="31"/>
    <n v="1"/>
    <n v="0"/>
    <n v="2"/>
    <n v="2"/>
    <n v="1"/>
    <n v="0"/>
    <n v="36"/>
    <n v="2"/>
    <n v="3"/>
    <n v="3"/>
    <n v="4661"/>
    <n v="1835"/>
    <n v="2826"/>
    <n v="0.999"/>
    <n v="14257"/>
    <n v="110"/>
    <n v="0.96399999999999997"/>
    <n v="0.39400000000000002"/>
    <n v="2.5960000000000002E-4"/>
    <n v="0.99973999999999996"/>
    <s v="32.761120617654065"/>
    <s v="5.864181449449841"/>
    <n v="23.5674897972848"/>
    <s v="26.99529082137542"/>
    <n v="714638883"/>
    <x v="0"/>
    <n v="3.6437239999999999E-4"/>
    <x v="0"/>
  </r>
  <r>
    <n v="53"/>
    <n v="0"/>
    <n v="1"/>
    <n v="3"/>
    <n v="2"/>
    <n v="4"/>
    <n v="0"/>
    <n v="41"/>
    <n v="6"/>
    <n v="2"/>
    <n v="2"/>
    <n v="8693"/>
    <n v="796"/>
    <n v="7897"/>
    <n v="0.86399999999999999"/>
    <n v="4755"/>
    <n v="69"/>
    <n v="0.53300000000000003"/>
    <n v="9.1999999999999998E-2"/>
    <n v="1.0386E-4"/>
    <n v="0.99990000000000001"/>
    <s v="60.01761887931236"/>
    <s v="72.42989307025096"/>
    <s v="18.703500737848035"/>
    <s v="20.53308121663937"/>
    <n v="710006958"/>
    <x v="0"/>
    <n v="5.5443389999999999E-4"/>
    <x v="0"/>
  </r>
  <r>
    <n v="53"/>
    <n v="1"/>
    <n v="3"/>
    <n v="5"/>
    <n v="1"/>
    <n v="2"/>
    <n v="0"/>
    <n v="42"/>
    <n v="2"/>
    <n v="5"/>
    <n v="1"/>
    <n v="1438.3"/>
    <n v="0"/>
    <n v="1438.3"/>
    <n v="0.89500000000000002"/>
    <n v="4722"/>
    <n v="81"/>
    <n v="0.84099999999999997"/>
    <n v="0"/>
    <n v="1.2926999999999999E-4"/>
    <n v="0.99987000000000004"/>
    <s v="4.5231117787040365"/>
    <s v="29.26121479546985"/>
    <s v="67.51202070837473"/>
    <s v="21.63593730366404"/>
    <n v="714139308"/>
    <x v="0"/>
    <n v="7.1297199999999998E-4"/>
    <x v="0"/>
  </r>
  <r>
    <n v="52"/>
    <n v="0"/>
    <n v="5"/>
    <n v="6"/>
    <n v="2"/>
    <n v="5"/>
    <n v="0"/>
    <n v="36"/>
    <n v="3"/>
    <n v="1"/>
    <n v="3"/>
    <n v="3167"/>
    <n v="1387"/>
    <n v="1780"/>
    <n v="0.89900000000000002"/>
    <n v="4587"/>
    <n v="76"/>
    <n v="0.55100000000000005"/>
    <n v="0.438"/>
    <n v="1.0512E-4"/>
    <n v="0.99988999999999995"/>
    <s v="19.584143409509466"/>
    <s v="4.8379483896749145"/>
    <s v="58.60977537374022"/>
    <s v="6.895307407604991"/>
    <n v="717432933"/>
    <x v="0"/>
    <n v="3.3028650000000001E-4"/>
    <x v="0"/>
  </r>
  <r>
    <n v="45"/>
    <n v="0"/>
    <n v="4"/>
    <n v="2"/>
    <n v="1"/>
    <n v="4"/>
    <n v="0"/>
    <n v="34"/>
    <n v="3"/>
    <n v="2"/>
    <n v="1"/>
    <n v="1438.3"/>
    <n v="0"/>
    <n v="1438.3"/>
    <n v="0.68500000000000005"/>
    <n v="2153"/>
    <n v="35"/>
    <n v="0.34599999999999997"/>
    <n v="0"/>
    <n v="0.98629999999999995"/>
    <n v="1.37E-2"/>
    <s v="20.27570666852548"/>
    <s v="13.73996916326377"/>
    <s v="40.38596074697841"/>
    <s v="18.22752470033016"/>
    <n v="711430908"/>
    <x v="1"/>
    <n v="0.99876772999999996"/>
    <x v="1"/>
  </r>
  <r>
    <n v="40"/>
    <n v="1"/>
    <n v="3"/>
    <n v="6"/>
    <n v="2"/>
    <n v="2"/>
    <n v="3"/>
    <n v="35"/>
    <n v="6"/>
    <n v="3"/>
    <n v="2"/>
    <n v="25219"/>
    <n v="1503"/>
    <n v="23716"/>
    <n v="0.94399999999999995"/>
    <n v="4429"/>
    <n v="87"/>
    <n v="0.64200000000000002"/>
    <n v="0.06"/>
    <n v="1.8537999999999999E-4"/>
    <n v="0.99980999999999998"/>
    <s v="4.244416847964689"/>
    <s v="41.09002133598383"/>
    <s v="29.93530502170596"/>
    <s v="23.072565067466883"/>
    <n v="809311758"/>
    <x v="0"/>
    <n v="3.8516849999999998E-4"/>
    <x v="0"/>
  </r>
  <r>
    <n v="50"/>
    <n v="0"/>
    <n v="1"/>
    <n v="2"/>
    <n v="1"/>
    <n v="5"/>
    <n v="0"/>
    <n v="43"/>
    <n v="6"/>
    <n v="1"/>
    <n v="2"/>
    <n v="7985"/>
    <n v="0"/>
    <n v="7985"/>
    <n v="1.032"/>
    <n v="3873"/>
    <n v="72"/>
    <n v="0.67400000000000004"/>
    <n v="0"/>
    <s v="5.1697e-05"/>
    <n v="0.99995000000000001"/>
    <s v="9.328691421125388"/>
    <s v="16.151061400597257"/>
    <s v="9.009745183881938"/>
    <s v="2.854661308214809"/>
    <n v="755593983"/>
    <x v="0"/>
    <n v="7.4699510000000001E-4"/>
    <x v="0"/>
  </r>
  <r>
    <n v="53"/>
    <n v="1"/>
    <n v="2"/>
    <n v="4"/>
    <n v="2"/>
    <n v="0"/>
    <n v="0"/>
    <n v="36"/>
    <n v="6"/>
    <n v="1"/>
    <n v="2"/>
    <n v="34516"/>
    <n v="931"/>
    <n v="33585"/>
    <n v="0.82799999999999996"/>
    <n v="1022"/>
    <n v="21"/>
    <n v="1.1000000000000001"/>
    <n v="2.7E-2"/>
    <s v="6.4807e-05"/>
    <n v="0.99994000000000005"/>
    <s v="6.386774770133459"/>
    <n v="22.8721565571675"/>
    <s v="36.881513732649225"/>
    <s v="9.464937854186925"/>
    <n v="779509983"/>
    <x v="0"/>
    <n v="1.5093855E-3"/>
    <x v="0"/>
  </r>
  <r>
    <n v="41"/>
    <n v="0"/>
    <n v="3"/>
    <n v="3"/>
    <n v="1"/>
    <n v="4"/>
    <n v="0"/>
    <n v="30"/>
    <n v="4"/>
    <n v="4"/>
    <n v="2"/>
    <n v="3280"/>
    <n v="2327"/>
    <n v="953"/>
    <n v="0.78400000000000003"/>
    <n v="4268"/>
    <n v="84"/>
    <n v="1"/>
    <n v="0.70899999999999996"/>
    <n v="2.1928E-4"/>
    <n v="0.99978"/>
    <s v="31.921382077076395"/>
    <s v="26.179397171548025"/>
    <s v="6.007466914591226"/>
    <s v="8.498277942431407"/>
    <n v="768720708"/>
    <x v="0"/>
    <n v="3.2101269999999999E-4"/>
    <x v="0"/>
  </r>
  <r>
    <n v="39"/>
    <n v="0"/>
    <n v="3"/>
    <n v="6"/>
    <n v="1"/>
    <n v="4"/>
    <n v="0"/>
    <n v="26"/>
    <n v="5"/>
    <n v="2"/>
    <n v="5"/>
    <n v="2190"/>
    <n v="0"/>
    <n v="2190"/>
    <n v="0.69099999999999995"/>
    <n v="2338"/>
    <n v="40"/>
    <n v="0.6"/>
    <n v="0"/>
    <n v="0.99844999999999995"/>
    <n v="1.54849E-3"/>
    <s v="50.03605188305945"/>
    <s v="57.40006463126424"/>
    <s v="97.55397322437813"/>
    <s v="3.0243982418234268"/>
    <n v="711298458"/>
    <x v="1"/>
    <n v="0.99763009999999996"/>
    <x v="1"/>
  </r>
  <r>
    <n v="54"/>
    <n v="1"/>
    <n v="1"/>
    <n v="3"/>
    <n v="1"/>
    <n v="3"/>
    <n v="0"/>
    <n v="42"/>
    <n v="5"/>
    <n v="3"/>
    <n v="2"/>
    <n v="1618"/>
    <n v="668"/>
    <n v="950"/>
    <n v="0.55200000000000005"/>
    <n v="1515"/>
    <n v="31"/>
    <n v="0.47599999999999998"/>
    <n v="0.41299999999999998"/>
    <n v="1.6412999999999999E-4"/>
    <n v="0.99983999999999995"/>
    <s v="14.175190017361638"/>
    <s v="3.3212318180279508"/>
    <s v="36.38325712551003"/>
    <n v="7.7588535738263102"/>
    <n v="771429408"/>
    <x v="0"/>
    <n v="2.0992573999999999E-3"/>
    <x v="0"/>
  </r>
  <r>
    <n v="36"/>
    <n v="0"/>
    <n v="2"/>
    <n v="3"/>
    <n v="2"/>
    <n v="4"/>
    <n v="0"/>
    <n v="36"/>
    <n v="6"/>
    <n v="2"/>
    <n v="5"/>
    <n v="8087"/>
    <n v="1263"/>
    <n v="6824"/>
    <n v="0.61499999999999999"/>
    <n v="2429"/>
    <n v="69"/>
    <n v="0.64300000000000002"/>
    <n v="0.156"/>
    <n v="5.4925000000000004E-4"/>
    <n v="0.99944999999999995"/>
    <s v="2.212186089775624"/>
    <s v="33.82815589287907"/>
    <s v="52.178323580740056"/>
    <s v="7.201444260177361"/>
    <n v="716456808"/>
    <x v="0"/>
    <n v="4.0449749999999998E-4"/>
    <x v="0"/>
  </r>
  <r>
    <n v="49"/>
    <n v="0"/>
    <n v="4"/>
    <n v="5"/>
    <n v="1"/>
    <n v="5"/>
    <n v="0"/>
    <n v="36"/>
    <n v="3"/>
    <n v="2"/>
    <n v="3"/>
    <n v="13483"/>
    <n v="2517"/>
    <n v="10966"/>
    <n v="0.73299999999999998"/>
    <n v="3427"/>
    <n v="72"/>
    <n v="0.6"/>
    <n v="0.187"/>
    <n v="2.0642999999999999E-4"/>
    <n v="0.99978999999999996"/>
    <s v="27.986860607740816"/>
    <n v="40.122061683355099"/>
    <s v="16.215461205589804"/>
    <n v="8.9368330047532099E-2"/>
    <n v="721338783"/>
    <x v="0"/>
    <n v="3.5570623000000002E-4"/>
    <x v="0"/>
  </r>
  <r>
    <n v="37"/>
    <n v="1"/>
    <n v="4"/>
    <n v="5"/>
    <n v="1"/>
    <n v="1"/>
    <n v="0"/>
    <n v="27"/>
    <n v="6"/>
    <n v="3"/>
    <n v="2"/>
    <n v="1438.3"/>
    <n v="759"/>
    <n v="679.3"/>
    <n v="0.85799999999999998"/>
    <n v="4446"/>
    <n v="86"/>
    <n v="0.72"/>
    <n v="0.52800000000000002"/>
    <n v="1.9395999999999999E-4"/>
    <n v="0.99980999999999998"/>
    <s v="18.406192631028244"/>
    <n v="19.1404810163896"/>
    <s v="91.25149951726164"/>
    <s v="5.231041678583917"/>
    <n v="709736658"/>
    <x v="0"/>
    <n v="5.4489190000000002E-4"/>
    <x v="0"/>
  </r>
  <r>
    <n v="36"/>
    <n v="1"/>
    <n v="4"/>
    <n v="1"/>
    <n v="1"/>
    <n v="2"/>
    <n v="0"/>
    <n v="17"/>
    <n v="5"/>
    <n v="2"/>
    <n v="4"/>
    <n v="2803"/>
    <n v="1848"/>
    <n v="955"/>
    <n v="0.61399999999999999"/>
    <n v="1968"/>
    <n v="64"/>
    <n v="0.52400000000000002"/>
    <n v="0.65900000000000003"/>
    <n v="4.9554000000000004E-4"/>
    <n v="0.99950000000000006"/>
    <n v="9.6836168923749302"/>
    <s v="43.78176506939536"/>
    <s v="117.9334989967092"/>
    <s v="13.537582968745724"/>
    <n v="778971408"/>
    <x v="0"/>
    <n v="4.0396032E-4"/>
    <x v="0"/>
  </r>
  <r>
    <n v="50"/>
    <n v="1"/>
    <n v="3"/>
    <n v="2"/>
    <n v="2"/>
    <n v="1"/>
    <n v="0"/>
    <n v="33"/>
    <n v="3"/>
    <n v="1"/>
    <n v="2"/>
    <n v="2798"/>
    <n v="1291"/>
    <n v="1507"/>
    <n v="0.70799999999999996"/>
    <n v="2903"/>
    <n v="69"/>
    <n v="0.68300000000000005"/>
    <n v="0.46100000000000002"/>
    <s v="5.7151e-05"/>
    <n v="0.99994000000000005"/>
    <s v="2.343334320866288"/>
    <n v="44.944431608494703"/>
    <s v="59.008317123027474"/>
    <s v="11.242290073361216"/>
    <n v="779689233"/>
    <x v="0"/>
    <n v="3.6685002999999999E-4"/>
    <x v="0"/>
  </r>
  <r>
    <n v="59"/>
    <n v="1"/>
    <n v="0"/>
    <n v="2"/>
    <n v="1"/>
    <n v="2"/>
    <n v="0"/>
    <n v="53"/>
    <n v="6"/>
    <n v="1"/>
    <n v="4"/>
    <n v="12554"/>
    <n v="2169"/>
    <n v="10385"/>
    <n v="0.52900000000000003"/>
    <n v="1422"/>
    <n v="30"/>
    <n v="0.57899999999999996"/>
    <n v="0.17299999999999999"/>
    <n v="1.3562000000000001E-4"/>
    <n v="0.99985999999999997"/>
    <s v="14.627474021066256"/>
    <s v="35.19976654436417"/>
    <s v="10.627688493198072"/>
    <s v="25.70805471922011"/>
    <n v="787643658"/>
    <x v="0"/>
    <n v="1.0598798E-3"/>
    <x v="0"/>
  </r>
  <r>
    <n v="53"/>
    <n v="1"/>
    <n v="2"/>
    <n v="5"/>
    <n v="2"/>
    <n v="2"/>
    <n v="0"/>
    <n v="40"/>
    <n v="5"/>
    <n v="2"/>
    <n v="2"/>
    <n v="19116"/>
    <n v="0"/>
    <n v="19116"/>
    <n v="0.65600000000000003"/>
    <n v="1184"/>
    <n v="29"/>
    <n v="0.61099999999999999"/>
    <n v="0"/>
    <n v="1.1703E-4"/>
    <n v="0.99987999999999999"/>
    <n v="53.088776061254698"/>
    <s v="4.726597982834841"/>
    <s v="64.29555681252106"/>
    <s v="6.143180651186159"/>
    <n v="787464408"/>
    <x v="0"/>
    <n v="3.7827827E-3"/>
    <x v="0"/>
  </r>
  <r>
    <n v="52"/>
    <n v="0"/>
    <n v="1"/>
    <n v="2"/>
    <n v="0"/>
    <n v="5"/>
    <n v="0"/>
    <n v="35"/>
    <n v="3"/>
    <n v="2"/>
    <n v="4"/>
    <n v="13169"/>
    <n v="1499"/>
    <n v="11670"/>
    <n v="0.60299999999999998"/>
    <n v="4370"/>
    <n v="83"/>
    <n v="0.53700000000000003"/>
    <n v="0.114"/>
    <n v="3.0653000000000001E-4"/>
    <n v="0.99968999999999997"/>
    <s v="46.86323419308143"/>
    <n v="20.4264795455972"/>
    <s v="27.64834227946412"/>
    <s v="8.391905322634045"/>
    <n v="708900408"/>
    <x v="0"/>
    <n v="3.2914013999999999E-4"/>
    <x v="0"/>
  </r>
  <r>
    <n v="45"/>
    <n v="0"/>
    <n v="0"/>
    <n v="0"/>
    <n v="0"/>
    <n v="4"/>
    <n v="0"/>
    <n v="35"/>
    <n v="6"/>
    <n v="1"/>
    <n v="3"/>
    <n v="5923"/>
    <n v="1686"/>
    <n v="4237"/>
    <n v="0.70199999999999996"/>
    <n v="1236"/>
    <n v="35"/>
    <n v="0.59099999999999997"/>
    <n v="0.28499999999999998"/>
    <s v="7.7286e-05"/>
    <n v="0.99992000000000003"/>
    <s v="19.91792234283952"/>
    <s v="25.17884052550706"/>
    <s v="93.77539819078883"/>
    <s v="4.280881268032567"/>
    <n v="712006308"/>
    <x v="0"/>
    <n v="1.0598798E-3"/>
    <x v="0"/>
  </r>
  <r>
    <n v="29"/>
    <n v="0"/>
    <n v="0"/>
    <n v="5"/>
    <n v="0"/>
    <n v="4"/>
    <n v="0"/>
    <n v="19"/>
    <n v="5"/>
    <n v="4"/>
    <n v="4"/>
    <n v="2926"/>
    <n v="0"/>
    <n v="2926"/>
    <n v="0.84"/>
    <n v="2775"/>
    <n v="74"/>
    <n v="1.1140000000000001"/>
    <n v="0"/>
    <n v="5.5020999999999998E-4"/>
    <n v="0.99944999999999995"/>
    <s v="59.29301084079877"/>
    <s v="6.453837026345993"/>
    <s v="80.04702937017065"/>
    <s v="1.2941141477221034"/>
    <n v="713770383"/>
    <x v="0"/>
    <n v="8.6191755999999995E-4"/>
    <x v="0"/>
  </r>
  <r>
    <n v="48"/>
    <n v="0"/>
    <n v="2"/>
    <n v="3"/>
    <n v="1"/>
    <n v="4"/>
    <n v="0"/>
    <n v="36"/>
    <n v="6"/>
    <n v="3"/>
    <n v="3"/>
    <n v="1438.3"/>
    <n v="455"/>
    <n v="983.3"/>
    <n v="0.626"/>
    <n v="2090"/>
    <n v="50"/>
    <n v="0.56200000000000006"/>
    <n v="0.316"/>
    <n v="0.99661"/>
    <n v="3.3878799999999998E-3"/>
    <n v="26.2256198184946"/>
    <s v="18.94001266720511"/>
    <s v="74.29121988836006"/>
    <s v="14.99983547661971"/>
    <n v="710525508"/>
    <x v="1"/>
    <n v="0.99819880000000005"/>
    <x v="1"/>
  </r>
  <r>
    <n v="62"/>
    <n v="1"/>
    <n v="2"/>
    <n v="2"/>
    <n v="2"/>
    <n v="4"/>
    <n v="0"/>
    <n v="48"/>
    <n v="6"/>
    <n v="3"/>
    <n v="2"/>
    <n v="5844"/>
    <n v="2013"/>
    <n v="3831"/>
    <n v="0.47799999999999998"/>
    <n v="3546"/>
    <n v="65"/>
    <n v="0.54800000000000004"/>
    <n v="0.34399999999999997"/>
    <n v="1.7987E-4"/>
    <n v="0.99982000000000004"/>
    <s v="23.70350205832426"/>
    <s v="26.64224718777208"/>
    <s v="104.7916796378501"/>
    <s v="17.698485839822844"/>
    <n v="721221783"/>
    <x v="0"/>
    <n v="3.3723077000000001E-4"/>
    <x v="0"/>
  </r>
  <r>
    <n v="42"/>
    <n v="0"/>
    <n v="1"/>
    <n v="6"/>
    <n v="2"/>
    <n v="5"/>
    <n v="0"/>
    <n v="22"/>
    <n v="4"/>
    <n v="2"/>
    <n v="2"/>
    <n v="19127"/>
    <n v="985"/>
    <n v="18142"/>
    <n v="0.96599999999999997"/>
    <n v="3323"/>
    <n v="56"/>
    <n v="0.93100000000000005"/>
    <n v="5.0999999999999997E-2"/>
    <n v="1.1743000000000001E-4"/>
    <n v="0.99987999999999999"/>
    <s v="37.39873108083902"/>
    <s v="31.808410303704957"/>
    <s v="21.44743815003718"/>
    <s v="18.54765455562521"/>
    <n v="778422933"/>
    <x v="0"/>
    <n v="5.8192805999999998E-4"/>
    <x v="0"/>
  </r>
  <r>
    <n v="39"/>
    <n v="1"/>
    <n v="2"/>
    <n v="6"/>
    <n v="1"/>
    <n v="2"/>
    <n v="0"/>
    <n v="19"/>
    <n v="3"/>
    <n v="3"/>
    <n v="2"/>
    <n v="3047"/>
    <n v="2150"/>
    <n v="897"/>
    <n v="0.88200000000000001"/>
    <n v="1602"/>
    <n v="37"/>
    <n v="1.3120000000000001"/>
    <n v="0.70599999999999996"/>
    <n v="1.9771E-4"/>
    <n v="0.99980000000000002"/>
    <s v="11.165225536893638"/>
    <s v="88.08765747838497"/>
    <s v="66.01800252379988"/>
    <s v="0.2229769901292651"/>
    <n v="714130233"/>
    <x v="0"/>
    <n v="1.0249399E-3"/>
    <x v="0"/>
  </r>
  <r>
    <n v="54"/>
    <n v="0"/>
    <n v="2"/>
    <n v="1"/>
    <n v="1"/>
    <n v="1"/>
    <n v="0"/>
    <n v="43"/>
    <n v="5"/>
    <n v="3"/>
    <n v="2"/>
    <n v="2222"/>
    <n v="1398"/>
    <n v="824"/>
    <n v="0.78500000000000003"/>
    <n v="3960"/>
    <n v="79"/>
    <n v="0.75600000000000001"/>
    <n v="0.629"/>
    <n v="2.6027999999999999E-4"/>
    <n v="0.99973999999999996"/>
    <s v="9.429343905063105"/>
    <s v="41.20464059862672"/>
    <n v="47.937441666890997"/>
    <s v="18.004881175400165"/>
    <n v="712364283"/>
    <x v="0"/>
    <n v="3.2101269999999999E-4"/>
    <x v="0"/>
  </r>
  <r>
    <n v="58"/>
    <n v="0"/>
    <n v="1"/>
    <n v="0"/>
    <n v="1"/>
    <n v="4"/>
    <n v="0"/>
    <n v="49"/>
    <n v="3"/>
    <n v="3"/>
    <n v="2"/>
    <n v="3846"/>
    <n v="1285"/>
    <n v="2561"/>
    <n v="0.60799999999999998"/>
    <n v="1815"/>
    <n v="47"/>
    <n v="0.621"/>
    <n v="0.33400000000000002"/>
    <n v="1.6415000000000001E-4"/>
    <n v="0.99983999999999995"/>
    <s v="0.2784723888518369"/>
    <s v="16.575429389033474"/>
    <s v="7.896386617568402"/>
    <s v="6.102846264746501"/>
    <n v="709376508"/>
    <x v="0"/>
    <n v="1.0903810999999999E-3"/>
    <x v="0"/>
  </r>
  <r>
    <n v="56"/>
    <n v="1"/>
    <n v="1"/>
    <n v="2"/>
    <n v="1"/>
    <n v="3"/>
    <n v="0"/>
    <n v="50"/>
    <n v="3"/>
    <n v="6"/>
    <n v="3"/>
    <n v="8688"/>
    <n v="0"/>
    <n v="8688"/>
    <n v="0.42599999999999999"/>
    <n v="2361"/>
    <n v="41"/>
    <n v="0.46400000000000002"/>
    <n v="0"/>
    <n v="0.99556"/>
    <n v="4.4403300000000001E-3"/>
    <s v="20.219234040384578"/>
    <s v="50.73344814598968"/>
    <s v="104.0629452206044"/>
    <s v="1.4299081906142508"/>
    <n v="787339158"/>
    <x v="1"/>
    <n v="0.99876772999999996"/>
    <x v="1"/>
  </r>
  <r>
    <n v="65"/>
    <n v="0"/>
    <n v="0"/>
    <n v="0"/>
    <n v="2"/>
    <n v="4"/>
    <n v="3"/>
    <n v="56"/>
    <n v="3"/>
    <n v="4"/>
    <n v="3"/>
    <n v="10885"/>
    <n v="1758"/>
    <n v="9127"/>
    <n v="0.8"/>
    <n v="2291"/>
    <n v="39"/>
    <n v="0.77300000000000002"/>
    <n v="0.16200000000000001"/>
    <n v="0.99639"/>
    <n v="3.6142600000000002E-3"/>
    <s v="4.360574141725698"/>
    <s v="38.86695388789718"/>
    <s v="72.16440885722594"/>
    <s v="14.837916648114096"/>
    <n v="811527933"/>
    <x v="1"/>
    <n v="0.99519250000000004"/>
    <x v="1"/>
  </r>
  <r>
    <n v="34"/>
    <n v="1"/>
    <n v="3"/>
    <n v="5"/>
    <n v="1"/>
    <n v="2"/>
    <n v="0"/>
    <n v="25"/>
    <n v="6"/>
    <n v="1"/>
    <n v="1"/>
    <n v="2345"/>
    <n v="1643"/>
    <n v="702"/>
    <n v="0.67800000000000005"/>
    <n v="4634"/>
    <n v="69"/>
    <n v="0.64300000000000002"/>
    <n v="0.70099999999999996"/>
    <s v="3.5437e-05"/>
    <n v="0.99995999999999996"/>
    <s v="39.19101064198652"/>
    <s v="8.133588308677233"/>
    <s v="40.54005864692439"/>
    <s v="4.434368194672769"/>
    <n v="709603608"/>
    <x v="0"/>
    <n v="3.2914013999999999E-4"/>
    <x v="0"/>
  </r>
  <r>
    <n v="48"/>
    <n v="0"/>
    <n v="2"/>
    <n v="3"/>
    <n v="3"/>
    <n v="5"/>
    <n v="0"/>
    <n v="31"/>
    <n v="2"/>
    <n v="2"/>
    <n v="1"/>
    <n v="7660"/>
    <n v="764"/>
    <n v="6896"/>
    <n v="0.877"/>
    <n v="14844"/>
    <n v="100"/>
    <n v="0.69499999999999995"/>
    <n v="0.1"/>
    <s v="6.6728e-05"/>
    <n v="0.99992999999999999"/>
    <s v="1.7201811567945189"/>
    <s v="16.03925868195832"/>
    <n v="1.9551137409233099"/>
    <n v="24.954888176181999"/>
    <n v="718634058"/>
    <x v="0"/>
    <n v="5.6749790000000001E-4"/>
    <x v="0"/>
  </r>
  <r>
    <n v="49"/>
    <n v="1"/>
    <n v="2"/>
    <n v="6"/>
    <n v="1"/>
    <n v="3"/>
    <n v="0"/>
    <n v="36"/>
    <n v="3"/>
    <n v="1"/>
    <n v="1"/>
    <n v="34516"/>
    <n v="2435"/>
    <n v="32081"/>
    <n v="0.73199999999999998"/>
    <n v="1805"/>
    <n v="34"/>
    <n v="0.61899999999999999"/>
    <n v="7.0999999999999994E-2"/>
    <s v="3.6508e-05"/>
    <n v="0.99995999999999996"/>
    <s v="46.29929491555056"/>
    <s v="35.07193201073528"/>
    <s v="74.39577666233292"/>
    <s v="24.324065823169494"/>
    <n v="709826058"/>
    <x v="0"/>
    <n v="1.2135226000000001E-3"/>
    <x v="0"/>
  </r>
  <r>
    <n v="44"/>
    <n v="0"/>
    <n v="2"/>
    <n v="5"/>
    <n v="1"/>
    <n v="5"/>
    <n v="3"/>
    <n v="35"/>
    <n v="4"/>
    <n v="3"/>
    <n v="2"/>
    <n v="32643"/>
    <n v="0"/>
    <n v="32643"/>
    <n v="1.3"/>
    <n v="1058"/>
    <n v="24"/>
    <n v="2.4289999999999998"/>
    <n v="0"/>
    <n v="1.6710999999999999E-4"/>
    <n v="0.99983"/>
    <s v="8.984667124728144"/>
    <s v="90.03356019338689"/>
    <s v="15.043587978075609"/>
    <s v="1.278567676728335"/>
    <n v="718759833"/>
    <x v="0"/>
    <n v="3.4025507000000001E-3"/>
    <x v="0"/>
  </r>
  <r>
    <n v="44"/>
    <n v="0"/>
    <n v="2"/>
    <n v="2"/>
    <n v="0"/>
    <n v="4"/>
    <n v="0"/>
    <n v="36"/>
    <n v="3"/>
    <n v="2"/>
    <n v="3"/>
    <n v="1880"/>
    <n v="0"/>
    <n v="1880"/>
    <n v="0.51900000000000002"/>
    <n v="2469"/>
    <n v="34"/>
    <n v="0.41699999999999998"/>
    <n v="0"/>
    <n v="0.99480000000000002"/>
    <n v="5.1999999999999998E-3"/>
    <s v="26.71317069998472"/>
    <s v="5.804856561241665"/>
    <s v="18.262725570491494"/>
    <s v="18.61587716401143"/>
    <n v="708117933"/>
    <x v="1"/>
    <n v="0.99876772999999996"/>
    <x v="1"/>
  </r>
  <r>
    <n v="41"/>
    <n v="1"/>
    <n v="2"/>
    <n v="2"/>
    <n v="1"/>
    <n v="2"/>
    <n v="0"/>
    <n v="37"/>
    <n v="1"/>
    <n v="2"/>
    <n v="1"/>
    <n v="3786"/>
    <n v="1171"/>
    <n v="2615"/>
    <n v="0.69699999999999995"/>
    <n v="5369"/>
    <n v="75"/>
    <n v="0.59599999999999997"/>
    <n v="0.309"/>
    <s v="6.864e-05"/>
    <n v="0.99992999999999999"/>
    <s v="41.60430498236923"/>
    <s v="111.85171818262585"/>
    <s v="42.37344977775928"/>
    <s v="2.913310481414002"/>
    <n v="827953683"/>
    <x v="0"/>
    <n v="4.9432914000000004E-4"/>
    <x v="0"/>
  </r>
  <r>
    <n v="48"/>
    <n v="1"/>
    <n v="5"/>
    <n v="2"/>
    <n v="1"/>
    <n v="3"/>
    <n v="0"/>
    <n v="42"/>
    <n v="6"/>
    <n v="3"/>
    <n v="3"/>
    <n v="12882"/>
    <n v="1402"/>
    <n v="11480"/>
    <n v="0.78300000000000003"/>
    <n v="4407"/>
    <n v="84"/>
    <n v="0.64700000000000002"/>
    <n v="0.109"/>
    <n v="3.1231E-4"/>
    <n v="0.99968999999999997"/>
    <s v="33.56950216177973"/>
    <s v="11.608280559355093"/>
    <s v="51.62409294026836"/>
    <s v="27.042677212266238"/>
    <n v="712877733"/>
    <x v="0"/>
    <n v="3.2914013999999999E-4"/>
    <x v="0"/>
  </r>
  <r>
    <n v="48"/>
    <n v="1"/>
    <n v="2"/>
    <n v="3"/>
    <n v="2"/>
    <n v="2"/>
    <n v="0"/>
    <n v="36"/>
    <n v="4"/>
    <n v="3"/>
    <n v="1"/>
    <n v="1641"/>
    <n v="0"/>
    <n v="1641"/>
    <n v="0.79100000000000004"/>
    <n v="2536"/>
    <n v="45"/>
    <n v="0.36399999999999999"/>
    <n v="0"/>
    <n v="0.99060999999999999"/>
    <n v="9.3900000000000008E-3"/>
    <s v="19.39687162736186"/>
    <n v="54.709025770802903"/>
    <s v="158.0709543394273"/>
    <s v="7.193414029483216"/>
    <n v="720130233"/>
    <x v="1"/>
    <n v="0.99873226999999998"/>
    <x v="1"/>
  </r>
  <r>
    <n v="49"/>
    <n v="0"/>
    <n v="3"/>
    <n v="3"/>
    <n v="1"/>
    <n v="1"/>
    <n v="0"/>
    <n v="44"/>
    <n v="5"/>
    <n v="1"/>
    <n v="2"/>
    <n v="3881"/>
    <n v="0"/>
    <n v="3881"/>
    <n v="0.60099999999999998"/>
    <n v="4177"/>
    <n v="66"/>
    <n v="0.73699999999999999"/>
    <n v="0"/>
    <s v="5.5559e-05"/>
    <n v="0.99994000000000005"/>
    <s v="7.635028286270716"/>
    <s v="48.53907521218487"/>
    <s v="106.58620672383508"/>
    <s v="21.39742754754169"/>
    <n v="809363958"/>
    <x v="0"/>
    <n v="7.4965424999999997E-4"/>
    <x v="0"/>
  </r>
  <r>
    <n v="46"/>
    <n v="0"/>
    <n v="2"/>
    <n v="4"/>
    <n v="2"/>
    <n v="4"/>
    <n v="0"/>
    <n v="35"/>
    <n v="4"/>
    <n v="2"/>
    <n v="3"/>
    <n v="2888"/>
    <n v="1641"/>
    <n v="1247"/>
    <n v="0.97599999999999998"/>
    <n v="3703"/>
    <n v="61"/>
    <n v="1.179"/>
    <n v="0.56799999999999995"/>
    <n v="2.2525E-4"/>
    <n v="0.99977000000000005"/>
    <s v="15.565151689456757"/>
    <s v="28.059951975569263"/>
    <s v="47.79113305006321"/>
    <s v="8.987124925373932"/>
    <n v="718010133"/>
    <x v="0"/>
    <n v="3.4075615E-4"/>
    <x v="0"/>
  </r>
  <r>
    <n v="52"/>
    <n v="0"/>
    <n v="0"/>
    <n v="2"/>
    <n v="1"/>
    <n v="4"/>
    <n v="0"/>
    <n v="37"/>
    <n v="3"/>
    <n v="1"/>
    <n v="2"/>
    <n v="1793"/>
    <n v="1284"/>
    <n v="509"/>
    <n v="0.90200000000000002"/>
    <n v="3989"/>
    <n v="62"/>
    <n v="0.93799999999999994"/>
    <n v="0.71599999999999997"/>
    <s v="4.7263e-05"/>
    <n v="0.99995000000000001"/>
    <s v="33.42146560973036"/>
    <s v="82.06313067807214"/>
    <s v="31.07542744799674"/>
    <s v="11.776922628361875"/>
    <n v="787441383"/>
    <x v="0"/>
    <n v="3.4075615E-4"/>
    <x v="0"/>
  </r>
  <r>
    <n v="53"/>
    <n v="0"/>
    <n v="2"/>
    <n v="3"/>
    <n v="1"/>
    <n v="4"/>
    <n v="0"/>
    <n v="36"/>
    <n v="4"/>
    <n v="1"/>
    <n v="2"/>
    <n v="2377"/>
    <n v="1649"/>
    <n v="728"/>
    <n v="0.93"/>
    <n v="1378"/>
    <n v="26"/>
    <n v="1.167"/>
    <n v="0.69399999999999995"/>
    <s v="5.3542e-05"/>
    <n v="0.99995000000000001"/>
    <s v="3.660584973274047"/>
    <s v="57.85133497636537"/>
    <s v="48.05105819970425"/>
    <s v="4.141327293931343"/>
    <n v="715999608"/>
    <x v="0"/>
    <n v="9.8706899999999992E-4"/>
    <x v="0"/>
  </r>
  <r>
    <n v="40"/>
    <n v="0"/>
    <n v="2"/>
    <n v="4"/>
    <n v="1"/>
    <n v="4"/>
    <n v="3"/>
    <n v="30"/>
    <n v="4"/>
    <n v="2"/>
    <n v="2"/>
    <n v="10836"/>
    <n v="1932"/>
    <n v="8904"/>
    <n v="0.56299999999999994"/>
    <n v="1293"/>
    <n v="31"/>
    <n v="0.82399999999999995"/>
    <n v="0.17799999999999999"/>
    <n v="1.2101E-4"/>
    <n v="0.99987999999999999"/>
    <s v="31.22326185137005"/>
    <s v="62.66496299700092"/>
    <s v="25.567853056597897"/>
    <s v="10.67590209768236"/>
    <n v="780025908"/>
    <x v="0"/>
    <n v="9.8706899999999992E-4"/>
    <x v="0"/>
  </r>
  <r>
    <n v="40"/>
    <n v="1"/>
    <n v="4"/>
    <n v="4"/>
    <n v="1"/>
    <n v="2"/>
    <n v="0"/>
    <n v="35"/>
    <n v="3"/>
    <n v="4"/>
    <n v="3"/>
    <n v="20178"/>
    <n v="1553"/>
    <n v="18625"/>
    <n v="0.32400000000000001"/>
    <n v="1735"/>
    <n v="44"/>
    <n v="0.375"/>
    <n v="7.6999999999999999E-2"/>
    <n v="0.99778999999999995"/>
    <n v="2.2108599999999998E-3"/>
    <s v="17.171766520206464"/>
    <n v="32.136216582241097"/>
    <s v="25.28738320624038"/>
    <s v="11.18418085520748"/>
    <n v="806947308"/>
    <x v="1"/>
    <n v="0.99508180000000002"/>
    <x v="1"/>
  </r>
  <r>
    <n v="60"/>
    <n v="1"/>
    <n v="0"/>
    <n v="5"/>
    <n v="1"/>
    <n v="1"/>
    <n v="0"/>
    <n v="54"/>
    <n v="3"/>
    <n v="3"/>
    <n v="3"/>
    <n v="13035"/>
    <n v="1285"/>
    <n v="11750"/>
    <n v="0.76100000000000001"/>
    <n v="14585"/>
    <n v="97"/>
    <n v="0.98"/>
    <n v="9.9000000000000005E-2"/>
    <n v="2.6692000000000003E-4"/>
    <n v="0.99973000000000001"/>
    <s v="17.259792420871896"/>
    <s v="40.62001629873843"/>
    <s v="65.31346787279223"/>
    <s v="19.273631448122877"/>
    <n v="794132808"/>
    <x v="0"/>
    <n v="3.4656386999999997E-4"/>
    <x v="0"/>
  </r>
  <r>
    <n v="49"/>
    <n v="0"/>
    <n v="1"/>
    <n v="5"/>
    <n v="3"/>
    <n v="4"/>
    <n v="0"/>
    <n v="38"/>
    <n v="6"/>
    <n v="2"/>
    <n v="1"/>
    <n v="3343"/>
    <n v="1820"/>
    <n v="1523"/>
    <n v="0.72699999999999998"/>
    <n v="4507"/>
    <n v="63"/>
    <n v="0.70299999999999996"/>
    <n v="0.54400000000000004"/>
    <s v="6.6245e-05"/>
    <n v="0.99992999999999999"/>
    <s v="7.967523169784428"/>
    <s v="13.042912688411889"/>
    <s v="81.16920368973673"/>
    <s v="17.30263513968079"/>
    <n v="787507833"/>
    <x v="0"/>
    <n v="3.479205E-4"/>
    <x v="0"/>
  </r>
  <r>
    <n v="56"/>
    <n v="0"/>
    <n v="3"/>
    <n v="0"/>
    <n v="2"/>
    <n v="4"/>
    <n v="0"/>
    <n v="46"/>
    <n v="1"/>
    <n v="3"/>
    <n v="3"/>
    <n v="2272"/>
    <n v="1350"/>
    <n v="922"/>
    <n v="0.76200000000000001"/>
    <n v="2354"/>
    <n v="49"/>
    <n v="0.96"/>
    <n v="0.59399999999999997"/>
    <n v="0.99673999999999996"/>
    <n v="3.2649799999999998E-3"/>
    <s v="11.410246921264443"/>
    <s v="50.64360678226062"/>
    <s v="36.98885786512624"/>
    <s v="7.466797741221749"/>
    <n v="717666783"/>
    <x v="1"/>
    <n v="0.99466829999999995"/>
    <x v="1"/>
  </r>
  <r>
    <n v="34"/>
    <n v="0"/>
    <n v="1"/>
    <n v="6"/>
    <n v="1"/>
    <n v="4"/>
    <n v="0"/>
    <n v="36"/>
    <n v="2"/>
    <n v="3"/>
    <n v="3"/>
    <n v="2401"/>
    <n v="496"/>
    <n v="1905"/>
    <n v="0.64700000000000002"/>
    <n v="2597"/>
    <n v="40"/>
    <n v="0.379"/>
    <n v="0.20699999999999999"/>
    <n v="0.99680999999999997"/>
    <n v="3.1927800000000001E-3"/>
    <s v="54.95803662241741"/>
    <s v="56.721506741223386"/>
    <s v="82.60454084377254"/>
    <s v="21.91226911708512"/>
    <n v="716751858"/>
    <x v="1"/>
    <n v="0.99855499999999997"/>
    <x v="1"/>
  </r>
  <r>
    <n v="45"/>
    <n v="0"/>
    <n v="2"/>
    <n v="3"/>
    <n v="1"/>
    <n v="1"/>
    <n v="0"/>
    <n v="36"/>
    <n v="4"/>
    <n v="1"/>
    <n v="3"/>
    <n v="6407"/>
    <n v="1884"/>
    <n v="4523"/>
    <n v="0.67800000000000005"/>
    <n v="1675"/>
    <n v="47"/>
    <n v="0.46899999999999997"/>
    <n v="0.29399999999999998"/>
    <s v="9.0056e-05"/>
    <n v="0.99990999999999997"/>
    <s v="12.034747662168286"/>
    <s v="5.327890555284538"/>
    <s v="42.84247476613593"/>
    <n v="9.9673528000952505"/>
    <n v="714534108"/>
    <x v="0"/>
    <n v="1.1982243E-3"/>
    <x v="0"/>
  </r>
  <r>
    <n v="51"/>
    <n v="1"/>
    <n v="4"/>
    <n v="2"/>
    <n v="2"/>
    <n v="0"/>
    <n v="0"/>
    <n v="42"/>
    <n v="3"/>
    <n v="2"/>
    <n v="3"/>
    <n v="34516"/>
    <n v="1763"/>
    <n v="32753"/>
    <n v="1.266"/>
    <n v="1550"/>
    <n v="41"/>
    <n v="1.05"/>
    <n v="5.0999999999999997E-2"/>
    <n v="2.0076999999999999E-4"/>
    <n v="0.99980000000000002"/>
    <s v="24.437304967831963"/>
    <s v="1.919304400687043"/>
    <s v="146.23988432879258"/>
    <s v="9.490817173984595"/>
    <n v="715971108"/>
    <x v="0"/>
    <n v="1.1406993999999999E-3"/>
    <x v="0"/>
  </r>
  <r>
    <n v="48"/>
    <n v="0"/>
    <n v="2"/>
    <n v="2"/>
    <n v="2"/>
    <n v="4"/>
    <n v="0"/>
    <n v="36"/>
    <n v="2"/>
    <n v="2"/>
    <n v="3"/>
    <n v="3352"/>
    <n v="2122"/>
    <n v="1230"/>
    <n v="0.70099999999999996"/>
    <n v="14802"/>
    <n v="106"/>
    <n v="0.79700000000000004"/>
    <n v="0.63300000000000001"/>
    <n v="1.9143E-4"/>
    <n v="0.99980999999999998"/>
    <s v="6.438285108148462"/>
    <s v="20.82947428341192"/>
    <s v="27.954478085081877"/>
    <s v="5.291371442451124"/>
    <n v="708982158"/>
    <x v="0"/>
    <n v="3.4656386999999997E-4"/>
    <x v="0"/>
  </r>
  <r>
    <n v="33"/>
    <n v="0"/>
    <n v="2"/>
    <n v="3"/>
    <n v="1"/>
    <n v="4"/>
    <n v="0"/>
    <n v="27"/>
    <n v="3"/>
    <n v="2"/>
    <n v="3"/>
    <n v="7185"/>
    <n v="0"/>
    <n v="7185"/>
    <n v="1.504"/>
    <n v="2679"/>
    <n v="45"/>
    <n v="0.8"/>
    <n v="0"/>
    <n v="1.861E-4"/>
    <n v="0.99980999999999998"/>
    <s v="34.285764758431526"/>
    <s v="4.753207387075505"/>
    <s v="101.43799882033352"/>
    <s v="0.2417915059384984"/>
    <n v="795920358"/>
    <x v="0"/>
    <n v="3.4774419999999999E-3"/>
    <x v="0"/>
  </r>
  <r>
    <n v="53"/>
    <n v="1"/>
    <n v="2"/>
    <n v="5"/>
    <n v="2"/>
    <n v="2"/>
    <n v="0"/>
    <n v="38"/>
    <n v="3"/>
    <n v="2"/>
    <n v="2"/>
    <n v="7062"/>
    <n v="1255"/>
    <n v="5807"/>
    <n v="0.67200000000000004"/>
    <n v="3432"/>
    <n v="68"/>
    <n v="0.74399999999999999"/>
    <n v="0.17799999999999999"/>
    <n v="1.1703E-4"/>
    <n v="0.99987999999999999"/>
    <s v="13.077581835095389"/>
    <s v="33.57383440478214"/>
    <s v="51.24294440935559"/>
    <s v="13.73228536183343"/>
    <n v="788717358"/>
    <x v="0"/>
    <n v="3.2101269999999999E-4"/>
    <x v="0"/>
  </r>
  <r>
    <n v="61"/>
    <n v="0"/>
    <n v="1"/>
    <n v="3"/>
    <n v="2"/>
    <n v="4"/>
    <n v="0"/>
    <n v="56"/>
    <n v="3"/>
    <n v="2"/>
    <n v="2"/>
    <n v="3421"/>
    <n v="2266"/>
    <n v="1155"/>
    <n v="0.65900000000000003"/>
    <n v="6932"/>
    <n v="75"/>
    <n v="0.74399999999999999"/>
    <n v="0.66200000000000003"/>
    <n v="1.0386E-4"/>
    <n v="0.99990000000000001"/>
    <s v="43.83314235765295"/>
    <s v="17.46844495568294"/>
    <s v="88.37954892769301"/>
    <s v="20.453901054894267"/>
    <n v="816832383"/>
    <x v="0"/>
    <n v="5.5846529999999995E-4"/>
    <x v="0"/>
  </r>
  <r>
    <n v="41"/>
    <n v="1"/>
    <n v="3"/>
    <n v="2"/>
    <n v="1"/>
    <n v="0"/>
    <n v="0"/>
    <n v="32"/>
    <n v="2"/>
    <n v="3"/>
    <n v="1"/>
    <n v="27169"/>
    <n v="0"/>
    <n v="27169"/>
    <n v="0.78100000000000003"/>
    <n v="3906"/>
    <n v="87"/>
    <n v="0.97699999999999998"/>
    <n v="0"/>
    <n v="1.1256000000000001E-4"/>
    <n v="0.99988999999999995"/>
    <s v="80.69948253969723"/>
    <s v="43.55779351078443"/>
    <n v="58.3848743414583"/>
    <n v="8.0506413725195998"/>
    <n v="772837083"/>
    <x v="0"/>
    <n v="6.9517245999999998E-4"/>
    <x v="0"/>
  </r>
  <r>
    <n v="39"/>
    <n v="0"/>
    <n v="2"/>
    <n v="3"/>
    <n v="2"/>
    <n v="5"/>
    <n v="0"/>
    <n v="34"/>
    <n v="3"/>
    <n v="3"/>
    <n v="1"/>
    <n v="2069"/>
    <n v="550"/>
    <n v="1519"/>
    <n v="0.78300000000000003"/>
    <n v="2716"/>
    <n v="43"/>
    <n v="0.433"/>
    <n v="0.26600000000000001"/>
    <n v="0.99060999999999999"/>
    <n v="9.3900000000000008E-3"/>
    <n v="71.536522666636003"/>
    <s v="70.96360438728506"/>
    <s v="9.624139669361304"/>
    <s v="10.676601636008623"/>
    <n v="809440008"/>
    <x v="1"/>
    <n v="0.99850744000000002"/>
    <x v="1"/>
  </r>
  <r>
    <n v="48"/>
    <n v="1"/>
    <n v="4"/>
    <n v="3"/>
    <n v="1"/>
    <n v="0"/>
    <n v="0"/>
    <n v="31"/>
    <n v="6"/>
    <n v="3"/>
    <n v="1"/>
    <n v="34516"/>
    <n v="1013"/>
    <n v="33503"/>
    <n v="0.57499999999999996"/>
    <n v="1222"/>
    <n v="37"/>
    <n v="0.85"/>
    <n v="2.9000000000000001E-2"/>
    <n v="1.106E-4"/>
    <n v="0.99988999999999995"/>
    <s v="30.805037198112466"/>
    <n v="32.624136972473202"/>
    <s v="10.208803421544427"/>
    <s v="20.413067532770715"/>
    <n v="721183983"/>
    <x v="0"/>
    <n v="1.0985557E-3"/>
    <x v="0"/>
  </r>
  <r>
    <n v="62"/>
    <n v="0"/>
    <n v="0"/>
    <n v="5"/>
    <n v="1"/>
    <n v="4"/>
    <n v="0"/>
    <n v="50"/>
    <n v="5"/>
    <n v="1"/>
    <n v="2"/>
    <n v="3791"/>
    <n v="1648"/>
    <n v="2143"/>
    <n v="1.2270000000000001"/>
    <n v="2058"/>
    <n v="34"/>
    <n v="0.78900000000000003"/>
    <n v="0.435"/>
    <s v="4.8595e-05"/>
    <n v="0.99995000000000001"/>
    <s v="1.8321035565055328"/>
    <s v="23.51096930668089"/>
    <s v="7.790434788458699"/>
    <s v="13.784676255412275"/>
    <n v="772712658"/>
    <x v="0"/>
    <n v="1.0481173E-3"/>
    <x v="0"/>
  </r>
  <r>
    <n v="44"/>
    <n v="1"/>
    <n v="4"/>
    <n v="2"/>
    <n v="2"/>
    <n v="2"/>
    <n v="0"/>
    <n v="28"/>
    <n v="2"/>
    <n v="2"/>
    <n v="1"/>
    <n v="2758"/>
    <n v="461"/>
    <n v="2297"/>
    <n v="0.57999999999999996"/>
    <n v="4244"/>
    <n v="96"/>
    <n v="0.77800000000000002"/>
    <n v="0.16700000000000001"/>
    <s v="7.1987e-05"/>
    <n v="0.99992999999999999"/>
    <s v="27.94212366534563"/>
    <s v="27.222512996451364"/>
    <n v="75.5274130549669"/>
    <s v="5.038338296374768"/>
    <n v="709158333"/>
    <x v="0"/>
    <n v="6.2459736000000004E-4"/>
    <x v="0"/>
  </r>
  <r>
    <n v="50"/>
    <n v="1"/>
    <n v="2"/>
    <n v="5"/>
    <n v="1"/>
    <n v="0"/>
    <n v="0"/>
    <n v="36"/>
    <n v="4"/>
    <n v="3"/>
    <n v="4"/>
    <n v="23911"/>
    <n v="2100"/>
    <n v="21811"/>
    <n v="0.98799999999999999"/>
    <n v="4770"/>
    <n v="89"/>
    <n v="0.71199999999999997"/>
    <n v="8.7999999999999995E-2"/>
    <n v="5.3054999999999997E-4"/>
    <n v="0.99946999999999997"/>
    <s v="10.300701981755903"/>
    <s v="33.792808368806746"/>
    <s v="65.82868086313468"/>
    <s v="11.050082996166347"/>
    <n v="720660558"/>
    <x v="0"/>
    <n v="3.4719318999999998E-4"/>
    <x v="0"/>
  </r>
  <r>
    <n v="55"/>
    <n v="1"/>
    <n v="2"/>
    <n v="5"/>
    <n v="1"/>
    <n v="0"/>
    <n v="0"/>
    <n v="44"/>
    <n v="3"/>
    <n v="3"/>
    <n v="3"/>
    <n v="27745"/>
    <n v="1300"/>
    <n v="26445"/>
    <n v="0.48199999999999998"/>
    <n v="1525"/>
    <n v="21"/>
    <n v="0.5"/>
    <n v="4.7E-2"/>
    <n v="3.1104E-4"/>
    <n v="0.99968999999999997"/>
    <s v="14.525168969561724"/>
    <s v="61.41380196008652"/>
    <s v="113.33670712445094"/>
    <s v="7.689813836545826"/>
    <n v="719336583"/>
    <x v="0"/>
    <n v="1.3718942999999999E-3"/>
    <x v="0"/>
  </r>
  <r>
    <n v="51"/>
    <n v="1"/>
    <n v="2"/>
    <n v="2"/>
    <n v="1"/>
    <n v="3"/>
    <n v="0"/>
    <n v="35"/>
    <n v="4"/>
    <n v="2"/>
    <n v="2"/>
    <n v="6205"/>
    <n v="2264"/>
    <n v="3941"/>
    <n v="0.77300000000000002"/>
    <n v="4605"/>
    <n v="88"/>
    <n v="0.72499999999999998"/>
    <n v="0.36499999999999999"/>
    <n v="1.1382E-4"/>
    <n v="0.99988999999999995"/>
    <s v="5.043773714152047"/>
    <s v="3.829210463463861"/>
    <s v="9.480172381986655"/>
    <s v="16.232957585473187"/>
    <n v="711953358"/>
    <x v="0"/>
    <n v="3.2101269999999999E-4"/>
    <x v="0"/>
  </r>
  <r>
    <n v="37"/>
    <n v="1"/>
    <n v="3"/>
    <n v="0"/>
    <n v="1"/>
    <n v="2"/>
    <n v="0"/>
    <n v="19"/>
    <n v="2"/>
    <n v="3"/>
    <n v="4"/>
    <n v="3100"/>
    <n v="2517"/>
    <n v="583"/>
    <n v="0.35"/>
    <n v="694"/>
    <n v="12"/>
    <n v="0.2"/>
    <n v="0.81200000000000006"/>
    <n v="0.99807999999999997"/>
    <n v="1.9162999999999999E-3"/>
    <s v="13.012375619752431"/>
    <s v="0.9856863813978444"/>
    <s v="120.06741533060968"/>
    <s v="12.06424595091078"/>
    <n v="717664008"/>
    <x v="1"/>
    <n v="0.99499510000000002"/>
    <x v="1"/>
  </r>
  <r>
    <n v="53"/>
    <n v="0"/>
    <n v="2"/>
    <n v="4"/>
    <n v="1"/>
    <n v="1"/>
    <n v="0"/>
    <n v="40"/>
    <n v="5"/>
    <n v="1"/>
    <n v="4"/>
    <n v="2127"/>
    <n v="1995"/>
    <n v="132"/>
    <n v="0.374"/>
    <n v="1363"/>
    <n v="37"/>
    <n v="0.37"/>
    <n v="0.93799999999999994"/>
    <n v="1.8594999999999999E-4"/>
    <n v="0.99980999999999998"/>
    <s v="45.64488284366968"/>
    <s v="10.801846844328075"/>
    <s v="190.1000790524621"/>
    <s v="8.172244768708135"/>
    <n v="717627333"/>
    <x v="0"/>
    <n v="1.1982243E-3"/>
    <x v="0"/>
  </r>
  <r>
    <n v="46"/>
    <n v="0"/>
    <n v="3"/>
    <n v="2"/>
    <n v="1"/>
    <n v="5"/>
    <n v="0"/>
    <n v="40"/>
    <n v="5"/>
    <n v="1"/>
    <n v="3"/>
    <n v="3595"/>
    <n v="1087"/>
    <n v="2508"/>
    <n v="0.52800000000000002"/>
    <n v="4534"/>
    <n v="71"/>
    <n v="0.91900000000000004"/>
    <n v="0.30199999999999999"/>
    <s v="9.6126e-05"/>
    <n v="0.99990000000000001"/>
    <s v="37.43456201732075"/>
    <s v="47.91575289003703"/>
    <s v="25.60654062581557"/>
    <s v="4.009775475981148"/>
    <n v="798457833"/>
    <x v="0"/>
    <n v="3.2101269999999999E-4"/>
    <x v="0"/>
  </r>
  <r>
    <n v="57"/>
    <n v="1"/>
    <n v="2"/>
    <n v="3"/>
    <n v="1"/>
    <n v="2"/>
    <n v="0"/>
    <n v="38"/>
    <n v="3"/>
    <n v="1"/>
    <n v="2"/>
    <n v="2736"/>
    <n v="1822"/>
    <n v="914"/>
    <n v="0.59299999999999997"/>
    <n v="1211"/>
    <n v="25"/>
    <n v="0.92300000000000004"/>
    <n v="0.66600000000000004"/>
    <s v="5.3542e-05"/>
    <n v="0.99995000000000001"/>
    <s v="6.591166206392432"/>
    <s v="10.53436919940878"/>
    <s v="9.580664041699306"/>
    <s v="0.2167047275021763"/>
    <n v="788779008"/>
    <x v="0"/>
    <n v="1.0249399E-3"/>
    <x v="0"/>
  </r>
  <r>
    <n v="53"/>
    <n v="1"/>
    <n v="2"/>
    <n v="6"/>
    <n v="1"/>
    <n v="2"/>
    <n v="0"/>
    <n v="36"/>
    <n v="6"/>
    <n v="3"/>
    <n v="3"/>
    <n v="5619"/>
    <n v="1310"/>
    <n v="4309"/>
    <n v="1.276"/>
    <n v="1816"/>
    <n v="30"/>
    <n v="1.143"/>
    <n v="0.23300000000000001"/>
    <n v="3.3251E-4"/>
    <n v="0.99966999999999995"/>
    <s v="63.85738905313665"/>
    <s v="15.139925444852112"/>
    <s v="2.211753546544474"/>
    <s v="24.072738508084942"/>
    <n v="713279808"/>
    <x v="0"/>
    <n v="9.8706899999999992E-4"/>
    <x v="0"/>
  </r>
  <r>
    <n v="59"/>
    <n v="0"/>
    <n v="1"/>
    <n v="2"/>
    <n v="2"/>
    <n v="4"/>
    <n v="0"/>
    <n v="52"/>
    <n v="5"/>
    <n v="3"/>
    <n v="3"/>
    <n v="2636"/>
    <n v="1619"/>
    <n v="1017"/>
    <n v="0.56499999999999995"/>
    <n v="4727"/>
    <n v="83"/>
    <n v="0.627"/>
    <n v="0.61399999999999999"/>
    <n v="2.8394999999999999E-4"/>
    <n v="0.99972000000000005"/>
    <s v="28.89218262773364"/>
    <s v="12.905382442000532"/>
    <s v="50.08326469362993"/>
    <n v="2.1007118585965898"/>
    <n v="711505308"/>
    <x v="0"/>
    <n v="3.2914013999999999E-4"/>
    <x v="0"/>
  </r>
  <r>
    <n v="50"/>
    <n v="1"/>
    <n v="4"/>
    <n v="0"/>
    <n v="1"/>
    <n v="0"/>
    <n v="0"/>
    <n v="36"/>
    <n v="6"/>
    <n v="1"/>
    <n v="4"/>
    <n v="7084"/>
    <n v="0"/>
    <n v="7084"/>
    <n v="0.88900000000000001"/>
    <n v="3838"/>
    <n v="66"/>
    <n v="0.73699999999999999"/>
    <n v="0"/>
    <n v="1.6113999999999999E-4"/>
    <n v="0.99983999999999995"/>
    <s v="41.00691939035018"/>
    <s v="45.08264768067991"/>
    <s v="18.31470230841965"/>
    <s v="6.827615673572901"/>
    <n v="720075558"/>
    <x v="0"/>
    <n v="8.0553500000000002E-4"/>
    <x v="0"/>
  </r>
  <r>
    <n v="49"/>
    <n v="1"/>
    <n v="4"/>
    <n v="3"/>
    <n v="1"/>
    <n v="0"/>
    <n v="1"/>
    <n v="36"/>
    <n v="1"/>
    <n v="1"/>
    <n v="1"/>
    <n v="34516"/>
    <n v="1634"/>
    <n v="32882"/>
    <n v="0.76800000000000002"/>
    <n v="7788"/>
    <n v="94"/>
    <n v="0.46899999999999997"/>
    <n v="4.7E-2"/>
    <s v="3.9014e-05"/>
    <n v="0.99995999999999996"/>
    <n v="62.276687090871498"/>
    <s v="12.387038480811936"/>
    <s v="15.004607563973265"/>
    <s v="16.763771026359933"/>
    <n v="712191783"/>
    <x v="0"/>
    <n v="4.3658480000000001E-4"/>
    <x v="0"/>
  </r>
  <r>
    <n v="46"/>
    <n v="1"/>
    <n v="5"/>
    <n v="3"/>
    <n v="1"/>
    <n v="1"/>
    <n v="0"/>
    <n v="37"/>
    <n v="6"/>
    <n v="2"/>
    <n v="1"/>
    <n v="2375"/>
    <n v="1196"/>
    <n v="1179"/>
    <n v="0.64100000000000001"/>
    <n v="4087"/>
    <n v="66"/>
    <n v="0.83299999999999996"/>
    <n v="0.504"/>
    <s v="6.889e-05"/>
    <n v="0.99992999999999999"/>
    <n v="11.9337673740625"/>
    <s v="14.855743149821642"/>
    <s v="181.5404914389167"/>
    <s v="8.711208635302214"/>
    <n v="711893358"/>
    <x v="0"/>
    <n v="3.2101269999999999E-4"/>
    <x v="0"/>
  </r>
  <r>
    <n v="52"/>
    <n v="1"/>
    <n v="1"/>
    <n v="2"/>
    <n v="2"/>
    <n v="3"/>
    <n v="3"/>
    <n v="44"/>
    <n v="2"/>
    <n v="1"/>
    <n v="2"/>
    <n v="34516"/>
    <n v="1618"/>
    <n v="32898"/>
    <n v="1"/>
    <n v="11603"/>
    <n v="109"/>
    <n v="0.84699999999999998"/>
    <n v="4.7E-2"/>
    <s v="4.6711e-05"/>
    <n v="0.99995000000000001"/>
    <s v="12.340368226032668"/>
    <s v="30.481676304482303"/>
    <s v="29.708069826574636"/>
    <s v="6.284147613840479"/>
    <n v="789535233"/>
    <x v="0"/>
    <n v="4.3130057999999998E-4"/>
    <x v="0"/>
  </r>
  <r>
    <n v="51"/>
    <n v="1"/>
    <n v="2"/>
    <n v="2"/>
    <n v="2"/>
    <n v="3"/>
    <n v="0"/>
    <n v="31"/>
    <n v="5"/>
    <n v="3"/>
    <n v="2"/>
    <n v="1438.3"/>
    <n v="327"/>
    <n v="1111.3"/>
    <n v="0.52800000000000002"/>
    <n v="1783"/>
    <n v="40"/>
    <n v="0.48099999999999998"/>
    <n v="0.22700000000000001"/>
    <n v="0.99446999999999997"/>
    <n v="5.5300000000000002E-3"/>
    <s v="56.67579046961302"/>
    <s v="41.29332938786256"/>
    <s v="55.88995029784084"/>
    <s v="1.4331336969047297"/>
    <n v="713474733"/>
    <x v="1"/>
    <n v="0.99826649999999995"/>
    <x v="1"/>
  </r>
  <r>
    <n v="38"/>
    <n v="0"/>
    <n v="3"/>
    <n v="2"/>
    <n v="2"/>
    <n v="4"/>
    <n v="1"/>
    <n v="31"/>
    <n v="2"/>
    <n v="3"/>
    <n v="2"/>
    <n v="15987"/>
    <n v="1766"/>
    <n v="14221"/>
    <n v="0.79100000000000004"/>
    <n v="8195"/>
    <n v="94"/>
    <n v="0.67900000000000005"/>
    <n v="0.11"/>
    <n v="2.1503000000000001E-4"/>
    <n v="0.99978"/>
    <s v="2.600412799652132"/>
    <s v="30.321552807847716"/>
    <s v="12.634699909494712"/>
    <s v="15.71942190201809"/>
    <n v="713102733"/>
    <x v="0"/>
    <n v="3.6856539999999998E-4"/>
    <x v="0"/>
  </r>
  <r>
    <n v="46"/>
    <n v="1"/>
    <n v="1"/>
    <n v="3"/>
    <n v="2"/>
    <n v="1"/>
    <n v="0"/>
    <n v="33"/>
    <n v="6"/>
    <n v="4"/>
    <n v="3"/>
    <n v="1664"/>
    <n v="798"/>
    <n v="866"/>
    <n v="0.70299999999999996"/>
    <n v="4804"/>
    <n v="66"/>
    <n v="0.53500000000000003"/>
    <n v="0.48"/>
    <n v="3.3358999999999998E-4"/>
    <n v="0.99966999999999995"/>
    <s v="20.15398387218298"/>
    <s v="27.452101837407625"/>
    <s v="55.445459075299226"/>
    <s v="16.07918971080548"/>
    <n v="721143258"/>
    <x v="0"/>
    <n v="5.3897389999999997E-4"/>
    <x v="0"/>
  </r>
  <r>
    <n v="46"/>
    <n v="1"/>
    <n v="3"/>
    <n v="2"/>
    <n v="3"/>
    <n v="2"/>
    <n v="0"/>
    <n v="36"/>
    <n v="6"/>
    <n v="3"/>
    <n v="4"/>
    <n v="2179"/>
    <n v="1632"/>
    <n v="547"/>
    <n v="0.80100000000000005"/>
    <n v="4025"/>
    <n v="69"/>
    <n v="0.68300000000000005"/>
    <n v="0.749"/>
    <n v="5.3543000000000004E-4"/>
    <n v="0.99946000000000002"/>
    <s v="55.04522026087648"/>
    <s v="33.57569323944355"/>
    <s v="30.522776291674365"/>
    <s v="12.212658428405646"/>
    <n v="711654558"/>
    <x v="0"/>
    <n v="3.2101269999999999E-4"/>
    <x v="0"/>
  </r>
  <r>
    <n v="46"/>
    <n v="0"/>
    <n v="2"/>
    <n v="6"/>
    <n v="2"/>
    <n v="1"/>
    <n v="0"/>
    <n v="29"/>
    <n v="4"/>
    <n v="2"/>
    <n v="4"/>
    <n v="3126"/>
    <n v="2517"/>
    <n v="609"/>
    <n v="1.2350000000000001"/>
    <n v="1638"/>
    <n v="41"/>
    <n v="0.51900000000000002"/>
    <n v="0.80500000000000005"/>
    <n v="3.5893999999999998E-4"/>
    <n v="0.99963999999999997"/>
    <n v="5.8393168205305903"/>
    <s v="33.33676733212863"/>
    <s v="15.705233490052295"/>
    <s v="11.552611481367853"/>
    <n v="739692933"/>
    <x v="0"/>
    <n v="1.1993284999999999E-3"/>
    <x v="0"/>
  </r>
  <r>
    <n v="46"/>
    <n v="1"/>
    <n v="3"/>
    <n v="2"/>
    <n v="0"/>
    <n v="3"/>
    <n v="0"/>
    <n v="36"/>
    <n v="2"/>
    <n v="2"/>
    <n v="1"/>
    <n v="20434"/>
    <n v="1504"/>
    <n v="18930"/>
    <n v="0.72499999999999998"/>
    <n v="13280"/>
    <n v="106"/>
    <n v="0.65600000000000003"/>
    <n v="7.3999999999999996E-2"/>
    <s v="7.1226e-05"/>
    <n v="0.99992999999999999"/>
    <s v="18.336017650842603"/>
    <s v="11.124096420597269"/>
    <s v="26.62057120339126"/>
    <s v="3.925462796268055"/>
    <n v="709406733"/>
    <x v="0"/>
    <n v="3.7514859999999999E-4"/>
    <x v="0"/>
  </r>
  <r>
    <n v="39"/>
    <n v="0"/>
    <n v="2"/>
    <n v="0"/>
    <n v="2"/>
    <n v="5"/>
    <n v="0"/>
    <n v="35"/>
    <n v="6"/>
    <n v="2"/>
    <n v="2"/>
    <n v="10600"/>
    <n v="598"/>
    <n v="10002"/>
    <n v="0.84299999999999997"/>
    <n v="4586"/>
    <n v="81"/>
    <n v="0.92900000000000005"/>
    <n v="5.6000000000000001E-2"/>
    <n v="1.1066E-4"/>
    <n v="0.99988999999999995"/>
    <s v="41.52412870884884"/>
    <s v="39.69878453891809"/>
    <s v="28.26590474256176"/>
    <s v="22.570051830141576"/>
    <n v="826266483"/>
    <x v="0"/>
    <n v="6.4120400000000004E-4"/>
    <x v="0"/>
  </r>
  <r>
    <n v="47"/>
    <n v="0"/>
    <n v="4"/>
    <n v="6"/>
    <n v="1"/>
    <n v="4"/>
    <n v="0"/>
    <n v="36"/>
    <n v="3"/>
    <n v="3"/>
    <n v="3"/>
    <n v="2033"/>
    <n v="228"/>
    <n v="1805"/>
    <n v="0.90400000000000003"/>
    <n v="2572"/>
    <n v="43"/>
    <n v="0.72"/>
    <n v="0.112"/>
    <n v="0.99714000000000003"/>
    <n v="2.8584499999999998E-3"/>
    <s v="14.13127393885326"/>
    <s v="5.4610430426611725"/>
    <s v="22.57038572818579"/>
    <s v="3.2180517818168526"/>
    <n v="716600733"/>
    <x v="1"/>
    <n v="0.99829036000000004"/>
    <x v="1"/>
  </r>
  <r>
    <n v="49"/>
    <n v="1"/>
    <n v="4"/>
    <n v="2"/>
    <n v="2"/>
    <n v="3"/>
    <n v="0"/>
    <n v="33"/>
    <n v="5"/>
    <n v="5"/>
    <n v="3"/>
    <n v="16435"/>
    <n v="0"/>
    <n v="16435"/>
    <n v="0.67600000000000005"/>
    <n v="1721"/>
    <n v="56"/>
    <n v="0.51400000000000001"/>
    <n v="0"/>
    <n v="3.5434000000000003E-4"/>
    <n v="0.99965000000000004"/>
    <s v="4.976935996865434"/>
    <s v="44.19620887586012"/>
    <n v="39.607187312715197"/>
    <s v="8.626922054473859"/>
    <n v="817285758"/>
    <x v="0"/>
    <n v="1.6148891E-3"/>
    <x v="0"/>
  </r>
  <r>
    <n v="54"/>
    <n v="0"/>
    <n v="3"/>
    <n v="5"/>
    <n v="1"/>
    <n v="1"/>
    <n v="0"/>
    <n v="49"/>
    <n v="3"/>
    <n v="1"/>
    <n v="3"/>
    <n v="1626"/>
    <n v="0"/>
    <n v="1626"/>
    <n v="0.66400000000000003"/>
    <n v="4830"/>
    <n v="87"/>
    <n v="0.64200000000000002"/>
    <n v="0"/>
    <s v="9.8837e-05"/>
    <n v="0.99990000000000001"/>
    <s v="6.952564062236669"/>
    <s v="11.483207053852183"/>
    <s v="6.893260663444138"/>
    <s v="11.900150194350871"/>
    <n v="821356083"/>
    <x v="0"/>
    <n v="7.1276520000000004E-4"/>
    <x v="0"/>
  </r>
  <r>
    <n v="41"/>
    <n v="0"/>
    <n v="2"/>
    <n v="2"/>
    <n v="2"/>
    <n v="4"/>
    <n v="0"/>
    <n v="21"/>
    <n v="2"/>
    <n v="3"/>
    <n v="3"/>
    <n v="3624"/>
    <n v="1641"/>
    <n v="1983"/>
    <n v="0.83299999999999996"/>
    <n v="15824"/>
    <n v="121"/>
    <n v="0.77900000000000003"/>
    <n v="0.45300000000000001"/>
    <n v="3.0250999999999998E-4"/>
    <n v="0.99970000000000003"/>
    <s v="2.212667152472315"/>
    <s v="26.752547611880907"/>
    <s v="16.21177910277877"/>
    <s v="13.527071055767877"/>
    <n v="711227883"/>
    <x v="0"/>
    <n v="3.4656386999999997E-4"/>
    <x v="0"/>
  </r>
  <r>
    <n v="38"/>
    <n v="1"/>
    <n v="1"/>
    <n v="5"/>
    <n v="3"/>
    <n v="0"/>
    <n v="0"/>
    <n v="21"/>
    <n v="4"/>
    <n v="2"/>
    <n v="3"/>
    <n v="28043"/>
    <n v="1786"/>
    <n v="26257"/>
    <n v="0.80200000000000005"/>
    <n v="14521"/>
    <n v="109"/>
    <n v="0.84699999999999998"/>
    <n v="6.4000000000000001E-2"/>
    <n v="1.8474999999999999E-4"/>
    <n v="0.99982000000000004"/>
    <s v="37.74861032169017"/>
    <s v="17.801179466359454"/>
    <s v="32.84303800498536"/>
    <s v="10.616702938660405"/>
    <n v="720163458"/>
    <x v="0"/>
    <n v="3.8573547000000003E-4"/>
    <x v="0"/>
  </r>
  <r>
    <n v="40"/>
    <n v="0"/>
    <n v="3"/>
    <n v="2"/>
    <n v="1"/>
    <n v="5"/>
    <n v="0"/>
    <n v="20"/>
    <n v="3"/>
    <n v="1"/>
    <n v="3"/>
    <n v="1829"/>
    <n v="1140"/>
    <n v="689"/>
    <n v="0.32500000000000001"/>
    <n v="1610"/>
    <n v="49"/>
    <n v="0.4"/>
    <n v="0.623"/>
    <s v="9.6126e-05"/>
    <n v="0.99990000000000001"/>
    <s v="40.65993038073469"/>
    <s v="3.768957746070724"/>
    <s v="39.05789651725251"/>
    <s v="15.862878737363951"/>
    <n v="778627983"/>
    <x v="0"/>
    <n v="1.0172781E-3"/>
    <x v="0"/>
  </r>
  <r>
    <n v="40"/>
    <n v="0"/>
    <n v="4"/>
    <n v="2"/>
    <n v="2"/>
    <n v="4"/>
    <n v="3"/>
    <n v="27"/>
    <n v="3"/>
    <n v="1"/>
    <n v="2"/>
    <n v="10745"/>
    <n v="2084"/>
    <n v="8661"/>
    <n v="0.84699999999999998"/>
    <n v="3502"/>
    <n v="87"/>
    <n v="0.93300000000000005"/>
    <n v="0.19400000000000001"/>
    <s v="5.2192e-05"/>
    <n v="0.99995000000000001"/>
    <s v="49.315898717556856"/>
    <s v="32.89319296750297"/>
    <s v="113.64842394491494"/>
    <s v="13.586392819794456"/>
    <n v="770937183"/>
    <x v="0"/>
    <n v="3.2101269999999999E-4"/>
    <x v="0"/>
  </r>
  <r>
    <n v="38"/>
    <n v="1"/>
    <n v="2"/>
    <n v="6"/>
    <n v="1"/>
    <n v="0"/>
    <n v="0"/>
    <n v="36"/>
    <n v="6"/>
    <n v="2"/>
    <n v="3"/>
    <n v="3782"/>
    <n v="0"/>
    <n v="3782"/>
    <n v="0.71699999999999997"/>
    <n v="14977"/>
    <n v="117"/>
    <n v="0.72099999999999997"/>
    <n v="0"/>
    <n v="2.1042000000000001E-4"/>
    <n v="0.99978999999999996"/>
    <s v="13.05541953735781"/>
    <s v="41.71478715702686"/>
    <s v="5.215288316264815"/>
    <s v="2.0902863395118305"/>
    <n v="717316008"/>
    <x v="0"/>
    <n v="7.5047980000000002E-4"/>
    <x v="0"/>
  </r>
  <r>
    <n v="51"/>
    <n v="0"/>
    <n v="2"/>
    <n v="1"/>
    <n v="0"/>
    <n v="5"/>
    <n v="0"/>
    <n v="40"/>
    <n v="6"/>
    <n v="3"/>
    <n v="4"/>
    <n v="8930"/>
    <n v="2517"/>
    <n v="6413"/>
    <n v="0.66100000000000003"/>
    <n v="2167"/>
    <n v="38"/>
    <n v="0.35699999999999998"/>
    <n v="0.28199999999999997"/>
    <n v="0.99865999999999999"/>
    <n v="1.33669E-3"/>
    <s v="19.02094003077516"/>
    <s v="14.872906523929688"/>
    <s v="55.20800617150095"/>
    <s v="18.89933530167597"/>
    <n v="720085233"/>
    <x v="1"/>
    <n v="0.99467503999999995"/>
    <x v="1"/>
  </r>
  <r>
    <n v="55"/>
    <n v="0"/>
    <n v="3"/>
    <n v="0"/>
    <n v="0"/>
    <n v="4"/>
    <n v="0"/>
    <n v="46"/>
    <n v="2"/>
    <n v="3"/>
    <n v="3"/>
    <n v="3282"/>
    <n v="2262"/>
    <n v="1020"/>
    <n v="0.65300000000000002"/>
    <n v="4674"/>
    <n v="84"/>
    <n v="0.58499999999999996"/>
    <n v="0.68899999999999995"/>
    <n v="3.0519E-4"/>
    <n v="0.99968999999999997"/>
    <s v="12.53989935556326"/>
    <s v="38.59972089821408"/>
    <s v="89.12556853095569"/>
    <s v="5.282416352785757"/>
    <n v="716229108"/>
    <x v="0"/>
    <n v="3.2914013999999999E-4"/>
    <x v="0"/>
  </r>
  <r>
    <n v="50"/>
    <n v="1"/>
    <n v="4"/>
    <n v="2"/>
    <n v="1"/>
    <n v="2"/>
    <n v="0"/>
    <n v="34"/>
    <n v="5"/>
    <n v="1"/>
    <n v="1"/>
    <n v="18142"/>
    <n v="0"/>
    <n v="18142"/>
    <n v="0.85699999999999998"/>
    <n v="15427"/>
    <n v="95"/>
    <n v="0.79200000000000004"/>
    <n v="0"/>
    <s v="3.4833e-05"/>
    <n v="0.99997000000000003"/>
    <s v="18.574554588629983"/>
    <s v="49.17367891247204"/>
    <s v="36.982871199119465"/>
    <n v="1.5990839759864599"/>
    <n v="708974283"/>
    <x v="0"/>
    <n v="7.6702517000000003E-4"/>
    <x v="0"/>
  </r>
  <r>
    <n v="58"/>
    <n v="1"/>
    <n v="2"/>
    <n v="1"/>
    <n v="1"/>
    <n v="0"/>
    <n v="0"/>
    <n v="48"/>
    <n v="2"/>
    <n v="3"/>
    <n v="1"/>
    <n v="12648"/>
    <n v="1604"/>
    <n v="11044"/>
    <n v="0.71899999999999997"/>
    <n v="14465"/>
    <n v="125"/>
    <n v="0.71199999999999997"/>
    <n v="0.127"/>
    <n v="1.5697000000000001E-4"/>
    <n v="0.99983999999999995"/>
    <s v="4.237543279024262"/>
    <s v="26.88946514099576"/>
    <s v="22.774171094369205"/>
    <s v="23.823825613690687"/>
    <n v="720086358"/>
    <x v="0"/>
    <n v="3.4656386999999997E-4"/>
    <x v="0"/>
  </r>
  <r>
    <n v="51"/>
    <n v="0"/>
    <n v="2"/>
    <n v="6"/>
    <n v="2"/>
    <n v="4"/>
    <n v="0"/>
    <n v="45"/>
    <n v="3"/>
    <n v="6"/>
    <n v="1"/>
    <n v="3250"/>
    <n v="0"/>
    <n v="3250"/>
    <n v="0.60099999999999998"/>
    <n v="4752"/>
    <n v="84"/>
    <n v="0.75"/>
    <n v="0"/>
    <s v="9.4124e-05"/>
    <n v="0.99990999999999997"/>
    <s v="13.941444740742492"/>
    <s v="44.82561889963544"/>
    <s v="23.448057614897667"/>
    <s v="2.676123793077029"/>
    <n v="798717783"/>
    <x v="0"/>
    <n v="6.9517245999999998E-4"/>
    <x v="0"/>
  </r>
  <r>
    <n v="53"/>
    <n v="1"/>
    <n v="3"/>
    <n v="0"/>
    <n v="1"/>
    <n v="3"/>
    <n v="0"/>
    <n v="40"/>
    <n v="4"/>
    <n v="4"/>
    <n v="4"/>
    <n v="6052"/>
    <n v="1720"/>
    <n v="4332"/>
    <n v="0.68300000000000005"/>
    <n v="1476"/>
    <n v="37"/>
    <n v="0.42299999999999999"/>
    <n v="0.28399999999999997"/>
    <n v="6.2907000000000002E-4"/>
    <n v="0.99936999999999998"/>
    <s v="4.578506515873592"/>
    <s v="13.816513466738122"/>
    <s v="110.49186065117392"/>
    <s v="11.53154569865634"/>
    <n v="713108433"/>
    <x v="0"/>
    <n v="1.2715497999999999E-3"/>
    <x v="0"/>
  </r>
  <r>
    <n v="38"/>
    <n v="0"/>
    <n v="2"/>
    <n v="2"/>
    <n v="1"/>
    <n v="4"/>
    <n v="0"/>
    <n v="32"/>
    <n v="5"/>
    <n v="3"/>
    <n v="3"/>
    <n v="4429"/>
    <n v="0"/>
    <n v="4429"/>
    <n v="1.0649999999999999"/>
    <n v="1970"/>
    <n v="40"/>
    <n v="0.81799999999999995"/>
    <n v="0"/>
    <n v="3.0250999999999998E-4"/>
    <n v="0.99970000000000003"/>
    <n v="14.724211863974199"/>
    <s v="33.37634870838218"/>
    <s v="26.228205608857355"/>
    <s v="6.046176407905876"/>
    <n v="775198608"/>
    <x v="0"/>
    <n v="3.4989202E-3"/>
    <x v="0"/>
  </r>
  <r>
    <n v="54"/>
    <n v="1"/>
    <n v="3"/>
    <n v="6"/>
    <n v="1"/>
    <n v="3"/>
    <n v="0"/>
    <n v="41"/>
    <n v="3"/>
    <n v="3"/>
    <n v="2"/>
    <n v="10448"/>
    <n v="1569"/>
    <n v="8879"/>
    <n v="0.48199999999999998"/>
    <n v="1604"/>
    <n v="39"/>
    <n v="0.44400000000000001"/>
    <n v="0.15"/>
    <n v="2.0515999999999999E-4"/>
    <n v="0.99978999999999996"/>
    <s v="20.81684351241656"/>
    <s v="16.093144431759494"/>
    <s v="33.222371799013665"/>
    <s v="13.628585504357533"/>
    <n v="771032658"/>
    <x v="0"/>
    <n v="1.232702E-3"/>
    <x v="0"/>
  </r>
  <r>
    <n v="48"/>
    <n v="1"/>
    <n v="2"/>
    <n v="2"/>
    <n v="1"/>
    <n v="0"/>
    <n v="0"/>
    <n v="37"/>
    <n v="3"/>
    <n v="1"/>
    <n v="2"/>
    <n v="8956"/>
    <n v="1279"/>
    <n v="7677"/>
    <n v="0.86399999999999999"/>
    <n v="4814"/>
    <n v="73"/>
    <n v="1.212"/>
    <n v="0.14299999999999999"/>
    <s v="5.5077e-05"/>
    <n v="0.99994000000000005"/>
    <s v="5.777580332036934"/>
    <s v="11.28938451993813"/>
    <s v="80.43111861736102"/>
    <n v="0.73723447020130894"/>
    <n v="716007708"/>
    <x v="0"/>
    <n v="3.2101269999999999E-4"/>
    <x v="0"/>
  </r>
  <r>
    <n v="40"/>
    <n v="1"/>
    <n v="3"/>
    <n v="3"/>
    <n v="1"/>
    <n v="2"/>
    <n v="0"/>
    <n v="27"/>
    <n v="3"/>
    <n v="2"/>
    <n v="1"/>
    <n v="6813"/>
    <n v="2332"/>
    <n v="4481"/>
    <n v="0.57999999999999996"/>
    <n v="2634"/>
    <n v="51"/>
    <n v="0.378"/>
    <n v="0.34200000000000003"/>
    <n v="0.98575999999999997"/>
    <n v="1.4239999999999999E-2"/>
    <s v="3.323944522703689"/>
    <s v="46.744774100206456"/>
    <s v="3.479457695217432"/>
    <s v="0.1584267673690131"/>
    <n v="713004933"/>
    <x v="1"/>
    <n v="0.99511044999999998"/>
    <x v="1"/>
  </r>
  <r>
    <n v="40"/>
    <n v="0"/>
    <n v="2"/>
    <n v="4"/>
    <n v="1"/>
    <n v="1"/>
    <n v="0"/>
    <n v="25"/>
    <n v="2"/>
    <n v="2"/>
    <n v="4"/>
    <n v="3795"/>
    <n v="2517"/>
    <n v="1278"/>
    <n v="0.56299999999999994"/>
    <n v="1633"/>
    <n v="32"/>
    <n v="0.77800000000000002"/>
    <n v="0.66300000000000003"/>
    <n v="0.99741000000000002"/>
    <n v="2.5948199999999999E-3"/>
    <s v="41.66358309904008"/>
    <s v="32.53225002368778"/>
    <s v="51.56636712496511"/>
    <s v="21.55853394366594"/>
    <n v="780146658"/>
    <x v="1"/>
    <n v="0.99380314000000003"/>
    <x v="1"/>
  </r>
  <r>
    <n v="43"/>
    <n v="0"/>
    <n v="3"/>
    <n v="3"/>
    <n v="0"/>
    <n v="4"/>
    <n v="0"/>
    <n v="38"/>
    <n v="3"/>
    <n v="3"/>
    <n v="3"/>
    <n v="7084"/>
    <n v="0"/>
    <n v="7084"/>
    <n v="0.52300000000000002"/>
    <n v="2287"/>
    <n v="44"/>
    <n v="0.29399999999999998"/>
    <n v="0"/>
    <n v="0.99673"/>
    <n v="3.2652800000000002E-3"/>
    <s v="14.701226206525115"/>
    <s v="39.31490396783801"/>
    <s v="72.53367651191923"/>
    <n v="7.1074476024363404"/>
    <n v="804462633"/>
    <x v="1"/>
    <n v="0.99876772999999996"/>
    <x v="1"/>
  </r>
  <r>
    <n v="55"/>
    <n v="0"/>
    <n v="2"/>
    <n v="6"/>
    <n v="2"/>
    <n v="4"/>
    <n v="0"/>
    <n v="36"/>
    <n v="3"/>
    <n v="1"/>
    <n v="2"/>
    <n v="2850"/>
    <n v="2517"/>
    <n v="333"/>
    <n v="0.625"/>
    <n v="4320"/>
    <n v="85"/>
    <n v="0.73499999999999999"/>
    <n v="0.88300000000000001"/>
    <s v="6.054e-05"/>
    <n v="0.99994000000000005"/>
    <s v="15.091198462660383"/>
    <s v="13.203437443446388"/>
    <s v="27.589293288795933"/>
    <n v="2.0536455589739302"/>
    <n v="711515433"/>
    <x v="0"/>
    <n v="3.4692350000000002E-4"/>
    <x v="0"/>
  </r>
  <r>
    <n v="44"/>
    <n v="0"/>
    <n v="4"/>
    <n v="3"/>
    <n v="3"/>
    <n v="4"/>
    <n v="0"/>
    <n v="38"/>
    <n v="2"/>
    <n v="2"/>
    <n v="3"/>
    <n v="2616"/>
    <n v="2505"/>
    <n v="111"/>
    <n v="0.82799999999999996"/>
    <n v="2576"/>
    <n v="42"/>
    <n v="0.5"/>
    <n v="0.95799999999999996"/>
    <n v="0.99490000000000001"/>
    <n v="5.1000000000000004E-3"/>
    <s v="26.344268684126025"/>
    <s v="33.587371073128054"/>
    <s v="30.325393242822347"/>
    <s v="5.036631398789963"/>
    <n v="794719983"/>
    <x v="1"/>
    <n v="0.99643599999999999"/>
    <x v="1"/>
  </r>
  <r>
    <n v="45"/>
    <n v="0"/>
    <n v="1"/>
    <n v="3"/>
    <n v="0"/>
    <n v="4"/>
    <n v="0"/>
    <n v="36"/>
    <n v="6"/>
    <n v="2"/>
    <n v="2"/>
    <n v="9433"/>
    <n v="1578"/>
    <n v="7855"/>
    <n v="0.66"/>
    <n v="3910"/>
    <n v="81"/>
    <n v="0.65300000000000002"/>
    <n v="0.16700000000000001"/>
    <n v="1.0386E-4"/>
    <n v="0.99990000000000001"/>
    <s v="39.19912863784757"/>
    <s v="4.495610919766365"/>
    <s v="11.872145420660267"/>
    <s v="11.511653659029008"/>
    <n v="715143333"/>
    <x v="0"/>
    <n v="3.2101269999999999E-4"/>
    <x v="0"/>
  </r>
  <r>
    <n v="63"/>
    <n v="0"/>
    <n v="0"/>
    <n v="3"/>
    <n v="2"/>
    <n v="4"/>
    <n v="0"/>
    <n v="36"/>
    <n v="4"/>
    <n v="3"/>
    <n v="3"/>
    <n v="2074"/>
    <n v="1688"/>
    <n v="386"/>
    <n v="0.62"/>
    <n v="4232"/>
    <n v="75"/>
    <n v="0.5"/>
    <n v="0.81399999999999995"/>
    <n v="2.5237000000000002E-4"/>
    <n v="0.99975000000000003"/>
    <s v="9.864575553483336"/>
    <s v="35.249392489180394"/>
    <s v="18.341511439846585"/>
    <s v="2.3637191338242034"/>
    <n v="717622308"/>
    <x v="0"/>
    <n v="3.5747702000000001E-4"/>
    <x v="0"/>
  </r>
  <r>
    <n v="55"/>
    <n v="0"/>
    <n v="1"/>
    <n v="1"/>
    <n v="1"/>
    <n v="5"/>
    <n v="0"/>
    <n v="39"/>
    <n v="1"/>
    <n v="3"/>
    <n v="3"/>
    <n v="12972"/>
    <n v="1424"/>
    <n v="11548"/>
    <n v="0.52500000000000002"/>
    <n v="2238"/>
    <n v="36"/>
    <n v="0.2"/>
    <n v="0.11"/>
    <n v="0.99756999999999996"/>
    <n v="2.4269700000000001E-3"/>
    <s v="42.73205996928931"/>
    <s v="65.66293214659785"/>
    <s v="36.99219392641511"/>
    <s v="11.87169008551743"/>
    <n v="779841483"/>
    <x v="1"/>
    <n v="0.99633706"/>
    <x v="1"/>
  </r>
  <r>
    <n v="43"/>
    <n v="0"/>
    <n v="1"/>
    <n v="2"/>
    <n v="2"/>
    <n v="4"/>
    <n v="0"/>
    <n v="36"/>
    <n v="2"/>
    <n v="3"/>
    <n v="2"/>
    <n v="2886"/>
    <n v="0"/>
    <n v="2886"/>
    <n v="0.58699999999999997"/>
    <n v="2326"/>
    <n v="50"/>
    <n v="0.42899999999999999"/>
    <n v="0"/>
    <n v="0.99411000000000005"/>
    <n v="5.8900000000000003E-3"/>
    <n v="5.8819336946324997E-3"/>
    <s v="74.55243724338786"/>
    <s v="45.135718806371166"/>
    <s v="6.387183626329971"/>
    <n v="712235433"/>
    <x v="1"/>
    <n v="0.99850684000000001"/>
    <x v="1"/>
  </r>
  <r>
    <n v="40"/>
    <n v="0"/>
    <n v="2"/>
    <n v="5"/>
    <n v="1"/>
    <n v="5"/>
    <n v="0"/>
    <n v="36"/>
    <n v="3"/>
    <n v="2"/>
    <n v="3"/>
    <n v="13019"/>
    <n v="0"/>
    <n v="13019"/>
    <n v="0.48699999999999999"/>
    <n v="1484"/>
    <n v="33"/>
    <n v="0.435"/>
    <n v="0"/>
    <n v="0.99495"/>
    <n v="5.0499999999999998E-3"/>
    <s v="36.44640427918689"/>
    <s v="29.83856636952969"/>
    <s v="70.68465049212604"/>
    <s v="0.5114798355558621"/>
    <n v="708642708"/>
    <x v="1"/>
    <n v="0.99860470000000001"/>
    <x v="1"/>
  </r>
  <r>
    <n v="53"/>
    <n v="1"/>
    <n v="4"/>
    <n v="0"/>
    <n v="2"/>
    <n v="3"/>
    <n v="3"/>
    <n v="48"/>
    <n v="5"/>
    <n v="1"/>
    <n v="2"/>
    <n v="34516"/>
    <n v="800"/>
    <n v="33716"/>
    <n v="0.80400000000000005"/>
    <n v="3819"/>
    <n v="72"/>
    <n v="0.6"/>
    <n v="2.3E-2"/>
    <s v="5.0742e-05"/>
    <n v="0.99995000000000001"/>
    <s v="10.240523372026187"/>
    <s v="24.043081374559527"/>
    <s v="46.50458982333739"/>
    <s v="2.9662604323452504"/>
    <n v="820657083"/>
    <x v="0"/>
    <n v="5.9987994999999999E-4"/>
    <x v="0"/>
  </r>
  <r>
    <n v="36"/>
    <n v="0"/>
    <n v="1"/>
    <n v="1"/>
    <n v="3"/>
    <n v="4"/>
    <n v="0"/>
    <n v="36"/>
    <n v="3"/>
    <n v="2"/>
    <n v="2"/>
    <n v="4943"/>
    <n v="1204"/>
    <n v="3739"/>
    <n v="0.41699999999999998"/>
    <n v="4024"/>
    <n v="82"/>
    <n v="0.78300000000000003"/>
    <n v="0.24399999999999999"/>
    <n v="1.5459999999999999E-4"/>
    <n v="0.99985000000000002"/>
    <s v="19.84607422840596"/>
    <s v="54.32667094429418"/>
    <n v="72.829438645492104"/>
    <s v="11.36673152408629"/>
    <n v="710853033"/>
    <x v="0"/>
    <n v="3.2101269999999999E-4"/>
    <x v="0"/>
  </r>
  <r>
    <n v="43"/>
    <n v="1"/>
    <n v="2"/>
    <n v="0"/>
    <n v="2"/>
    <n v="3"/>
    <n v="0"/>
    <n v="34"/>
    <n v="2"/>
    <n v="4"/>
    <n v="3"/>
    <n v="4617"/>
    <n v="1035"/>
    <n v="3582"/>
    <n v="0.36"/>
    <n v="1779"/>
    <n v="35"/>
    <n v="0.59099999999999997"/>
    <n v="0.224"/>
    <n v="0.99719999999999998"/>
    <n v="2.8046299999999998E-3"/>
    <s v="47.57120083833741"/>
    <s v="41.349631645377016"/>
    <s v="52.79730212638834"/>
    <s v="21.292201972024333"/>
    <n v="710500983"/>
    <x v="1"/>
    <n v="0.99510162999999996"/>
    <x v="1"/>
  </r>
  <r>
    <n v="57"/>
    <n v="0"/>
    <n v="1"/>
    <n v="5"/>
    <n v="0"/>
    <n v="4"/>
    <n v="0"/>
    <n v="47"/>
    <n v="6"/>
    <n v="6"/>
    <n v="1"/>
    <n v="2201"/>
    <n v="1420"/>
    <n v="781"/>
    <n v="0.76200000000000001"/>
    <n v="4256"/>
    <n v="70"/>
    <n v="0.59099999999999997"/>
    <n v="0.64500000000000002"/>
    <s v="8.2643e-05"/>
    <n v="0.99992000000000003"/>
    <s v="49.03600604797755"/>
    <s v="68.71293953348506"/>
    <s v="34.94116390248799"/>
    <s v="16.24522758229818"/>
    <n v="711561933"/>
    <x v="0"/>
    <n v="3.2914013999999999E-4"/>
    <x v="0"/>
  </r>
  <r>
    <n v="59"/>
    <n v="1"/>
    <n v="1"/>
    <n v="3"/>
    <n v="3"/>
    <n v="1"/>
    <n v="0"/>
    <n v="46"/>
    <n v="4"/>
    <n v="1"/>
    <n v="2"/>
    <n v="14784"/>
    <n v="1374"/>
    <n v="13410"/>
    <n v="0.92100000000000004"/>
    <n v="1197"/>
    <n v="23"/>
    <n v="1.3"/>
    <n v="9.2999999999999999E-2"/>
    <s v="5.0256e-05"/>
    <n v="0.99995000000000001"/>
    <s v="25.776917274292035"/>
    <s v="32.105427508068615"/>
    <s v="58.12545313903313"/>
    <s v="15.460594784723828"/>
    <n v="720466383"/>
    <x v="0"/>
    <n v="1.0153692E-3"/>
    <x v="0"/>
  </r>
  <r>
    <n v="35"/>
    <n v="0"/>
    <n v="3"/>
    <n v="1"/>
    <n v="1"/>
    <n v="4"/>
    <n v="0"/>
    <n v="30"/>
    <n v="5"/>
    <n v="2"/>
    <n v="2"/>
    <n v="3976"/>
    <n v="1789"/>
    <n v="2187"/>
    <n v="0.93100000000000005"/>
    <n v="4419"/>
    <n v="75"/>
    <n v="0.82899999999999996"/>
    <n v="0.45"/>
    <n v="1.7091E-4"/>
    <n v="0.99983"/>
    <s v="77.20177047406278"/>
    <s v="33.04484778506693"/>
    <s v="11.387576942870128"/>
    <s v="3.264037967715521"/>
    <n v="819979458"/>
    <x v="0"/>
    <n v="3.221314E-4"/>
    <x v="0"/>
  </r>
  <r>
    <n v="42"/>
    <n v="0"/>
    <n v="4"/>
    <n v="5"/>
    <n v="1"/>
    <n v="5"/>
    <n v="0"/>
    <n v="36"/>
    <n v="6"/>
    <n v="2"/>
    <n v="3"/>
    <n v="5557"/>
    <n v="2246"/>
    <n v="3311"/>
    <n v="0.51800000000000002"/>
    <n v="2299"/>
    <n v="39"/>
    <n v="0.44400000000000001"/>
    <n v="0.40400000000000003"/>
    <n v="0.99517999999999995"/>
    <n v="4.8199899999999997E-3"/>
    <s v="26.81394913167766"/>
    <s v="7.661672132978699"/>
    <s v="14.81612223859157"/>
    <s v="5.597965383453527"/>
    <n v="714237033"/>
    <x v="1"/>
    <n v="0.99584656999999999"/>
    <x v="1"/>
  </r>
  <r>
    <n v="50"/>
    <n v="1"/>
    <n v="2"/>
    <n v="6"/>
    <n v="1"/>
    <n v="1"/>
    <n v="0"/>
    <n v="43"/>
    <n v="4"/>
    <n v="3"/>
    <n v="3"/>
    <n v="13067"/>
    <n v="0"/>
    <n v="13067"/>
    <n v="1.0609999999999999"/>
    <n v="5468"/>
    <n v="71"/>
    <n v="0.77500000000000002"/>
    <n v="0"/>
    <n v="0.997"/>
    <n v="2.9974300000000001E-3"/>
    <s v="7.038593188180324"/>
    <n v="78.760842481784707"/>
    <s v="83.47771042973388"/>
    <s v="18.10659832304465"/>
    <n v="755212608"/>
    <x v="1"/>
    <n v="0.9954307"/>
    <x v="1"/>
  </r>
  <r>
    <n v="43"/>
    <n v="0"/>
    <n v="3"/>
    <n v="2"/>
    <n v="2"/>
    <n v="1"/>
    <n v="0"/>
    <n v="33"/>
    <n v="4"/>
    <n v="3"/>
    <n v="3"/>
    <n v="2434"/>
    <n v="1169"/>
    <n v="1265"/>
    <n v="0.68899999999999995"/>
    <n v="4739"/>
    <n v="76"/>
    <n v="0.81"/>
    <n v="0.48"/>
    <n v="3.1389999999999999E-4"/>
    <n v="0.99968999999999997"/>
    <s v="21.06474392665838"/>
    <s v="58.511934366673934"/>
    <s v="62.67952030154336"/>
    <s v="3.820856115744445"/>
    <n v="708780783"/>
    <x v="0"/>
    <n v="3.2101269999999999E-4"/>
    <x v="0"/>
  </r>
  <r>
    <n v="53"/>
    <n v="0"/>
    <n v="2"/>
    <n v="0"/>
    <n v="2"/>
    <n v="4"/>
    <n v="0"/>
    <n v="45"/>
    <n v="6"/>
    <n v="3"/>
    <n v="3"/>
    <n v="6210"/>
    <n v="1083"/>
    <n v="5127"/>
    <n v="0.621"/>
    <n v="3095"/>
    <n v="62"/>
    <n v="0.59"/>
    <n v="0.17399999999999999"/>
    <n v="2.9410999999999999E-4"/>
    <n v="0.99970999999999999"/>
    <s v="21.095908906325374"/>
    <s v="2.4574945096322764"/>
    <s v="77.04917123723514"/>
    <s v="2.181705921522335"/>
    <n v="720153258"/>
    <x v="0"/>
    <n v="3.8806814999999998E-4"/>
    <x v="0"/>
  </r>
  <r>
    <n v="48"/>
    <n v="0"/>
    <n v="4"/>
    <n v="0"/>
    <n v="0"/>
    <n v="4"/>
    <n v="0"/>
    <n v="41"/>
    <n v="4"/>
    <n v="3"/>
    <n v="2"/>
    <n v="3745"/>
    <n v="2517"/>
    <n v="1228"/>
    <n v="0.67200000000000004"/>
    <n v="4550"/>
    <n v="78"/>
    <n v="0.85699999999999998"/>
    <n v="0.67200000000000004"/>
    <n v="1.8340000000000001E-4"/>
    <n v="0.99982000000000004"/>
    <s v="35.58916869462562"/>
    <s v="68.11993010231478"/>
    <n v="90.731775159417396"/>
    <s v="2.608821403828223"/>
    <n v="737962608"/>
    <x v="0"/>
    <n v="3.4692350000000002E-4"/>
    <x v="0"/>
  </r>
  <r>
    <n v="43"/>
    <n v="1"/>
    <n v="3"/>
    <n v="2"/>
    <n v="3"/>
    <n v="2"/>
    <n v="0"/>
    <n v="31"/>
    <n v="5"/>
    <n v="1"/>
    <n v="2"/>
    <n v="13448"/>
    <n v="0"/>
    <n v="13448"/>
    <n v="0.66700000000000004"/>
    <n v="5067"/>
    <n v="62"/>
    <n v="0.72199999999999998"/>
    <n v="0"/>
    <s v="5.7151e-05"/>
    <n v="0.99994000000000005"/>
    <s v="9.140455350994577"/>
    <s v="67.46489476501664"/>
    <s v="222.7342109373405"/>
    <s v="28.284663845963763"/>
    <n v="711286533"/>
    <x v="0"/>
    <n v="8.1245880000000001E-4"/>
    <x v="0"/>
  </r>
  <r>
    <n v="46"/>
    <n v="0"/>
    <n v="1"/>
    <n v="6"/>
    <n v="2"/>
    <n v="4"/>
    <n v="0"/>
    <n v="40"/>
    <n v="4"/>
    <n v="2"/>
    <n v="2"/>
    <n v="1438.3"/>
    <n v="0"/>
    <n v="1438.3"/>
    <n v="0.75600000000000001"/>
    <n v="4692"/>
    <n v="91"/>
    <n v="0.59599999999999997"/>
    <n v="0"/>
    <n v="1.1743000000000001E-4"/>
    <n v="0.99987999999999999"/>
    <s v="48.458542411343466"/>
    <s v="20.663387116051076"/>
    <s v="28.31813537004299"/>
    <s v="6.158072589718515"/>
    <n v="766795983"/>
    <x v="0"/>
    <n v="7.387203E-4"/>
    <x v="0"/>
  </r>
  <r>
    <n v="63"/>
    <n v="1"/>
    <n v="1"/>
    <n v="3"/>
    <n v="1"/>
    <n v="2"/>
    <n v="0"/>
    <n v="56"/>
    <n v="3"/>
    <n v="2"/>
    <n v="4"/>
    <n v="7216"/>
    <n v="2321"/>
    <n v="4895"/>
    <n v="0.49099999999999999"/>
    <n v="1734"/>
    <n v="38"/>
    <n v="0.58299999999999996"/>
    <n v="0.32200000000000001"/>
    <n v="2.9798999999999998E-4"/>
    <n v="0.99970000000000003"/>
    <s v="20.22977982661829"/>
    <s v="4.586148934409714"/>
    <s v="8.474407641123557"/>
    <s v="14.990706161793703"/>
    <n v="766006758"/>
    <x v="0"/>
    <n v="1.0903810999999999E-3"/>
    <x v="0"/>
  </r>
  <r>
    <n v="43"/>
    <n v="1"/>
    <n v="5"/>
    <n v="3"/>
    <n v="1"/>
    <n v="2"/>
    <n v="0"/>
    <n v="36"/>
    <n v="5"/>
    <n v="2"/>
    <n v="1"/>
    <n v="2810"/>
    <n v="2384"/>
    <n v="426"/>
    <n v="0.85899999999999999"/>
    <n v="4875"/>
    <n v="97"/>
    <n v="0.76400000000000001"/>
    <n v="0.84799999999999998"/>
    <s v="6.889e-05"/>
    <n v="0.99992999999999999"/>
    <s v="20.23012872972174"/>
    <s v="14.035917606263002"/>
    <s v="90.62226017899776"/>
    <s v="1.473833059638311"/>
    <n v="711607833"/>
    <x v="0"/>
    <n v="3.2101269999999999E-4"/>
    <x v="0"/>
  </r>
  <r>
    <n v="46"/>
    <n v="0"/>
    <n v="3"/>
    <n v="3"/>
    <n v="1"/>
    <n v="1"/>
    <n v="0"/>
    <n v="42"/>
    <n v="2"/>
    <n v="2"/>
    <n v="1"/>
    <n v="10901"/>
    <n v="1874"/>
    <n v="9027"/>
    <n v="0.60799999999999998"/>
    <n v="7498"/>
    <n v="90"/>
    <n v="0.5"/>
    <n v="0.17199999999999999"/>
    <s v="6.9242e-05"/>
    <n v="0.99992999999999999"/>
    <s v="2.281521160554555"/>
    <s v="66.81075471626075"/>
    <s v="13.799635251865071"/>
    <s v="14.482123113152062"/>
    <n v="824799108"/>
    <x v="0"/>
    <n v="3.9225167999999998E-4"/>
    <x v="0"/>
  </r>
  <r>
    <n v="42"/>
    <n v="1"/>
    <n v="5"/>
    <n v="3"/>
    <n v="1"/>
    <n v="2"/>
    <n v="0"/>
    <n v="36"/>
    <n v="2"/>
    <n v="4"/>
    <n v="3"/>
    <n v="3275"/>
    <n v="1525"/>
    <n v="1750"/>
    <n v="0.749"/>
    <n v="14830"/>
    <n v="112"/>
    <n v="0.69699999999999995"/>
    <n v="0.46600000000000003"/>
    <n v="3.6691000000000002E-4"/>
    <n v="0.99963000000000002"/>
    <s v="16.415681242121416"/>
    <s v="29.02300373268081"/>
    <s v="17.45072659273579"/>
    <s v="1.6247344662298835"/>
    <n v="712517808"/>
    <x v="0"/>
    <n v="3.4656386999999997E-4"/>
    <x v="0"/>
  </r>
  <r>
    <n v="33"/>
    <n v="0"/>
    <n v="1"/>
    <n v="2"/>
    <n v="1"/>
    <n v="4"/>
    <n v="0"/>
    <n v="20"/>
    <n v="3"/>
    <n v="2"/>
    <n v="4"/>
    <n v="3792"/>
    <n v="1625"/>
    <n v="2167"/>
    <n v="0.61799999999999999"/>
    <n v="1888"/>
    <n v="39"/>
    <n v="0.625"/>
    <n v="0.42899999999999999"/>
    <n v="3.0653000000000001E-4"/>
    <n v="0.99968999999999997"/>
    <s v="14.997074049783134"/>
    <s v="5.899091126979309"/>
    <s v="47.47880192167207"/>
    <s v="5.663230044304319"/>
    <n v="719243808"/>
    <x v="0"/>
    <n v="1.1728582E-3"/>
    <x v="0"/>
  </r>
  <r>
    <n v="48"/>
    <n v="1"/>
    <n v="5"/>
    <n v="4"/>
    <n v="2"/>
    <n v="2"/>
    <n v="0"/>
    <n v="30"/>
    <n v="6"/>
    <n v="3"/>
    <n v="2"/>
    <n v="5826"/>
    <n v="1482"/>
    <n v="4344"/>
    <n v="0.72899999999999998"/>
    <n v="4135"/>
    <n v="76"/>
    <n v="0.76700000000000002"/>
    <n v="0.254"/>
    <n v="2.185E-4"/>
    <n v="0.99978"/>
    <s v="27.533558111538543"/>
    <s v="33.51175346378285"/>
    <s v="2.3410797740160647"/>
    <s v="4.961068597330057"/>
    <n v="709621008"/>
    <x v="0"/>
    <n v="3.2101269999999999E-4"/>
    <x v="0"/>
  </r>
  <r>
    <n v="46"/>
    <n v="0"/>
    <n v="1"/>
    <n v="2"/>
    <n v="1"/>
    <n v="5"/>
    <n v="0"/>
    <n v="24"/>
    <n v="3"/>
    <n v="3"/>
    <n v="2"/>
    <n v="2694"/>
    <n v="1576"/>
    <n v="1118"/>
    <n v="0.49399999999999999"/>
    <n v="2041"/>
    <n v="57"/>
    <n v="0.9"/>
    <n v="0.58499999999999996"/>
    <n v="0.99411000000000005"/>
    <n v="5.8900000000000003E-3"/>
    <s v="3.8328000384336662"/>
    <s v="30.852423285493444"/>
    <s v="61.05749573715304"/>
    <s v="9.439387788602248"/>
    <n v="708519108"/>
    <x v="1"/>
    <n v="0.98831915999999997"/>
    <x v="1"/>
  </r>
  <r>
    <n v="52"/>
    <n v="0"/>
    <n v="3"/>
    <n v="4"/>
    <n v="1"/>
    <n v="4"/>
    <n v="0"/>
    <n v="45"/>
    <n v="2"/>
    <n v="4"/>
    <n v="1"/>
    <n v="1760"/>
    <n v="0"/>
    <n v="1760"/>
    <n v="4.5999999999999999E-2"/>
    <n v="1554"/>
    <n v="35"/>
    <n v="2.9000000000000001E-2"/>
    <n v="0"/>
    <n v="0.99378999999999995"/>
    <n v="6.2100000000000002E-3"/>
    <s v="24.138585715114896"/>
    <s v="51.97900244398599"/>
    <s v="8.816398417085713"/>
    <s v="7.714808539326036"/>
    <n v="708276183"/>
    <x v="1"/>
    <n v="0.99868020000000002"/>
    <x v="1"/>
  </r>
  <r>
    <n v="50"/>
    <n v="1"/>
    <n v="2"/>
    <n v="4"/>
    <n v="1"/>
    <n v="3"/>
    <n v="0"/>
    <n v="42"/>
    <n v="6"/>
    <n v="1"/>
    <n v="1"/>
    <n v="9873"/>
    <n v="1276"/>
    <n v="8597"/>
    <n v="0.79100000000000004"/>
    <n v="4613"/>
    <n v="82"/>
    <n v="0.745"/>
    <n v="0.129"/>
    <s v="3.9082e-05"/>
    <n v="0.99995999999999996"/>
    <n v="29.954123855250799"/>
    <s v="1.7158816653064566"/>
    <s v="17.32610654214334"/>
    <s v="0.9579211093326312"/>
    <n v="718848183"/>
    <x v="0"/>
    <n v="3.2101269999999999E-4"/>
    <x v="0"/>
  </r>
  <r>
    <n v="43"/>
    <n v="1"/>
    <n v="3"/>
    <n v="1"/>
    <n v="2"/>
    <n v="2"/>
    <n v="0"/>
    <n v="35"/>
    <n v="3"/>
    <n v="3"/>
    <n v="2"/>
    <n v="3312"/>
    <n v="0"/>
    <n v="3312"/>
    <n v="0.69799999999999995"/>
    <n v="647"/>
    <n v="19"/>
    <n v="0.46200000000000002"/>
    <n v="0"/>
    <n v="0.99631000000000003"/>
    <n v="3.6879199999999999E-3"/>
    <s v="11.167178059816765"/>
    <s v="44.30881426313768"/>
    <s v="8.388314187444042"/>
    <s v="6.420956978100939"/>
    <n v="712373208"/>
    <x v="1"/>
    <n v="0.99870884000000004"/>
    <x v="1"/>
  </r>
  <r>
    <n v="45"/>
    <n v="1"/>
    <n v="1"/>
    <n v="2"/>
    <n v="1"/>
    <n v="3"/>
    <n v="0"/>
    <n v="34"/>
    <n v="3"/>
    <n v="2"/>
    <n v="2"/>
    <n v="9705"/>
    <n v="850"/>
    <n v="8855"/>
    <n v="0.48099999999999998"/>
    <n v="2001"/>
    <n v="34"/>
    <n v="0.88900000000000001"/>
    <n v="8.7999999999999995E-2"/>
    <n v="1.0684E-4"/>
    <n v="0.99988999999999995"/>
    <s v="7.725885892995591"/>
    <s v="1.7728829036790617"/>
    <s v="132.3784156959001"/>
    <s v="11.308100046491466"/>
    <n v="789144633"/>
    <x v="0"/>
    <n v="1.8392300000000001E-3"/>
    <x v="0"/>
  </r>
  <r>
    <n v="52"/>
    <n v="0"/>
    <n v="1"/>
    <n v="2"/>
    <n v="2"/>
    <n v="1"/>
    <n v="0"/>
    <n v="40"/>
    <n v="2"/>
    <n v="1"/>
    <n v="2"/>
    <n v="4705"/>
    <n v="890"/>
    <n v="3815"/>
    <n v="0.72299999999999998"/>
    <n v="8226"/>
    <n v="97"/>
    <n v="0.64400000000000002"/>
    <n v="0.189"/>
    <s v="5.1697e-05"/>
    <n v="0.99995000000000001"/>
    <s v="27.24077598810279"/>
    <s v="10.74850851795388"/>
    <s v="11.15628120438853"/>
    <s v="7.640668301019102"/>
    <n v="718276758"/>
    <x v="0"/>
    <n v="4.9632986000000003E-4"/>
    <x v="0"/>
  </r>
  <r>
    <n v="52"/>
    <n v="0"/>
    <n v="3"/>
    <n v="3"/>
    <n v="1"/>
    <n v="5"/>
    <n v="0"/>
    <n v="42"/>
    <n v="3"/>
    <n v="2"/>
    <n v="1"/>
    <n v="23858"/>
    <n v="1179"/>
    <n v="22679"/>
    <n v="0.67100000000000004"/>
    <n v="3784"/>
    <n v="69"/>
    <n v="0.68300000000000005"/>
    <n v="4.9000000000000002E-2"/>
    <s v="6.9242e-05"/>
    <n v="0.99992999999999999"/>
    <n v="4.9125484250527398"/>
    <n v="57.898437500301696"/>
    <s v="26.947083228844416"/>
    <s v="13.249416089968706"/>
    <n v="721462458"/>
    <x v="0"/>
    <n v="3.5729867999999997E-4"/>
    <x v="0"/>
  </r>
  <r>
    <n v="39"/>
    <n v="0"/>
    <n v="4"/>
    <n v="1"/>
    <n v="1"/>
    <n v="4"/>
    <n v="0"/>
    <n v="27"/>
    <n v="2"/>
    <n v="1"/>
    <n v="1"/>
    <n v="8587"/>
    <n v="1324"/>
    <n v="7263"/>
    <n v="0.89700000000000002"/>
    <n v="8854"/>
    <n v="92"/>
    <n v="0.64300000000000002"/>
    <n v="0.154"/>
    <s v="5.0408e-05"/>
    <n v="0.99995000000000001"/>
    <s v="39.19277033462027"/>
    <s v="32.78629029695205"/>
    <s v="39.38413476325454"/>
    <s v="4.1532634347765045"/>
    <n v="771719283"/>
    <x v="0"/>
    <n v="3.9731347000000001E-4"/>
    <x v="0"/>
  </r>
  <r>
    <n v="35"/>
    <n v="0"/>
    <n v="4"/>
    <n v="2"/>
    <n v="2"/>
    <n v="4"/>
    <n v="0"/>
    <n v="29"/>
    <n v="6"/>
    <n v="3"/>
    <n v="0"/>
    <n v="2118"/>
    <n v="1189"/>
    <n v="929"/>
    <n v="1.1579999999999999"/>
    <n v="4541"/>
    <n v="60"/>
    <n v="0.81799999999999995"/>
    <n v="0.56100000000000005"/>
    <s v="6.9589e-05"/>
    <n v="0.99992999999999999"/>
    <s v="32.23048995126492"/>
    <s v="30.35091423035248"/>
    <s v="114.2616237115348"/>
    <s v="14.91052228785614"/>
    <n v="794947683"/>
    <x v="0"/>
    <n v="3.5501685000000001E-4"/>
    <x v="0"/>
  </r>
  <r>
    <n v="60"/>
    <n v="1"/>
    <n v="2"/>
    <n v="2"/>
    <n v="1"/>
    <n v="2"/>
    <n v="0"/>
    <n v="50"/>
    <n v="3"/>
    <n v="1"/>
    <n v="2"/>
    <n v="9033"/>
    <n v="845"/>
    <n v="8188"/>
    <n v="0.66300000000000003"/>
    <n v="1661"/>
    <n v="35"/>
    <n v="0.4"/>
    <n v="9.4E-2"/>
    <s v="5.5077e-05"/>
    <n v="0.99994000000000005"/>
    <s v="80.59142311364451"/>
    <s v="156.18059376141946"/>
    <s v="48.69930565974101"/>
    <s v="22.306157984849705"/>
    <n v="716819958"/>
    <x v="0"/>
    <n v="1.996669E-3"/>
    <x v="0"/>
  </r>
  <r>
    <n v="50"/>
    <n v="1"/>
    <n v="4"/>
    <n v="2"/>
    <n v="1"/>
    <n v="3"/>
    <n v="0"/>
    <n v="31"/>
    <n v="6"/>
    <n v="3"/>
    <n v="2"/>
    <n v="11882"/>
    <n v="1472"/>
    <n v="10410"/>
    <n v="0.41299999999999998"/>
    <n v="3291"/>
    <n v="62"/>
    <n v="0.72199999999999998"/>
    <n v="0.124"/>
    <n v="1.8864000000000001E-4"/>
    <n v="0.99980999999999998"/>
    <s v="0.2250202783123626"/>
    <s v="52.04090961155462"/>
    <s v="12.15483394729865"/>
    <s v="21.03814722024402"/>
    <n v="712885533"/>
    <x v="0"/>
    <n v="3.479205E-4"/>
    <x v="0"/>
  </r>
  <r>
    <n v="39"/>
    <n v="0"/>
    <n v="2"/>
    <n v="6"/>
    <n v="1"/>
    <n v="4"/>
    <n v="0"/>
    <n v="32"/>
    <n v="6"/>
    <n v="3"/>
    <n v="0"/>
    <n v="2524"/>
    <n v="1395"/>
    <n v="1129"/>
    <n v="1.048"/>
    <n v="1800"/>
    <n v="33"/>
    <n v="0.5"/>
    <n v="0.55300000000000005"/>
    <s v="7.2936e-05"/>
    <n v="0.99992999999999999"/>
    <s v="12.116882356715108"/>
    <s v="39.96258265542081"/>
    <s v="40.08644222215905"/>
    <s v="8.687522983515835"/>
    <n v="766706358"/>
    <x v="0"/>
    <n v="1.1982243E-3"/>
    <x v="0"/>
  </r>
  <r>
    <n v="58"/>
    <n v="0"/>
    <n v="2"/>
    <n v="5"/>
    <n v="1"/>
    <n v="4"/>
    <n v="0"/>
    <n v="45"/>
    <n v="3"/>
    <n v="3"/>
    <n v="4"/>
    <n v="1942"/>
    <n v="1536"/>
    <n v="406"/>
    <n v="0.61499999999999999"/>
    <n v="1371"/>
    <n v="38"/>
    <n v="0.40699999999999997"/>
    <n v="0.79100000000000004"/>
    <n v="5.3054999999999997E-4"/>
    <n v="0.99946999999999997"/>
    <s v="18.18223207993441"/>
    <s v="11.151543904126031"/>
    <s v="73.57960667788905"/>
    <s v="4.908557042731027"/>
    <n v="717831783"/>
    <x v="0"/>
    <n v="1.232702E-3"/>
    <x v="0"/>
  </r>
  <r>
    <n v="64"/>
    <n v="1"/>
    <n v="0"/>
    <n v="3"/>
    <n v="1"/>
    <n v="4"/>
    <n v="0"/>
    <n v="54"/>
    <n v="4"/>
    <n v="3"/>
    <n v="2"/>
    <n v="2140"/>
    <n v="1361"/>
    <n v="779"/>
    <n v="0.46"/>
    <n v="1280"/>
    <n v="34"/>
    <n v="1"/>
    <n v="0.63600000000000001"/>
    <n v="1.5004999999999999E-4"/>
    <n v="0.99985000000000002"/>
    <s v="45.93476896007091"/>
    <s v="44.67332828680735"/>
    <n v="81.213724442631204"/>
    <s v="1.5129175128300285"/>
    <n v="719810583"/>
    <x v="0"/>
    <n v="9.8706899999999992E-4"/>
    <x v="0"/>
  </r>
  <r>
    <n v="53"/>
    <n v="0"/>
    <n v="4"/>
    <n v="3"/>
    <n v="0"/>
    <n v="1"/>
    <n v="0"/>
    <n v="43"/>
    <n v="3"/>
    <n v="1"/>
    <n v="2"/>
    <n v="10948"/>
    <n v="482"/>
    <n v="10466"/>
    <n v="0.74199999999999999"/>
    <n v="16230"/>
    <n v="111"/>
    <n v="0.94699999999999995"/>
    <n v="4.3999999999999997E-2"/>
    <s v="5.6153e-05"/>
    <n v="0.99994000000000005"/>
    <s v="22.429448778017505"/>
    <s v="41.07738527392887"/>
    <s v="33.78095398675395"/>
    <s v="6.042099629270272"/>
    <n v="789890958"/>
    <x v="0"/>
    <n v="7.5047980000000002E-4"/>
    <x v="0"/>
  </r>
  <r>
    <n v="38"/>
    <n v="1"/>
    <n v="3"/>
    <n v="0"/>
    <n v="2"/>
    <n v="2"/>
    <n v="3"/>
    <n v="32"/>
    <n v="4"/>
    <n v="2"/>
    <n v="2"/>
    <n v="30082"/>
    <n v="1671"/>
    <n v="28411"/>
    <n v="0.70699999999999996"/>
    <n v="15240"/>
    <n v="126"/>
    <n v="0.8"/>
    <n v="5.6000000000000001E-2"/>
    <n v="1.0375E-4"/>
    <n v="0.99990000000000001"/>
    <s v="17.54162611236396"/>
    <s v="70.31061059255927"/>
    <s v="28.294778026712656"/>
    <s v="12.13892775838734"/>
    <n v="769587258"/>
    <x v="0"/>
    <n v="3.8573547000000003E-4"/>
    <x v="0"/>
  </r>
  <r>
    <n v="40"/>
    <n v="0"/>
    <n v="2"/>
    <n v="0"/>
    <n v="3"/>
    <n v="4"/>
    <n v="0"/>
    <n v="36"/>
    <n v="6"/>
    <n v="1"/>
    <n v="3"/>
    <n v="2387"/>
    <n v="2013"/>
    <n v="374"/>
    <n v="0.44900000000000001"/>
    <n v="2134"/>
    <n v="41"/>
    <n v="0.95199999999999996"/>
    <n v="0.84299999999999997"/>
    <n v="0.98902000000000001"/>
    <n v="1.098E-2"/>
    <s v="33.29388863366937"/>
    <s v="16.360345577718487"/>
    <s v="126.85049813811636"/>
    <s v="12.826202260098109"/>
    <n v="713047608"/>
    <x v="1"/>
    <n v="0.99482179999999998"/>
    <x v="1"/>
  </r>
  <r>
    <n v="65"/>
    <n v="1"/>
    <n v="1"/>
    <n v="2"/>
    <n v="2"/>
    <n v="5"/>
    <n v="0"/>
    <n v="56"/>
    <n v="4"/>
    <n v="3"/>
    <n v="3"/>
    <n v="23566"/>
    <n v="1670"/>
    <n v="21896"/>
    <n v="0.73499999999999999"/>
    <n v="3129"/>
    <n v="79"/>
    <n v="0.83699999999999997"/>
    <n v="7.0999999999999994E-2"/>
    <n v="2.8394999999999999E-4"/>
    <n v="0.99972000000000005"/>
    <s v="30.30414451072212"/>
    <s v="59.84988292798622"/>
    <s v="82.47318945279707"/>
    <s v="5.0469742913667615"/>
    <n v="715548183"/>
    <x v="0"/>
    <n v="3.886885E-4"/>
    <x v="0"/>
  </r>
  <r>
    <n v="41"/>
    <n v="1"/>
    <n v="3"/>
    <n v="1"/>
    <n v="2"/>
    <n v="2"/>
    <n v="0"/>
    <n v="34"/>
    <n v="5"/>
    <n v="3"/>
    <n v="2"/>
    <n v="12420"/>
    <n v="0"/>
    <n v="12420"/>
    <n v="0.70899999999999996"/>
    <n v="4422"/>
    <n v="70"/>
    <n v="0.628"/>
    <n v="0"/>
    <n v="2.7008000000000002E-4"/>
    <n v="0.99973000000000001"/>
    <s v="0.9611512715909928"/>
    <s v="1.2126611509414664"/>
    <n v="99.813324323299"/>
    <s v="9.878093016705808"/>
    <n v="788379933"/>
    <x v="0"/>
    <n v="7.686247E-4"/>
    <x v="0"/>
  </r>
  <r>
    <n v="43"/>
    <n v="0"/>
    <n v="3"/>
    <n v="6"/>
    <n v="0"/>
    <n v="4"/>
    <n v="0"/>
    <n v="30"/>
    <n v="3"/>
    <n v="2"/>
    <n v="1"/>
    <n v="2905"/>
    <n v="2079"/>
    <n v="826"/>
    <n v="0.78900000000000003"/>
    <n v="4444"/>
    <n v="84"/>
    <n v="0.90900000000000003"/>
    <n v="0.71599999999999997"/>
    <s v="7.8291e-05"/>
    <n v="0.99992000000000003"/>
    <s v="0.3201870248027602"/>
    <s v="10.833888614012128"/>
    <s v="41.20070786063581"/>
    <s v="11.59375689799002"/>
    <n v="765584208"/>
    <x v="0"/>
    <n v="3.2101269999999999E-4"/>
    <x v="0"/>
  </r>
  <r>
    <n v="54"/>
    <n v="0"/>
    <n v="3"/>
    <n v="5"/>
    <n v="2"/>
    <n v="4"/>
    <n v="0"/>
    <n v="36"/>
    <n v="5"/>
    <n v="4"/>
    <n v="2"/>
    <n v="4542"/>
    <n v="1355"/>
    <n v="3187"/>
    <n v="0.48"/>
    <n v="4011"/>
    <n v="70"/>
    <n v="0.55600000000000005"/>
    <n v="0.29799999999999999"/>
    <n v="2.3191999999999999E-4"/>
    <n v="0.99977000000000005"/>
    <s v="5.924861288304005"/>
    <s v="18.699636504642683"/>
    <s v="46.96019670127652"/>
    <s v="12.22529363041945"/>
    <n v="712681608"/>
    <x v="0"/>
    <n v="3.2914013999999999E-4"/>
    <x v="0"/>
  </r>
  <r>
    <n v="55"/>
    <n v="0"/>
    <n v="3"/>
    <n v="2"/>
    <n v="2"/>
    <n v="4"/>
    <n v="0"/>
    <n v="48"/>
    <n v="4"/>
    <n v="3"/>
    <n v="2"/>
    <n v="3968"/>
    <n v="1374"/>
    <n v="2594"/>
    <n v="0.70299999999999996"/>
    <n v="4641"/>
    <n v="65"/>
    <n v="0.71099999999999997"/>
    <n v="0.34599999999999997"/>
    <n v="1.8665000000000001E-4"/>
    <n v="0.99980999999999998"/>
    <s v="11.141701640715477"/>
    <s v="25.57080158434159"/>
    <s v="39.18614274831644"/>
    <s v="6.024412399717114"/>
    <n v="716877258"/>
    <x v="0"/>
    <n v="3.2890364000000001E-4"/>
    <x v="0"/>
  </r>
  <r>
    <n v="55"/>
    <n v="1"/>
    <n v="3"/>
    <n v="5"/>
    <n v="2"/>
    <n v="3"/>
    <n v="0"/>
    <n v="46"/>
    <n v="4"/>
    <n v="2"/>
    <n v="3"/>
    <n v="13598"/>
    <n v="852"/>
    <n v="12746"/>
    <n v="0.78500000000000003"/>
    <n v="4047"/>
    <n v="76"/>
    <n v="0.81"/>
    <n v="6.3E-2"/>
    <n v="2.0424000000000001E-4"/>
    <n v="0.99980000000000002"/>
    <s v="17.30985449840458"/>
    <s v="27.39066537658957"/>
    <s v="5.532703510582244"/>
    <s v="0.1029285576922676"/>
    <n v="715000383"/>
    <x v="0"/>
    <n v="5.4501113E-4"/>
    <x v="0"/>
  </r>
  <r>
    <n v="39"/>
    <n v="1"/>
    <n v="3"/>
    <n v="0"/>
    <n v="2"/>
    <n v="0"/>
    <n v="0"/>
    <n v="30"/>
    <n v="4"/>
    <n v="2"/>
    <n v="1"/>
    <n v="8842"/>
    <n v="0"/>
    <n v="8842"/>
    <n v="0.624"/>
    <n v="4493"/>
    <n v="79"/>
    <n v="0.75600000000000001"/>
    <n v="0"/>
    <s v="6.9248e-05"/>
    <n v="0.99992999999999999"/>
    <s v="14.266198358266488"/>
    <s v="32.82473352064972"/>
    <s v="13.066186017117731"/>
    <s v="13.013054609197228"/>
    <n v="795266208"/>
    <x v="0"/>
    <n v="6.9517245999999998E-4"/>
    <x v="0"/>
  </r>
  <r>
    <n v="46"/>
    <n v="1"/>
    <n v="3"/>
    <n v="3"/>
    <n v="2"/>
    <n v="3"/>
    <n v="0"/>
    <n v="39"/>
    <n v="2"/>
    <n v="1"/>
    <n v="3"/>
    <n v="21350"/>
    <n v="1724"/>
    <n v="19626"/>
    <n v="0.51200000000000001"/>
    <n v="4878"/>
    <n v="78"/>
    <n v="0.44400000000000001"/>
    <n v="8.1000000000000003E-2"/>
    <s v="9.3448e-05"/>
    <n v="0.99990999999999997"/>
    <s v="21.45276233309461"/>
    <n v="5.7038833878050896"/>
    <s v="1.1283433435607133"/>
    <s v="6.710211229274421"/>
    <n v="720513333"/>
    <x v="0"/>
    <n v="3.7735005E-4"/>
    <x v="0"/>
  </r>
  <r>
    <n v="43"/>
    <n v="1"/>
    <n v="5"/>
    <n v="2"/>
    <n v="0"/>
    <n v="0"/>
    <n v="3"/>
    <n v="31"/>
    <n v="5"/>
    <n v="3"/>
    <n v="3"/>
    <n v="34516"/>
    <n v="1699"/>
    <n v="32817"/>
    <n v="0.77100000000000002"/>
    <n v="1628"/>
    <n v="38"/>
    <n v="0.72699999999999998"/>
    <n v="4.9000000000000002E-2"/>
    <n v="2.8219999999999997E-4"/>
    <n v="0.99972000000000005"/>
    <s v="4.1098363242706935"/>
    <s v="12.812162560773414"/>
    <s v="96.58543159143396"/>
    <s v="11.085825386091262"/>
    <n v="718505958"/>
    <x v="0"/>
    <n v="1.1504791999999999E-3"/>
    <x v="0"/>
  </r>
  <r>
    <n v="48"/>
    <n v="1"/>
    <n v="3"/>
    <n v="6"/>
    <n v="3"/>
    <n v="2"/>
    <n v="0"/>
    <n v="36"/>
    <n v="2"/>
    <n v="1"/>
    <n v="2"/>
    <n v="8290"/>
    <n v="1030"/>
    <n v="7260"/>
    <n v="0.87"/>
    <n v="8980"/>
    <n v="93"/>
    <n v="0.755"/>
    <n v="0.124"/>
    <s v="6.282e-05"/>
    <n v="0.99994000000000005"/>
    <s v="40.121887893747946"/>
    <s v="33.72836568696161"/>
    <s v="102.57683622579786"/>
    <s v="12.792975580411476"/>
    <n v="712009083"/>
    <x v="0"/>
    <n v="3.6856539999999998E-4"/>
    <x v="0"/>
  </r>
  <r>
    <n v="60"/>
    <n v="0"/>
    <n v="0"/>
    <n v="0"/>
    <n v="1"/>
    <n v="4"/>
    <n v="0"/>
    <n v="49"/>
    <n v="5"/>
    <n v="3"/>
    <n v="3"/>
    <n v="1634"/>
    <n v="1155"/>
    <n v="479"/>
    <n v="0.874"/>
    <n v="4522"/>
    <n v="83"/>
    <n v="0.76600000000000001"/>
    <n v="0.70699999999999996"/>
    <n v="2.5239000000000001E-4"/>
    <n v="0.99975000000000003"/>
    <s v="7.781290985968062"/>
    <n v="13.860615969188"/>
    <s v="45.16020637202718"/>
    <s v="1.3153916194935544"/>
    <n v="718324983"/>
    <x v="0"/>
    <n v="3.2101269999999999E-4"/>
    <x v="0"/>
  </r>
  <r>
    <n v="45"/>
    <n v="1"/>
    <n v="0"/>
    <n v="6"/>
    <n v="1"/>
    <n v="3"/>
    <n v="0"/>
    <n v="37"/>
    <n v="4"/>
    <n v="3"/>
    <n v="2"/>
    <n v="9654"/>
    <n v="2035"/>
    <n v="7619"/>
    <n v="0.64800000000000002"/>
    <n v="4221"/>
    <n v="67"/>
    <n v="0.63400000000000001"/>
    <n v="0.21099999999999999"/>
    <n v="1.6966E-4"/>
    <n v="0.99983"/>
    <s v="17.18985343053323"/>
    <s v="41.71383158526143"/>
    <s v="58.69458288412539"/>
    <s v="10.116820442597978"/>
    <n v="790006383"/>
    <x v="0"/>
    <n v="3.2914013999999999E-4"/>
    <x v="0"/>
  </r>
  <r>
    <n v="42"/>
    <n v="0"/>
    <n v="2"/>
    <n v="0"/>
    <n v="1"/>
    <n v="1"/>
    <n v="0"/>
    <n v="28"/>
    <n v="6"/>
    <n v="2"/>
    <n v="1"/>
    <n v="1820"/>
    <n v="0"/>
    <n v="1820"/>
    <n v="0.65800000000000003"/>
    <n v="4592"/>
    <n v="67"/>
    <n v="0.81100000000000005"/>
    <n v="0"/>
    <s v="6.6734e-05"/>
    <n v="0.99992999999999999"/>
    <s v="9.474475935783111"/>
    <s v="5.700150387387777"/>
    <s v="64.54768126249043"/>
    <s v="3.695993663043988"/>
    <n v="770717883"/>
    <x v="0"/>
    <n v="7.4965424999999997E-4"/>
    <x v="0"/>
  </r>
  <r>
    <n v="45"/>
    <n v="1"/>
    <n v="4"/>
    <n v="2"/>
    <n v="1"/>
    <n v="3"/>
    <n v="0"/>
    <n v="35"/>
    <n v="2"/>
    <n v="3"/>
    <n v="3"/>
    <n v="23542"/>
    <n v="1307"/>
    <n v="22235"/>
    <n v="0.46200000000000002"/>
    <n v="2152"/>
    <n v="46"/>
    <n v="0.438"/>
    <n v="5.6000000000000001E-2"/>
    <n v="0.99685999999999997"/>
    <n v="3.1411199999999998E-3"/>
    <s v="36.38639431375955"/>
    <s v="24.761088663651392"/>
    <s v="19.27941684863835"/>
    <s v="18.15195476800669"/>
    <n v="720654183"/>
    <x v="1"/>
    <n v="0.99670789999999998"/>
    <x v="1"/>
  </r>
  <r>
    <n v="37"/>
    <n v="0"/>
    <n v="3"/>
    <n v="2"/>
    <n v="2"/>
    <n v="1"/>
    <n v="0"/>
    <n v="25"/>
    <n v="2"/>
    <n v="2"/>
    <n v="3"/>
    <n v="9875"/>
    <n v="1239"/>
    <n v="8636"/>
    <n v="0.93899999999999995"/>
    <n v="8920"/>
    <n v="105"/>
    <n v="0.69399999999999995"/>
    <n v="0.125"/>
    <n v="1.9864000000000001E-4"/>
    <n v="0.99980000000000002"/>
    <s v="58.098598445624006"/>
    <s v="10.78290724035123"/>
    <s v="61.10060046708571"/>
    <s v="15.762239529176105"/>
    <n v="708748833"/>
    <x v="0"/>
    <n v="3.8750382000000001E-4"/>
    <x v="0"/>
  </r>
  <r>
    <n v="42"/>
    <n v="0"/>
    <n v="3"/>
    <n v="5"/>
    <n v="0"/>
    <n v="4"/>
    <n v="0"/>
    <n v="38"/>
    <n v="5"/>
    <n v="2"/>
    <n v="2"/>
    <n v="3131"/>
    <n v="849"/>
    <n v="2282"/>
    <n v="0.99199999999999999"/>
    <n v="3108"/>
    <n v="62"/>
    <n v="0.59"/>
    <n v="0.27100000000000002"/>
    <n v="1.2144E-4"/>
    <n v="0.99987999999999999"/>
    <s v="49.41160855185986"/>
    <s v="74.10321982588324"/>
    <s v="77.97846939748258"/>
    <s v="16.743545417636373"/>
    <n v="822948708"/>
    <x v="0"/>
    <n v="5.797501E-4"/>
    <x v="0"/>
  </r>
  <r>
    <n v="63"/>
    <n v="0"/>
    <n v="2"/>
    <n v="2"/>
    <n v="1"/>
    <n v="1"/>
    <n v="0"/>
    <n v="53"/>
    <n v="4"/>
    <n v="2"/>
    <n v="4"/>
    <n v="3067"/>
    <n v="1874"/>
    <n v="1193"/>
    <n v="0.79100000000000004"/>
    <n v="1420"/>
    <n v="32"/>
    <n v="0.45500000000000002"/>
    <n v="0.61099999999999999"/>
    <n v="3.2655999999999999E-4"/>
    <n v="0.99966999999999995"/>
    <s v="16.05074290822756"/>
    <s v="39.57026260671834"/>
    <s v="56.22801103982149"/>
    <s v="12.775683379088438"/>
    <n v="714013083"/>
    <x v="0"/>
    <n v="1.1982243E-3"/>
    <x v="0"/>
  </r>
  <r>
    <n v="51"/>
    <n v="1"/>
    <n v="4"/>
    <n v="3"/>
    <n v="2"/>
    <n v="0"/>
    <n v="0"/>
    <n v="46"/>
    <n v="6"/>
    <n v="3"/>
    <n v="3"/>
    <n v="34516"/>
    <n v="2274"/>
    <n v="32242"/>
    <n v="0.78800000000000003"/>
    <n v="1795"/>
    <n v="47"/>
    <n v="0.67900000000000005"/>
    <n v="6.6000000000000003E-2"/>
    <n v="3.0842E-4"/>
    <n v="0.99968999999999997"/>
    <s v="9.217431553576365"/>
    <s v="28.375922717239902"/>
    <s v="59.98918539767735"/>
    <s v="3.5237680938762264"/>
    <n v="807030858"/>
    <x v="0"/>
    <n v="1.1504791999999999E-3"/>
    <x v="0"/>
  </r>
  <r>
    <n v="50"/>
    <n v="0"/>
    <n v="3"/>
    <n v="2"/>
    <n v="2"/>
    <n v="4"/>
    <n v="0"/>
    <n v="36"/>
    <n v="6"/>
    <n v="5"/>
    <n v="2"/>
    <n v="7596"/>
    <n v="1156"/>
    <n v="6440"/>
    <n v="0.61099999999999999"/>
    <n v="4338"/>
    <n v="73"/>
    <n v="0.73799999999999999"/>
    <n v="0.152"/>
    <n v="2.0846999999999999E-4"/>
    <n v="0.99978999999999996"/>
    <s v="40.231166669240366"/>
    <s v="4.216055901581216"/>
    <s v="70.04155161822885"/>
    <s v="9.871994758188771"/>
    <n v="714368883"/>
    <x v="0"/>
    <n v="3.2101269999999999E-4"/>
    <x v="0"/>
  </r>
  <r>
    <n v="49"/>
    <n v="0"/>
    <n v="1"/>
    <n v="2"/>
    <n v="0"/>
    <n v="1"/>
    <n v="0"/>
    <n v="40"/>
    <n v="3"/>
    <n v="2"/>
    <n v="3"/>
    <n v="1438.3"/>
    <n v="0"/>
    <n v="1438.3"/>
    <n v="0.67500000000000004"/>
    <n v="3886"/>
    <n v="77"/>
    <n v="0.75"/>
    <n v="0"/>
    <n v="1.7969000000000001E-4"/>
    <n v="0.99982000000000004"/>
    <s v="21.25572327284986"/>
    <s v="49.88022976746242"/>
    <s v="14.246698267105357"/>
    <s v="10.502832653806031"/>
    <n v="712755783"/>
    <x v="0"/>
    <n v="6.9517245999999998E-4"/>
    <x v="0"/>
  </r>
  <r>
    <n v="48"/>
    <n v="0"/>
    <n v="2"/>
    <n v="1"/>
    <n v="2"/>
    <n v="5"/>
    <n v="0"/>
    <n v="36"/>
    <n v="4"/>
    <n v="2"/>
    <n v="3"/>
    <n v="3137"/>
    <n v="860"/>
    <n v="2277"/>
    <n v="0.30399999999999999"/>
    <n v="1618"/>
    <n v="34"/>
    <n v="9.7000000000000003E-2"/>
    <n v="0.27400000000000002"/>
    <n v="0.99639999999999995"/>
    <n v="3.5960300000000001E-3"/>
    <s v="12.492191614741444"/>
    <s v="60.480940809544514"/>
    <s v="31.012629309256425"/>
    <s v="13.343248908283591"/>
    <n v="711102858"/>
    <x v="1"/>
    <n v="0.99660515999999999"/>
    <x v="1"/>
  </r>
  <r>
    <n v="40"/>
    <n v="0"/>
    <n v="2"/>
    <n v="2"/>
    <n v="3"/>
    <n v="1"/>
    <n v="0"/>
    <n v="36"/>
    <n v="3"/>
    <n v="1"/>
    <n v="2"/>
    <n v="2136"/>
    <n v="1250"/>
    <n v="886"/>
    <n v="0.74"/>
    <n v="7782"/>
    <n v="88"/>
    <n v="0.66"/>
    <n v="0.58499999999999996"/>
    <s v="5.5077e-05"/>
    <n v="0.99994000000000005"/>
    <s v="46.84392510914221"/>
    <s v="25.752394584483177"/>
    <s v="174.22184329632432"/>
    <s v="11.633636470682903"/>
    <n v="715469583"/>
    <x v="0"/>
    <n v="3.6856539999999998E-4"/>
    <x v="0"/>
  </r>
  <r>
    <n v="45"/>
    <n v="1"/>
    <n v="5"/>
    <n v="0"/>
    <n v="2"/>
    <n v="3"/>
    <n v="0"/>
    <n v="35"/>
    <n v="4"/>
    <n v="2"/>
    <n v="1"/>
    <n v="33755"/>
    <n v="2301"/>
    <n v="31454"/>
    <n v="0.751"/>
    <n v="3458"/>
    <n v="71"/>
    <n v="0.65100000000000002"/>
    <n v="6.8000000000000005E-2"/>
    <s v="6.8897e-05"/>
    <n v="0.99992999999999999"/>
    <s v="21.750049272562805"/>
    <s v="11.558028558534112"/>
    <n v="2.2816270524068201"/>
    <s v="8.766656131767155"/>
    <n v="709950858"/>
    <x v="0"/>
    <n v="3.5729867999999997E-4"/>
    <x v="0"/>
  </r>
  <r>
    <n v="54"/>
    <n v="0"/>
    <n v="4"/>
    <n v="2"/>
    <n v="2"/>
    <n v="4"/>
    <n v="0"/>
    <n v="45"/>
    <n v="6"/>
    <n v="2"/>
    <n v="2"/>
    <n v="1990"/>
    <n v="1747"/>
    <n v="243"/>
    <n v="0.92400000000000004"/>
    <n v="5216"/>
    <n v="87"/>
    <n v="0.89100000000000001"/>
    <n v="0.878"/>
    <n v="1.1937E-4"/>
    <n v="0.99987999999999999"/>
    <s v="7.5789022851010435"/>
    <s v="13.112869572647348"/>
    <s v="172.10245450908047"/>
    <s v="20.43644246344154"/>
    <n v="720844008"/>
    <x v="0"/>
    <n v="3.221314E-4"/>
    <x v="0"/>
  </r>
  <r>
    <n v="59"/>
    <n v="0"/>
    <n v="1"/>
    <n v="6"/>
    <n v="2"/>
    <n v="5"/>
    <n v="0"/>
    <n v="48"/>
    <n v="4"/>
    <n v="2"/>
    <n v="3"/>
    <n v="5528"/>
    <n v="1823"/>
    <n v="3705"/>
    <n v="0.73099999999999998"/>
    <n v="4857"/>
    <n v="81"/>
    <n v="0.72299999999999998"/>
    <n v="0.33"/>
    <n v="1.9751E-4"/>
    <n v="0.99980000000000002"/>
    <s v="33.46222804937654"/>
    <s v="2.298934606960517"/>
    <n v="5.4710297563161197"/>
    <s v="4.192670037495057"/>
    <n v="708253458"/>
    <x v="0"/>
    <n v="3.2101269999999999E-4"/>
    <x v="0"/>
  </r>
  <r>
    <n v="54"/>
    <n v="0"/>
    <n v="1"/>
    <n v="2"/>
    <n v="1"/>
    <n v="4"/>
    <n v="0"/>
    <n v="40"/>
    <n v="2"/>
    <n v="3"/>
    <n v="1"/>
    <n v="1438.3"/>
    <n v="808"/>
    <n v="630.29999999999995"/>
    <n v="0.997"/>
    <n v="705"/>
    <n v="19"/>
    <n v="0.9"/>
    <n v="0.56200000000000006"/>
    <n v="0.99028000000000005"/>
    <n v="9.7199999999999995E-3"/>
    <s v="3.1801694908507643"/>
    <s v="31.00400107892722"/>
    <s v="20.51702392029601"/>
    <n v="6.0456604259328204"/>
    <n v="779471883"/>
    <x v="1"/>
    <n v="0.99705814999999998"/>
    <x v="1"/>
  </r>
  <r>
    <n v="49"/>
    <n v="1"/>
    <n v="2"/>
    <n v="3"/>
    <n v="1"/>
    <n v="0"/>
    <n v="0"/>
    <n v="39"/>
    <n v="2"/>
    <n v="3"/>
    <n v="2"/>
    <n v="11714"/>
    <n v="949"/>
    <n v="10765"/>
    <n v="1.036"/>
    <n v="5366"/>
    <n v="68"/>
    <n v="0.65900000000000003"/>
    <n v="8.1000000000000003E-2"/>
    <n v="0.99431000000000003"/>
    <n v="5.6899999999999997E-3"/>
    <s v="45.303992830651225"/>
    <s v="5.206463010500419"/>
    <s v="120.64020058967267"/>
    <n v="7.2813478989306999"/>
    <n v="714052158"/>
    <x v="1"/>
    <n v="0.99032556999999999"/>
    <x v="1"/>
  </r>
  <r>
    <n v="45"/>
    <n v="0"/>
    <n v="5"/>
    <n v="6"/>
    <n v="2"/>
    <n v="4"/>
    <n v="0"/>
    <n v="36"/>
    <n v="2"/>
    <n v="2"/>
    <n v="3"/>
    <n v="3883"/>
    <n v="847"/>
    <n v="3036"/>
    <n v="0.95099999999999996"/>
    <n v="4667"/>
    <n v="90"/>
    <n v="0.8"/>
    <n v="0.218"/>
    <n v="2.1724E-4"/>
    <n v="0.99978"/>
    <s v="54.37489576076866"/>
    <s v="68.49745308182898"/>
    <s v="105.8977925227885"/>
    <s v="19.674919352453408"/>
    <n v="711356733"/>
    <x v="0"/>
    <n v="5.1483170000000001E-4"/>
    <x v="0"/>
  </r>
  <r>
    <n v="50"/>
    <n v="0"/>
    <n v="2"/>
    <n v="3"/>
    <n v="2"/>
    <n v="4"/>
    <n v="0"/>
    <n v="41"/>
    <n v="2"/>
    <n v="3"/>
    <n v="2"/>
    <n v="6704"/>
    <n v="0"/>
    <n v="6704"/>
    <n v="0.85599999999999998"/>
    <n v="12576"/>
    <n v="103"/>
    <n v="0.77600000000000002"/>
    <n v="0"/>
    <n v="1.7485999999999999E-4"/>
    <n v="0.99983"/>
    <s v="2.154610930824344"/>
    <s v="13.986535875497598"/>
    <n v="0.91920058199613996"/>
    <s v="3.771939271709575"/>
    <n v="720306408"/>
    <x v="0"/>
    <n v="8.1569749999999995E-4"/>
    <x v="0"/>
  </r>
  <r>
    <n v="48"/>
    <n v="1"/>
    <n v="4"/>
    <n v="5"/>
    <n v="2"/>
    <n v="3"/>
    <n v="3"/>
    <n v="43"/>
    <n v="2"/>
    <n v="3"/>
    <n v="4"/>
    <n v="34516"/>
    <n v="0"/>
    <n v="34516"/>
    <n v="0.67100000000000004"/>
    <n v="1626"/>
    <n v="28"/>
    <n v="0.4"/>
    <n v="0"/>
    <n v="0.99802000000000002"/>
    <n v="1.9840399999999998E-3"/>
    <n v="42.5774781378909"/>
    <s v="73.56398681198485"/>
    <s v="149.51915714089537"/>
    <s v="0.3480371178836348"/>
    <n v="809599158"/>
    <x v="1"/>
    <n v="0.99830662999999997"/>
    <x v="1"/>
  </r>
  <r>
    <n v="36"/>
    <n v="1"/>
    <n v="3"/>
    <n v="3"/>
    <n v="0"/>
    <n v="0"/>
    <n v="0"/>
    <n v="36"/>
    <n v="3"/>
    <n v="2"/>
    <n v="3"/>
    <n v="3404"/>
    <n v="1568"/>
    <n v="1836"/>
    <n v="1.0549999999999999"/>
    <n v="2406"/>
    <n v="65"/>
    <n v="0.85699999999999998"/>
    <n v="0.46100000000000002"/>
    <n v="1.9311E-4"/>
    <n v="0.99980999999999998"/>
    <s v="19.19548762149868"/>
    <s v="24.09697531770108"/>
    <s v="82.30132363667742"/>
    <s v="4.555586094519052"/>
    <n v="712688433"/>
    <x v="0"/>
    <n v="3.7176305000000002E-4"/>
    <x v="0"/>
  </r>
  <r>
    <n v="48"/>
    <n v="0"/>
    <n v="4"/>
    <n v="2"/>
    <n v="1"/>
    <n v="4"/>
    <n v="3"/>
    <n v="36"/>
    <n v="2"/>
    <n v="2"/>
    <n v="3"/>
    <n v="10973"/>
    <n v="1466"/>
    <n v="9507"/>
    <n v="0.80200000000000005"/>
    <n v="4892"/>
    <n v="94"/>
    <n v="0.59299999999999997"/>
    <n v="0.13400000000000001"/>
    <n v="1.8141000000000001E-4"/>
    <n v="0.99982000000000004"/>
    <n v="40.110301210330299"/>
    <s v="13.415134134459318"/>
    <n v="41.493598274214897"/>
    <s v="6.6157401519069134"/>
    <n v="711701058"/>
    <x v="0"/>
    <n v="3.2914013999999999E-4"/>
    <x v="0"/>
  </r>
  <r>
    <n v="59"/>
    <n v="1"/>
    <n v="2"/>
    <n v="3"/>
    <n v="2"/>
    <n v="3"/>
    <n v="0"/>
    <n v="54"/>
    <n v="3"/>
    <n v="2"/>
    <n v="2"/>
    <n v="2791"/>
    <n v="2396"/>
    <n v="395"/>
    <n v="0.88900000000000001"/>
    <n v="2658"/>
    <n v="43"/>
    <n v="0.34399999999999997"/>
    <n v="0.85799999999999998"/>
    <n v="0.99104000000000003"/>
    <n v="8.9599999999999992E-3"/>
    <s v="27.631359392287084"/>
    <s v="9.103510870741829"/>
    <s v="77.99622422815047"/>
    <s v="30.248595472336003"/>
    <n v="806140383"/>
    <x v="1"/>
    <n v="0.99596244"/>
    <x v="1"/>
  </r>
  <r>
    <n v="48"/>
    <n v="1"/>
    <n v="5"/>
    <n v="5"/>
    <n v="2"/>
    <n v="2"/>
    <n v="0"/>
    <n v="38"/>
    <n v="6"/>
    <n v="2"/>
    <n v="3"/>
    <n v="22639"/>
    <n v="1481"/>
    <n v="21158"/>
    <n v="0.70299999999999996"/>
    <n v="4219"/>
    <n v="65"/>
    <n v="0.47699999999999998"/>
    <n v="6.5000000000000002E-2"/>
    <n v="2.0321E-4"/>
    <n v="0.99980000000000002"/>
    <s v="43.27225601309533"/>
    <s v="36.50199317619635"/>
    <s v="15.429444545097606"/>
    <s v="4.872299659571347"/>
    <n v="789319458"/>
    <x v="0"/>
    <n v="4.0766035000000002E-4"/>
    <x v="0"/>
  </r>
  <r>
    <n v="56"/>
    <n v="0"/>
    <n v="3"/>
    <n v="0"/>
    <n v="2"/>
    <n v="5"/>
    <n v="0"/>
    <n v="43"/>
    <n v="6"/>
    <n v="1"/>
    <n v="3"/>
    <n v="1816"/>
    <n v="1052"/>
    <n v="764"/>
    <n v="0.54700000000000004"/>
    <n v="4175"/>
    <n v="65"/>
    <n v="0.66700000000000004"/>
    <n v="0.57899999999999996"/>
    <s v="9.3457e-05"/>
    <n v="0.99990999999999997"/>
    <s v="61.41158743935388"/>
    <s v="39.68213865492903"/>
    <s v="63.531394108692666"/>
    <s v="0.6660911772315601"/>
    <n v="720563058"/>
    <x v="0"/>
    <n v="3.2890364000000001E-4"/>
    <x v="0"/>
  </r>
  <r>
    <n v="41"/>
    <n v="0"/>
    <n v="2"/>
    <n v="5"/>
    <n v="1"/>
    <n v="5"/>
    <n v="0"/>
    <n v="32"/>
    <n v="2"/>
    <n v="5"/>
    <n v="3"/>
    <n v="5877"/>
    <n v="1713"/>
    <n v="4164"/>
    <n v="0.79100000000000004"/>
    <n v="15106"/>
    <n v="91"/>
    <n v="0.97799999999999998"/>
    <n v="0.29099999999999998"/>
    <n v="3.4739999999999999E-4"/>
    <n v="0.99965000000000004"/>
    <s v="4.882115056929681"/>
    <s v="3.5636032994803437"/>
    <s v="69.11143652840957"/>
    <s v="7.249469264581426"/>
    <n v="789450408"/>
    <x v="0"/>
    <n v="3.4656386999999997E-4"/>
    <x v="0"/>
  </r>
  <r>
    <n v="37"/>
    <n v="0"/>
    <n v="2"/>
    <n v="3"/>
    <n v="1"/>
    <n v="4"/>
    <n v="0"/>
    <n v="36"/>
    <n v="3"/>
    <n v="2"/>
    <n v="1"/>
    <n v="2588"/>
    <n v="1782"/>
    <n v="806"/>
    <n v="0.54600000000000004"/>
    <n v="4159"/>
    <n v="83"/>
    <n v="0.76600000000000001"/>
    <n v="0.68899999999999995"/>
    <s v="6.6728e-05"/>
    <n v="0.99992999999999999"/>
    <s v="9.625866315442805"/>
    <s v="12.14365186241624"/>
    <n v="20.2192977917192"/>
    <s v="10.346284485144318"/>
    <n v="708516558"/>
    <x v="0"/>
    <n v="3.2101269999999999E-4"/>
    <x v="0"/>
  </r>
  <r>
    <n v="58"/>
    <n v="0"/>
    <n v="1"/>
    <n v="5"/>
    <n v="1"/>
    <n v="4"/>
    <n v="0"/>
    <n v="51"/>
    <n v="5"/>
    <n v="4"/>
    <n v="2"/>
    <n v="2220"/>
    <n v="1240"/>
    <n v="980"/>
    <n v="0.90600000000000003"/>
    <n v="4396"/>
    <n v="78"/>
    <n v="0.95"/>
    <n v="0.55900000000000005"/>
    <n v="2.0979000000000001E-4"/>
    <n v="0.99978999999999996"/>
    <s v="36.515711733647024"/>
    <s v="41.726766472524695"/>
    <s v="61.24976998236863"/>
    <s v="0.4896640272089759"/>
    <n v="719724933"/>
    <x v="0"/>
    <n v="3.221314E-4"/>
    <x v="0"/>
  </r>
  <r>
    <n v="54"/>
    <n v="1"/>
    <n v="2"/>
    <n v="5"/>
    <n v="1"/>
    <n v="2"/>
    <n v="0"/>
    <n v="45"/>
    <n v="2"/>
    <n v="3"/>
    <n v="1"/>
    <n v="6546"/>
    <n v="1908"/>
    <n v="4638"/>
    <n v="0.69699999999999995"/>
    <n v="14103"/>
    <n v="112"/>
    <n v="0.67200000000000004"/>
    <n v="0.29099999999999998"/>
    <n v="1.1153E-4"/>
    <n v="0.99988999999999995"/>
    <s v="13.36784772930291"/>
    <s v="25.18603636989145"/>
    <s v="14.907633564922683"/>
    <s v="34.04149807543854"/>
    <n v="714794133"/>
    <x v="0"/>
    <n v="3.4656386999999997E-4"/>
    <x v="0"/>
  </r>
  <r>
    <n v="49"/>
    <n v="0"/>
    <n v="2"/>
    <n v="2"/>
    <n v="3"/>
    <n v="1"/>
    <n v="0"/>
    <n v="36"/>
    <n v="6"/>
    <n v="3"/>
    <n v="1"/>
    <n v="5370"/>
    <n v="653"/>
    <n v="4717"/>
    <n v="0.78200000000000003"/>
    <n v="4504"/>
    <n v="81"/>
    <n v="0.92900000000000005"/>
    <n v="0.122"/>
    <n v="1.0848E-4"/>
    <n v="0.99988999999999995"/>
    <s v="41.24135082797904"/>
    <s v="62.66172553569359"/>
    <s v="17.461769557395478"/>
    <s v="16.857026412293266"/>
    <n v="712096758"/>
    <x v="0"/>
    <n v="5.4489190000000002E-4"/>
    <x v="0"/>
  </r>
  <r>
    <n v="31"/>
    <n v="1"/>
    <n v="1"/>
    <n v="4"/>
    <n v="2"/>
    <n v="1"/>
    <n v="0"/>
    <n v="20"/>
    <n v="5"/>
    <n v="3"/>
    <n v="3"/>
    <n v="13734"/>
    <n v="0"/>
    <n v="13734"/>
    <n v="0.85499999999999998"/>
    <n v="2566"/>
    <n v="74"/>
    <n v="0.76200000000000001"/>
    <n v="0"/>
    <n v="3.3410999999999998E-4"/>
    <n v="0.99966999999999995"/>
    <s v="9.216782692244845"/>
    <s v="58.44717797710425"/>
    <s v="88.19106073430412"/>
    <n v="9.9855581200022208"/>
    <n v="712617408"/>
    <x v="0"/>
    <n v="8.9028869999999995E-4"/>
    <x v="0"/>
  </r>
  <r>
    <n v="38"/>
    <n v="1"/>
    <n v="1"/>
    <n v="2"/>
    <n v="2"/>
    <n v="3"/>
    <n v="0"/>
    <n v="29"/>
    <n v="3"/>
    <n v="3"/>
    <n v="3"/>
    <n v="2155"/>
    <n v="1290"/>
    <n v="865"/>
    <n v="0.71799999999999997"/>
    <n v="3781"/>
    <n v="61"/>
    <n v="0.90600000000000003"/>
    <n v="0.59899999999999998"/>
    <n v="2.8394999999999999E-4"/>
    <n v="0.99972000000000005"/>
    <s v="26.59845078661208"/>
    <s v="16.58442745918671"/>
    <s v="49.59231939641724"/>
    <s v="5.763756708451821"/>
    <n v="753233733"/>
    <x v="0"/>
    <n v="3.479205E-4"/>
    <x v="0"/>
  </r>
  <r>
    <n v="56"/>
    <n v="0"/>
    <n v="2"/>
    <n v="3"/>
    <n v="1"/>
    <n v="4"/>
    <n v="0"/>
    <n v="43"/>
    <n v="1"/>
    <n v="2"/>
    <n v="2"/>
    <n v="2041"/>
    <n v="1158"/>
    <n v="883"/>
    <n v="0.56299999999999994"/>
    <n v="3588"/>
    <n v="63"/>
    <n v="0.432"/>
    <n v="0.56699999999999995"/>
    <n v="1.1065000000000001E-4"/>
    <n v="0.99988999999999995"/>
    <s v="24.30361882890241"/>
    <s v="2.526449458873388"/>
    <s v="51.66436902266053"/>
    <s v="3.1036389533792854"/>
    <n v="715958583"/>
    <x v="0"/>
    <n v="3.8743845999999999E-4"/>
    <x v="0"/>
  </r>
  <r>
    <n v="45"/>
    <n v="0"/>
    <n v="3"/>
    <n v="3"/>
    <n v="1"/>
    <n v="4"/>
    <n v="0"/>
    <n v="33"/>
    <n v="1"/>
    <n v="2"/>
    <n v="3"/>
    <n v="4174"/>
    <n v="2507"/>
    <n v="1667"/>
    <n v="0.83199999999999996"/>
    <n v="7905"/>
    <n v="86"/>
    <n v="0.755"/>
    <n v="0.60099999999999998"/>
    <n v="1.9311E-4"/>
    <n v="0.99980999999999998"/>
    <s v="39.74202137765325"/>
    <s v="86.23516845238348"/>
    <s v="112.22219391906124"/>
    <s v="21.287976723478263"/>
    <n v="771304383"/>
    <x v="0"/>
    <n v="3.9831083000000002E-4"/>
    <x v="0"/>
  </r>
  <r>
    <n v="52"/>
    <n v="1"/>
    <n v="0"/>
    <n v="5"/>
    <n v="3"/>
    <n v="3"/>
    <n v="0"/>
    <n v="36"/>
    <n v="6"/>
    <n v="4"/>
    <n v="4"/>
    <n v="5395"/>
    <n v="2084"/>
    <n v="3311"/>
    <n v="0.79800000000000004"/>
    <n v="4689"/>
    <n v="69"/>
    <n v="0.72499999999999998"/>
    <n v="0.38600000000000001"/>
    <n v="5.5020999999999998E-4"/>
    <n v="0.99944999999999995"/>
    <s v="6.879690683215452"/>
    <s v="10.141455028202504"/>
    <s v="27.80216788664915"/>
    <s v="15.47704933408814"/>
    <n v="709137558"/>
    <x v="0"/>
    <n v="3.2101269999999999E-4"/>
    <x v="0"/>
  </r>
  <r>
    <n v="62"/>
    <n v="1"/>
    <n v="0"/>
    <n v="3"/>
    <n v="1"/>
    <n v="2"/>
    <n v="0"/>
    <n v="56"/>
    <n v="3"/>
    <n v="3"/>
    <n v="2"/>
    <n v="8077"/>
    <n v="0"/>
    <n v="8077"/>
    <n v="0.749"/>
    <n v="906"/>
    <n v="16"/>
    <n v="0.33300000000000002"/>
    <n v="0"/>
    <n v="0.99338000000000004"/>
    <n v="6.62E-3"/>
    <s v="18.327481804639696"/>
    <s v="19.347030378325734"/>
    <s v="59.01928698820121"/>
    <s v="5.218755841129864"/>
    <n v="794977533"/>
    <x v="1"/>
    <n v="0.99870884000000004"/>
    <x v="1"/>
  </r>
  <r>
    <n v="52"/>
    <n v="0"/>
    <n v="2"/>
    <n v="5"/>
    <n v="1"/>
    <n v="4"/>
    <n v="0"/>
    <n v="43"/>
    <n v="3"/>
    <n v="3"/>
    <n v="3"/>
    <n v="6897"/>
    <n v="640"/>
    <n v="6257"/>
    <n v="1.052"/>
    <n v="2781"/>
    <n v="57"/>
    <n v="0.83899999999999997"/>
    <n v="9.2999999999999999E-2"/>
    <n v="3.1104E-4"/>
    <n v="0.99968999999999997"/>
    <n v="9.1445849559379493"/>
    <s v="45.34233601996838"/>
    <n v="4.8238534143216203"/>
    <n v="1.61018369984229"/>
    <n v="719169783"/>
    <x v="0"/>
    <n v="8.9954154000000002E-4"/>
    <x v="0"/>
  </r>
  <r>
    <n v="51"/>
    <n v="1"/>
    <n v="2"/>
    <n v="6"/>
    <n v="2"/>
    <n v="2"/>
    <n v="0"/>
    <n v="42"/>
    <n v="3"/>
    <n v="3"/>
    <n v="2"/>
    <n v="13906"/>
    <n v="1430"/>
    <n v="12476"/>
    <n v="0.77200000000000002"/>
    <n v="3856"/>
    <n v="68"/>
    <n v="1.0609999999999999"/>
    <n v="0.10299999999999999"/>
    <n v="1.9771E-4"/>
    <n v="0.99980000000000002"/>
    <s v="0.3233724518152417"/>
    <s v="28.27847258101429"/>
    <n v="9.6559265691641993"/>
    <s v="0.3155077563906748"/>
    <n v="708491508"/>
    <x v="0"/>
    <n v="3.2101269999999999E-4"/>
    <x v="0"/>
  </r>
  <r>
    <n v="39"/>
    <n v="0"/>
    <n v="2"/>
    <n v="6"/>
    <n v="1"/>
    <n v="4"/>
    <n v="0"/>
    <n v="33"/>
    <n v="3"/>
    <n v="1"/>
    <n v="3"/>
    <n v="3251"/>
    <n v="1937"/>
    <n v="1314"/>
    <n v="0.68500000000000005"/>
    <n v="4284"/>
    <n v="85"/>
    <n v="0.80900000000000005"/>
    <n v="0.59599999999999997"/>
    <n v="1.0183000000000001E-4"/>
    <n v="0.99990000000000001"/>
    <s v="21.799583583155837"/>
    <n v="59.769282400515202"/>
    <s v="89.59844063582116"/>
    <s v="1.463536998287649"/>
    <n v="768814983"/>
    <x v="0"/>
    <n v="3.2101269999999999E-4"/>
    <x v="0"/>
  </r>
  <r>
    <n v="51"/>
    <n v="1"/>
    <n v="3"/>
    <n v="2"/>
    <n v="0"/>
    <n v="1"/>
    <n v="0"/>
    <n v="41"/>
    <n v="5"/>
    <n v="3"/>
    <n v="4"/>
    <n v="7570"/>
    <n v="1388"/>
    <n v="6182"/>
    <n v="0.90900000000000003"/>
    <n v="3849"/>
    <n v="70"/>
    <n v="0.59099999999999997"/>
    <n v="0.183"/>
    <n v="5.3543000000000004E-4"/>
    <n v="0.99946000000000002"/>
    <n v="46.0750177307184"/>
    <s v="18.354429845731588"/>
    <s v="14.309613654153084"/>
    <s v="0.9207293536063488"/>
    <n v="772449858"/>
    <x v="0"/>
    <n v="3.4605444000000002E-4"/>
    <x v="0"/>
  </r>
  <r>
    <n v="45"/>
    <n v="0"/>
    <n v="3"/>
    <n v="1"/>
    <n v="2"/>
    <n v="4"/>
    <n v="0"/>
    <n v="27"/>
    <n v="1"/>
    <n v="6"/>
    <n v="3"/>
    <n v="2917"/>
    <n v="1523"/>
    <n v="1394"/>
    <n v="0.72399999999999998"/>
    <n v="4878"/>
    <n v="92"/>
    <n v="0.80400000000000005"/>
    <n v="0.52200000000000002"/>
    <n v="3.5857E-4"/>
    <n v="0.99963999999999997"/>
    <s v="18.18272962495284"/>
    <s v="84.47637920125693"/>
    <s v="5.070708376702245"/>
    <s v="6.034439994355053"/>
    <n v="715522233"/>
    <x v="0"/>
    <n v="3.2101269999999999E-4"/>
    <x v="0"/>
  </r>
  <r>
    <n v="54"/>
    <n v="1"/>
    <n v="2"/>
    <n v="4"/>
    <n v="2"/>
    <n v="0"/>
    <n v="0"/>
    <n v="45"/>
    <n v="3"/>
    <n v="1"/>
    <n v="4"/>
    <n v="5597"/>
    <n v="0"/>
    <n v="5597"/>
    <n v="0.59599999999999997"/>
    <n v="4844"/>
    <n v="58"/>
    <n v="0.871"/>
    <n v="0"/>
    <n v="1.8594999999999999E-4"/>
    <n v="0.99980999999999998"/>
    <s v="4.433641193352874"/>
    <s v="0.1862484163337089"/>
    <s v="28.35926042782316"/>
    <s v="2.1453039113779413"/>
    <n v="721388283"/>
    <x v="0"/>
    <n v="9.931362E-4"/>
    <x v="0"/>
  </r>
  <r>
    <n v="52"/>
    <n v="0"/>
    <n v="1"/>
    <n v="6"/>
    <n v="1"/>
    <n v="1"/>
    <n v="0"/>
    <n v="45"/>
    <n v="5"/>
    <n v="1"/>
    <n v="1"/>
    <n v="1611"/>
    <n v="938"/>
    <n v="673"/>
    <n v="0.60099999999999998"/>
    <n v="4087"/>
    <n v="86"/>
    <n v="0.91100000000000003"/>
    <n v="0.58199999999999996"/>
    <s v="3.4268e-05"/>
    <n v="0.99997000000000003"/>
    <s v="3.504557538520288"/>
    <s v="72.93436567991505"/>
    <s v="60.42844798932112"/>
    <s v="8.722104658623396"/>
    <n v="737967708"/>
    <x v="0"/>
    <n v="3.9522952000000002E-4"/>
    <x v="0"/>
  </r>
  <r>
    <n v="54"/>
    <n v="0"/>
    <n v="3"/>
    <n v="2"/>
    <n v="1"/>
    <n v="5"/>
    <n v="0"/>
    <n v="36"/>
    <n v="6"/>
    <n v="1"/>
    <n v="2"/>
    <n v="4928"/>
    <n v="1805"/>
    <n v="3123"/>
    <n v="0.64100000000000001"/>
    <n v="4767"/>
    <n v="90"/>
    <n v="0.69799999999999995"/>
    <n v="0.36599999999999999"/>
    <s v="5.7151e-05"/>
    <n v="0.99994000000000005"/>
    <s v="5.607222284378928"/>
    <s v="22.06638384615342"/>
    <s v="14.671585042753406"/>
    <s v="0.7485107878326884"/>
    <n v="712234308"/>
    <x v="0"/>
    <n v="3.2101269999999999E-4"/>
    <x v="0"/>
  </r>
  <r>
    <n v="50"/>
    <n v="1"/>
    <n v="3"/>
    <n v="5"/>
    <n v="2"/>
    <n v="3"/>
    <n v="0"/>
    <n v="38"/>
    <n v="6"/>
    <n v="2"/>
    <n v="0"/>
    <n v="9810"/>
    <n v="1838"/>
    <n v="7972"/>
    <n v="0.66100000000000003"/>
    <n v="2247"/>
    <n v="41"/>
    <n v="0.64"/>
    <n v="0.187"/>
    <s v="4.4796e-05"/>
    <n v="0.99995999999999996"/>
    <s v="25.573627173478943"/>
    <s v="47.29319324097318"/>
    <n v="50.738343793724901"/>
    <s v="1.1377108139000374"/>
    <n v="710521383"/>
    <x v="0"/>
    <n v="1.3267322E-3"/>
    <x v="0"/>
  </r>
  <r>
    <n v="43"/>
    <n v="1"/>
    <n v="3"/>
    <n v="2"/>
    <n v="1"/>
    <n v="0"/>
    <n v="0"/>
    <n v="33"/>
    <n v="3"/>
    <n v="1"/>
    <n v="3"/>
    <n v="34516"/>
    <n v="2129"/>
    <n v="32387"/>
    <n v="0.58699999999999997"/>
    <n v="1463"/>
    <n v="38"/>
    <n v="0.58299999999999996"/>
    <n v="6.2E-2"/>
    <s v="9.6126e-05"/>
    <n v="0.99990000000000001"/>
    <s v="22.99183820721321"/>
    <s v="8.123587617724379"/>
    <n v="9.6484519282866597"/>
    <s v="17.381521364814187"/>
    <n v="712797258"/>
    <x v="0"/>
    <n v="1.2135226000000001E-3"/>
    <x v="0"/>
  </r>
  <r>
    <n v="48"/>
    <n v="1"/>
    <n v="2"/>
    <n v="3"/>
    <n v="1"/>
    <n v="0"/>
    <n v="0"/>
    <n v="36"/>
    <n v="6"/>
    <n v="5"/>
    <n v="2"/>
    <n v="29963"/>
    <n v="2094"/>
    <n v="27869"/>
    <n v="0.64800000000000002"/>
    <n v="1205"/>
    <n v="28"/>
    <n v="0.86699999999999999"/>
    <n v="7.0000000000000007E-2"/>
    <n v="1.953E-4"/>
    <n v="0.99980000000000002"/>
    <s v="13.65896819053452"/>
    <s v="34.97175858684636"/>
    <s v="43.140229216762506"/>
    <s v="1.3296918878556008"/>
    <n v="715192308"/>
    <x v="0"/>
    <n v="1.0985557E-3"/>
    <x v="0"/>
  </r>
  <r>
    <n v="52"/>
    <n v="1"/>
    <n v="2"/>
    <n v="3"/>
    <n v="2"/>
    <n v="2"/>
    <n v="1"/>
    <n v="39"/>
    <n v="4"/>
    <n v="1"/>
    <n v="1"/>
    <n v="34516"/>
    <n v="1882"/>
    <n v="32634"/>
    <n v="0.74299999999999999"/>
    <n v="14738"/>
    <n v="116"/>
    <n v="0.75800000000000001"/>
    <n v="5.5E-2"/>
    <s v="3.72e-05"/>
    <n v="0.99995999999999996"/>
    <s v="2.612833000995212"/>
    <n v="11.801297639702501"/>
    <s v="63.35253021139941"/>
    <s v="5.884370799735455"/>
    <n v="716933283"/>
    <x v="0"/>
    <n v="3.8573547000000003E-4"/>
    <x v="0"/>
  </r>
  <r>
    <n v="39"/>
    <n v="0"/>
    <n v="2"/>
    <n v="1"/>
    <n v="0"/>
    <n v="4"/>
    <n v="0"/>
    <n v="32"/>
    <n v="1"/>
    <n v="2"/>
    <n v="2"/>
    <n v="3554"/>
    <n v="747"/>
    <n v="2807"/>
    <n v="0.621"/>
    <n v="5152"/>
    <n v="90"/>
    <n v="0.76500000000000001"/>
    <n v="0.21"/>
    <n v="1.6470999999999999E-4"/>
    <n v="0.99983999999999995"/>
    <s v="5.811893795621447"/>
    <s v="27.03526553429996"/>
    <s v="9.020250411909815"/>
    <s v="22.30859769158905"/>
    <n v="720593583"/>
    <x v="0"/>
    <n v="5.4489190000000002E-4"/>
    <x v="0"/>
  </r>
  <r>
    <n v="36"/>
    <n v="1"/>
    <n v="3"/>
    <n v="5"/>
    <n v="1"/>
    <n v="1"/>
    <n v="0"/>
    <n v="25"/>
    <n v="6"/>
    <n v="2"/>
    <n v="4"/>
    <n v="3645"/>
    <n v="2517"/>
    <n v="1128"/>
    <n v="0.749"/>
    <n v="4142"/>
    <n v="74"/>
    <n v="0.64400000000000002"/>
    <n v="0.69099999999999995"/>
    <n v="3.4841000000000001E-4"/>
    <n v="0.99965000000000004"/>
    <s v="23.304956031796863"/>
    <s v="112.68213173001377"/>
    <s v="39.40576300479741"/>
    <s v="13.88730446243725"/>
    <n v="779210283"/>
    <x v="0"/>
    <n v="3.5570623000000002E-4"/>
    <x v="0"/>
  </r>
  <r>
    <n v="44"/>
    <n v="0"/>
    <n v="2"/>
    <n v="2"/>
    <n v="2"/>
    <n v="4"/>
    <n v="0"/>
    <n v="36"/>
    <n v="5"/>
    <n v="2"/>
    <n v="4"/>
    <n v="1438.3"/>
    <n v="0"/>
    <n v="1438.3"/>
    <n v="0.42099999999999999"/>
    <n v="1944"/>
    <n v="36"/>
    <n v="0.5"/>
    <n v="0"/>
    <n v="0.99695"/>
    <n v="3.0518899999999998E-3"/>
    <s v="11.727271417390757"/>
    <s v="30.156587775029383"/>
    <s v="34.06484038358874"/>
    <s v="27.609461641002248"/>
    <n v="709495833"/>
    <x v="1"/>
    <n v="0.99828760000000005"/>
    <x v="1"/>
  </r>
  <r>
    <n v="46"/>
    <n v="0"/>
    <n v="4"/>
    <n v="2"/>
    <n v="2"/>
    <n v="4"/>
    <n v="0"/>
    <n v="38"/>
    <n v="6"/>
    <n v="2"/>
    <n v="2"/>
    <n v="2671"/>
    <n v="1713"/>
    <n v="958"/>
    <n v="0.73199999999999998"/>
    <n v="4519"/>
    <n v="79"/>
    <n v="0.79500000000000004"/>
    <n v="0.64100000000000001"/>
    <n v="1.1937E-4"/>
    <n v="0.99987999999999999"/>
    <s v="12.539735638651717"/>
    <n v="16.847097394478801"/>
    <s v="40.19975039340599"/>
    <s v="27.32374095598577"/>
    <n v="720777558"/>
    <x v="0"/>
    <n v="3.2101269999999999E-4"/>
    <x v="0"/>
  </r>
  <r>
    <n v="43"/>
    <n v="0"/>
    <n v="4"/>
    <n v="2"/>
    <n v="3"/>
    <n v="1"/>
    <n v="0"/>
    <n v="31"/>
    <n v="2"/>
    <n v="3"/>
    <n v="3"/>
    <n v="4091"/>
    <n v="1108"/>
    <n v="2983"/>
    <n v="0.77400000000000002"/>
    <n v="5244"/>
    <n v="87"/>
    <n v="0.70599999999999996"/>
    <n v="0.27100000000000002"/>
    <n v="3.1725999999999998E-4"/>
    <n v="0.99968000000000001"/>
    <s v="19.30661613494537"/>
    <s v="36.12285290110994"/>
    <s v="30.109418848043948"/>
    <s v="3.4485889786660584"/>
    <n v="789151983"/>
    <x v="0"/>
    <n v="3.2101269999999999E-4"/>
    <x v="0"/>
  </r>
  <r>
    <n v="28"/>
    <n v="1"/>
    <n v="0"/>
    <n v="2"/>
    <n v="2"/>
    <n v="4"/>
    <n v="0"/>
    <n v="36"/>
    <n v="4"/>
    <n v="2"/>
    <n v="4"/>
    <n v="1707"/>
    <n v="1191"/>
    <n v="516"/>
    <n v="0.66900000000000004"/>
    <n v="2950"/>
    <n v="87"/>
    <n v="0.97699999999999998"/>
    <n v="0.69799999999999995"/>
    <n v="2.8024000000000001E-4"/>
    <n v="0.99972000000000005"/>
    <s v="15.62729619971573"/>
    <n v="28.088692552246801"/>
    <s v="32.27802745997121"/>
    <s v="0.4666333379741426"/>
    <n v="717511533"/>
    <x v="0"/>
    <n v="3.6685002999999999E-4"/>
    <x v="0"/>
  </r>
  <r>
    <n v="58"/>
    <n v="1"/>
    <n v="3"/>
    <n v="3"/>
    <n v="1"/>
    <n v="0"/>
    <n v="0"/>
    <n v="50"/>
    <n v="6"/>
    <n v="2"/>
    <n v="4"/>
    <n v="12698"/>
    <n v="2361"/>
    <n v="10337"/>
    <n v="0.79900000000000004"/>
    <n v="4425"/>
    <n v="75"/>
    <n v="0.63"/>
    <n v="0.186"/>
    <n v="3.2941999999999997E-4"/>
    <n v="0.99966999999999995"/>
    <s v="11.910933019320156"/>
    <s v="95.14460625516612"/>
    <n v="59.9708217546805"/>
    <s v="11.561137896005278"/>
    <n v="716630508"/>
    <x v="0"/>
    <n v="3.2914013999999999E-4"/>
    <x v="0"/>
  </r>
  <r>
    <n v="45"/>
    <n v="0"/>
    <n v="4"/>
    <n v="0"/>
    <n v="2"/>
    <n v="1"/>
    <n v="1"/>
    <n v="30"/>
    <n v="1"/>
    <n v="2"/>
    <n v="1"/>
    <n v="23051"/>
    <n v="1836"/>
    <n v="21215"/>
    <n v="0.74299999999999999"/>
    <n v="14393"/>
    <n v="107"/>
    <n v="0.81399999999999995"/>
    <n v="0.08"/>
    <s v="8.0634e-05"/>
    <n v="0.99992000000000003"/>
    <n v="3.6759261528223202"/>
    <s v="13.633264195566417"/>
    <n v="78.045348118021494"/>
    <s v="12.555193160982752"/>
    <n v="788671608"/>
    <x v="0"/>
    <n v="3.6583058E-4"/>
    <x v="0"/>
  </r>
  <r>
    <n v="46"/>
    <n v="1"/>
    <n v="3"/>
    <n v="0"/>
    <n v="1"/>
    <n v="3"/>
    <n v="0"/>
    <n v="32"/>
    <n v="4"/>
    <n v="2"/>
    <n v="5"/>
    <n v="20860"/>
    <n v="1496"/>
    <n v="19364"/>
    <n v="0.81599999999999995"/>
    <n v="3435"/>
    <n v="56"/>
    <n v="0.69699999999999995"/>
    <n v="7.1999999999999995E-2"/>
    <n v="5.6997999999999999E-4"/>
    <n v="0.99943000000000004"/>
    <s v="21.995359890002725"/>
    <n v="75.712400286676797"/>
    <s v="87.04607260871595"/>
    <s v="19.20814152423568"/>
    <n v="778952058"/>
    <x v="0"/>
    <n v="5.3826099999999995E-4"/>
    <x v="0"/>
  </r>
  <r>
    <n v="34"/>
    <n v="0"/>
    <n v="1"/>
    <n v="2"/>
    <n v="1"/>
    <n v="1"/>
    <n v="0"/>
    <n v="27"/>
    <n v="3"/>
    <n v="1"/>
    <n v="3"/>
    <n v="2173"/>
    <n v="0"/>
    <n v="2173"/>
    <n v="0.92200000000000004"/>
    <n v="4392"/>
    <n v="83"/>
    <n v="0.76600000000000001"/>
    <n v="0"/>
    <s v="8.6952e-05"/>
    <n v="0.99990999999999997"/>
    <s v="26.771334835825584"/>
    <s v="0.5600347580618094"/>
    <s v="15.482941027937578"/>
    <s v="2.704561768369385"/>
    <n v="758653833"/>
    <x v="0"/>
    <n v="7.1297199999999998E-4"/>
    <x v="0"/>
  </r>
  <r>
    <n v="52"/>
    <n v="1"/>
    <n v="2"/>
    <n v="4"/>
    <n v="1"/>
    <n v="3"/>
    <n v="0"/>
    <n v="36"/>
    <n v="6"/>
    <n v="4"/>
    <n v="1"/>
    <n v="1981"/>
    <n v="1448"/>
    <n v="533"/>
    <n v="0.72299999999999998"/>
    <n v="4639"/>
    <n v="61"/>
    <n v="0.74299999999999999"/>
    <n v="0.73099999999999998"/>
    <n v="1.5426E-4"/>
    <n v="0.99985000000000002"/>
    <n v="8.4472729393094195"/>
    <s v="31.194973386466124"/>
    <s v="74.17453130870659"/>
    <s v="1.0991182524602692"/>
    <n v="716520033"/>
    <x v="0"/>
    <n v="3.479205E-4"/>
    <x v="0"/>
  </r>
  <r>
    <n v="49"/>
    <n v="1"/>
    <n v="4"/>
    <n v="0"/>
    <n v="0"/>
    <n v="1"/>
    <n v="0"/>
    <n v="43"/>
    <n v="3"/>
    <n v="2"/>
    <n v="3"/>
    <n v="1922"/>
    <n v="710"/>
    <n v="1212"/>
    <n v="0.95099999999999996"/>
    <n v="2920"/>
    <n v="46"/>
    <n v="1.421"/>
    <n v="0.36899999999999999"/>
    <n v="1.9519000000000001E-4"/>
    <n v="0.99980000000000002"/>
    <s v="24.44706285026596"/>
    <s v="7.310567409563894"/>
    <s v="19.489633392696504"/>
    <s v="2.5336315535421514"/>
    <n v="801373833"/>
    <x v="0"/>
    <n v="2.0903314000000001E-3"/>
    <x v="0"/>
  </r>
  <r>
    <n v="51"/>
    <n v="0"/>
    <n v="2"/>
    <n v="2"/>
    <n v="2"/>
    <n v="5"/>
    <n v="2"/>
    <n v="32"/>
    <n v="2"/>
    <n v="3"/>
    <n v="3"/>
    <n v="34516"/>
    <n v="531"/>
    <n v="33985"/>
    <n v="0.98"/>
    <n v="5418"/>
    <n v="65"/>
    <n v="0.71099999999999997"/>
    <n v="1.4999999999999999E-2"/>
    <n v="0.99809999999999999"/>
    <n v="1.8985499999999999E-3"/>
    <s v="22.627440991940684"/>
    <s v="18.64758815090846"/>
    <n v="94.489604355037301"/>
    <s v="2.506420330560954"/>
    <n v="714190983"/>
    <x v="1"/>
    <n v="0.99471056000000002"/>
    <x v="1"/>
  </r>
  <r>
    <n v="50"/>
    <n v="1"/>
    <n v="2"/>
    <n v="3"/>
    <n v="3"/>
    <n v="2"/>
    <n v="0"/>
    <n v="41"/>
    <n v="6"/>
    <n v="2"/>
    <n v="2"/>
    <n v="3244"/>
    <n v="1762"/>
    <n v="1482"/>
    <n v="0.66100000000000003"/>
    <n v="1274"/>
    <n v="32"/>
    <n v="1"/>
    <n v="0.54300000000000004"/>
    <n v="1.1065000000000001E-4"/>
    <n v="0.99988999999999995"/>
    <s v="4.547808998238298"/>
    <s v="3.3027265960360466"/>
    <s v="5.539101099380057"/>
    <s v="1.6514202714192618"/>
    <n v="719428308"/>
    <x v="0"/>
    <n v="9.8706899999999992E-4"/>
    <x v="0"/>
  </r>
  <r>
    <n v="38"/>
    <n v="1"/>
    <n v="2"/>
    <n v="2"/>
    <n v="1"/>
    <n v="2"/>
    <n v="0"/>
    <n v="25"/>
    <n v="3"/>
    <n v="3"/>
    <n v="4"/>
    <n v="4800"/>
    <n v="1212"/>
    <n v="3588"/>
    <n v="1.254"/>
    <n v="2935"/>
    <n v="62"/>
    <n v="0.879"/>
    <n v="0.252"/>
    <n v="5.1599999999999997E-4"/>
    <n v="0.99948000000000004"/>
    <s v="4.753428036086146"/>
    <s v="42.41415505249667"/>
    <s v="6.985301824556238"/>
    <s v="17.87270514310888"/>
    <n v="720920058"/>
    <x v="0"/>
    <n v="3.8314000000000002E-4"/>
    <x v="0"/>
  </r>
  <r>
    <n v="55"/>
    <n v="1"/>
    <n v="2"/>
    <n v="5"/>
    <n v="0"/>
    <n v="2"/>
    <n v="0"/>
    <n v="49"/>
    <n v="4"/>
    <n v="5"/>
    <n v="3"/>
    <n v="10127"/>
    <n v="1873"/>
    <n v="8254"/>
    <n v="0.57299999999999995"/>
    <n v="1647"/>
    <n v="53"/>
    <n v="0.47199999999999998"/>
    <n v="0.185"/>
    <n v="3.4739999999999999E-4"/>
    <n v="0.99965000000000004"/>
    <s v="10.339417072907729"/>
    <s v="28.77241115980265"/>
    <s v="11.354344088438424"/>
    <s v="3.4187462449010626"/>
    <n v="783387783"/>
    <x v="0"/>
    <n v="7.9671940000000001E-4"/>
    <x v="0"/>
  </r>
  <r>
    <n v="54"/>
    <n v="1"/>
    <n v="1"/>
    <n v="0"/>
    <n v="2"/>
    <n v="0"/>
    <n v="0"/>
    <n v="37"/>
    <n v="6"/>
    <n v="2"/>
    <n v="3"/>
    <n v="9090"/>
    <n v="2517"/>
    <n v="6573"/>
    <n v="0.66100000000000003"/>
    <n v="2239"/>
    <n v="43"/>
    <n v="0.72"/>
    <n v="0.27700000000000002"/>
    <n v="0.99431000000000003"/>
    <n v="5.6899999999999997E-3"/>
    <s v="37.96678561245415"/>
    <s v="20.069725135068676"/>
    <s v="23.409958440921432"/>
    <s v="6.699220210511535"/>
    <n v="712307283"/>
    <x v="1"/>
    <n v="0.99523925999999996"/>
    <x v="1"/>
  </r>
  <r>
    <n v="26"/>
    <n v="1"/>
    <n v="0"/>
    <n v="2"/>
    <n v="2"/>
    <n v="2"/>
    <n v="0"/>
    <n v="13"/>
    <n v="3"/>
    <n v="3"/>
    <n v="3"/>
    <n v="7102"/>
    <n v="0"/>
    <n v="7102"/>
    <n v="0.53700000000000003"/>
    <n v="2411"/>
    <n v="41"/>
    <n v="0.28100000000000003"/>
    <n v="0"/>
    <n v="2.5960000000000002E-4"/>
    <n v="0.99973999999999996"/>
    <s v="11.161556365857995"/>
    <s v="1.4022747277411804"/>
    <s v="84.37031809278541"/>
    <s v="15.229367006597656"/>
    <n v="710633808"/>
    <x v="0"/>
    <n v="5.192126E-3"/>
    <x v="0"/>
  </r>
  <r>
    <n v="41"/>
    <n v="0"/>
    <n v="3"/>
    <n v="2"/>
    <n v="1"/>
    <n v="4"/>
    <n v="0"/>
    <n v="33"/>
    <n v="6"/>
    <n v="3"/>
    <n v="5"/>
    <n v="1438.3"/>
    <n v="0"/>
    <n v="1438.3"/>
    <n v="0.30499999999999999"/>
    <n v="1813"/>
    <n v="51"/>
    <n v="0.75900000000000001"/>
    <n v="0"/>
    <n v="0.99892000000000003"/>
    <n v="1.0774999999999999E-3"/>
    <s v="26.524670348839148"/>
    <s v="24.77709697862885"/>
    <n v="60.973797426624003"/>
    <s v="18.732477092184173"/>
    <n v="713679633"/>
    <x v="1"/>
    <n v="0.99666790000000005"/>
    <x v="1"/>
  </r>
  <r>
    <n v="41"/>
    <n v="1"/>
    <n v="2"/>
    <n v="2"/>
    <n v="3"/>
    <n v="2"/>
    <n v="3"/>
    <n v="36"/>
    <n v="6"/>
    <n v="2"/>
    <n v="0"/>
    <n v="27000"/>
    <n v="0"/>
    <n v="27000"/>
    <n v="0.61"/>
    <n v="1209"/>
    <n v="39"/>
    <n v="0.3"/>
    <n v="0"/>
    <s v="3.7937e-05"/>
    <n v="0.99995999999999996"/>
    <s v="47.12324337024899"/>
    <s v="4.340046146549308"/>
    <s v="51.79899856934479"/>
    <s v="11.845887079608394"/>
    <n v="709311633"/>
    <x v="0"/>
    <n v="4.459518E-3"/>
    <x v="0"/>
  </r>
  <r>
    <n v="57"/>
    <n v="0"/>
    <n v="2"/>
    <n v="0"/>
    <n v="1"/>
    <n v="4"/>
    <n v="0"/>
    <n v="44"/>
    <n v="6"/>
    <n v="3"/>
    <n v="2"/>
    <n v="3914"/>
    <n v="0"/>
    <n v="3914"/>
    <n v="0.52400000000000002"/>
    <n v="1964"/>
    <n v="54"/>
    <n v="0.8"/>
    <n v="0"/>
    <n v="1.7488000000000001E-4"/>
    <n v="0.99983"/>
    <s v="40.41871802154525"/>
    <s v="78.83240112815241"/>
    <s v="41.51519166738531"/>
    <s v="3.052642546675483"/>
    <n v="713030958"/>
    <x v="0"/>
    <n v="1.862259E-3"/>
    <x v="0"/>
  </r>
  <r>
    <n v="40"/>
    <n v="0"/>
    <n v="2"/>
    <n v="2"/>
    <n v="3"/>
    <n v="1"/>
    <n v="0"/>
    <n v="32"/>
    <n v="6"/>
    <n v="2"/>
    <n v="2"/>
    <n v="3097"/>
    <n v="2409"/>
    <n v="688"/>
    <n v="0.91200000000000003"/>
    <n v="4624"/>
    <n v="86"/>
    <n v="0.87"/>
    <n v="0.77800000000000002"/>
    <n v="1.1382E-4"/>
    <n v="0.99988999999999995"/>
    <s v="23.259556754856643"/>
    <s v="51.89459083496545"/>
    <s v="30.29858322060906"/>
    <s v="7.206301413440704"/>
    <n v="713648208"/>
    <x v="0"/>
    <n v="3.221314E-4"/>
    <x v="0"/>
  </r>
  <r>
    <n v="45"/>
    <n v="0"/>
    <n v="3"/>
    <n v="0"/>
    <n v="1"/>
    <n v="4"/>
    <n v="0"/>
    <n v="36"/>
    <n v="4"/>
    <n v="2"/>
    <n v="4"/>
    <n v="2330"/>
    <n v="2294"/>
    <n v="36"/>
    <n v="0.45600000000000002"/>
    <n v="2107"/>
    <n v="40"/>
    <n v="0.33300000000000002"/>
    <n v="0.98499999999999999"/>
    <n v="0.99697000000000002"/>
    <n v="3.0251900000000001E-3"/>
    <s v="1.188769988001201"/>
    <s v="14.139886189282311"/>
    <s v="26.951124596555093"/>
    <s v="11.95231487662882"/>
    <n v="712292133"/>
    <x v="1"/>
    <n v="0.99467503999999995"/>
    <x v="1"/>
  </r>
  <r>
    <n v="49"/>
    <n v="0"/>
    <n v="4"/>
    <n v="5"/>
    <n v="1"/>
    <n v="4"/>
    <n v="0"/>
    <n v="31"/>
    <n v="4"/>
    <n v="3"/>
    <n v="2"/>
    <n v="1567"/>
    <n v="0"/>
    <n v="1567"/>
    <n v="0.42399999999999999"/>
    <n v="2138"/>
    <n v="41"/>
    <n v="0.57699999999999996"/>
    <n v="0"/>
    <n v="0.99487000000000003"/>
    <n v="5.13E-3"/>
    <s v="19.69780012896413"/>
    <s v="32.700440449203505"/>
    <s v="19.84487677016748"/>
    <s v="5.037903612069394"/>
    <n v="714484008"/>
    <x v="1"/>
    <n v="0.99873226999999998"/>
    <x v="1"/>
  </r>
  <r>
    <n v="27"/>
    <n v="0"/>
    <n v="1"/>
    <n v="4"/>
    <n v="1"/>
    <n v="4"/>
    <n v="0"/>
    <n v="13"/>
    <n v="3"/>
    <n v="2"/>
    <n v="2"/>
    <n v="1438.3"/>
    <n v="990"/>
    <n v="448.3"/>
    <n v="0.71499999999999997"/>
    <n v="3855"/>
    <n v="73"/>
    <n v="1.147"/>
    <n v="0.68799999999999994"/>
    <n v="1.2570999999999999E-4"/>
    <n v="0.99987000000000004"/>
    <s v="41.49012989464117"/>
    <s v="11.71296857043289"/>
    <s v="96.12652523769196"/>
    <s v="27.16895255839192"/>
    <n v="770878458"/>
    <x v="0"/>
    <n v="3.2101269999999999E-4"/>
    <x v="0"/>
  </r>
  <r>
    <n v="52"/>
    <n v="0"/>
    <n v="1"/>
    <n v="6"/>
    <n v="2"/>
    <n v="4"/>
    <n v="0"/>
    <n v="43"/>
    <n v="6"/>
    <n v="2"/>
    <n v="1"/>
    <n v="1438.3"/>
    <n v="773"/>
    <n v="665.3"/>
    <n v="1.1379999999999999"/>
    <n v="4890"/>
    <n v="63"/>
    <n v="0.90900000000000003"/>
    <n v="0.53700000000000003"/>
    <s v="7.0819e-05"/>
    <n v="0.99992999999999999"/>
    <s v="9.930792550986432"/>
    <s v="25.78653046822177"/>
    <n v="49.1491119157875"/>
    <s v="20.33706918746423"/>
    <n v="713706258"/>
    <x v="0"/>
    <n v="5.5798993000000002E-4"/>
    <x v="0"/>
  </r>
  <r>
    <n v="62"/>
    <n v="0"/>
    <n v="0"/>
    <n v="3"/>
    <n v="2"/>
    <n v="4"/>
    <n v="0"/>
    <n v="50"/>
    <n v="3"/>
    <n v="3"/>
    <n v="3"/>
    <n v="3989"/>
    <n v="0"/>
    <n v="3989"/>
    <n v="0.997"/>
    <n v="4274"/>
    <n v="68"/>
    <n v="0.54500000000000004"/>
    <n v="0"/>
    <n v="2.5237000000000002E-4"/>
    <n v="0.99975000000000003"/>
    <s v="20.980780162037533"/>
    <s v="8.080738255449951"/>
    <s v="5.291628624279293"/>
    <s v="2.930971930620329"/>
    <n v="711326583"/>
    <x v="0"/>
    <n v="8.3752749999999997E-4"/>
    <x v="0"/>
  </r>
  <r>
    <n v="58"/>
    <n v="0"/>
    <n v="4"/>
    <n v="6"/>
    <n v="1"/>
    <n v="4"/>
    <n v="0"/>
    <n v="46"/>
    <n v="2"/>
    <n v="3"/>
    <n v="3"/>
    <n v="2536"/>
    <n v="0"/>
    <n v="2536"/>
    <n v="0.91700000000000004"/>
    <n v="901"/>
    <n v="35"/>
    <n v="0.52200000000000002"/>
    <n v="0"/>
    <n v="0.99714000000000003"/>
    <n v="2.8584499999999998E-3"/>
    <s v="16.304111746835538"/>
    <s v="5.544597493840982"/>
    <s v="34.36738941023779"/>
    <n v="6.1403339213168699"/>
    <n v="712159083"/>
    <x v="1"/>
    <n v="0.99877890000000003"/>
    <x v="1"/>
  </r>
  <r>
    <n v="55"/>
    <n v="1"/>
    <n v="2"/>
    <n v="2"/>
    <n v="2"/>
    <n v="0"/>
    <n v="0"/>
    <n v="47"/>
    <n v="2"/>
    <n v="3"/>
    <n v="1"/>
    <n v="16258"/>
    <n v="865"/>
    <n v="15393"/>
    <n v="0.623"/>
    <n v="3761"/>
    <n v="58"/>
    <n v="0.65700000000000003"/>
    <n v="5.2999999999999999E-2"/>
    <n v="1.0848E-4"/>
    <n v="0.99988999999999995"/>
    <s v="16.72876325111418"/>
    <s v="11.826468835751667"/>
    <s v="50.713486680374594"/>
    <s v="11.435879023381352"/>
    <n v="720326733"/>
    <x v="0"/>
    <n v="6.6671470000000002E-4"/>
    <x v="0"/>
  </r>
  <r>
    <n v="41"/>
    <n v="1"/>
    <n v="3"/>
    <n v="6"/>
    <n v="2"/>
    <n v="2"/>
    <n v="0"/>
    <n v="32"/>
    <n v="1"/>
    <n v="3"/>
    <n v="3"/>
    <n v="4697"/>
    <n v="1046"/>
    <n v="3651"/>
    <n v="0.313"/>
    <n v="1679"/>
    <n v="29"/>
    <n v="0.318"/>
    <n v="0.223"/>
    <n v="0.99711000000000005"/>
    <n v="2.8889200000000001E-3"/>
    <s v="24.300805312174905"/>
    <s v="17.967859645600555"/>
    <n v="25.031595826004601"/>
    <s v="3.205800187618576"/>
    <n v="750995508"/>
    <x v="1"/>
    <n v="0.99566540000000003"/>
    <x v="1"/>
  </r>
  <r>
    <n v="56"/>
    <n v="1"/>
    <n v="1"/>
    <n v="5"/>
    <n v="2"/>
    <n v="3"/>
    <n v="0"/>
    <n v="45"/>
    <n v="3"/>
    <n v="1"/>
    <n v="2"/>
    <n v="17628"/>
    <n v="1414"/>
    <n v="16214"/>
    <n v="0.60299999999999998"/>
    <n v="3991"/>
    <n v="76"/>
    <n v="0.61699999999999999"/>
    <n v="0.08"/>
    <s v="5.3155e-05"/>
    <n v="0.99995000000000001"/>
    <s v="83.26664635180367"/>
    <s v="1.524124275277684"/>
    <s v="70.00870986996998"/>
    <s v="14.410329122617846"/>
    <n v="789182358"/>
    <x v="0"/>
    <n v="3.4743935000000002E-4"/>
    <x v="0"/>
  </r>
  <r>
    <n v="53"/>
    <n v="0"/>
    <n v="3"/>
    <n v="6"/>
    <n v="1"/>
    <n v="4"/>
    <n v="0"/>
    <n v="48"/>
    <n v="5"/>
    <n v="1"/>
    <n v="2"/>
    <n v="1657"/>
    <n v="0"/>
    <n v="1657"/>
    <n v="0.66400000000000003"/>
    <n v="4068"/>
    <n v="73"/>
    <n v="0.622"/>
    <n v="0"/>
    <s v="6.282e-05"/>
    <n v="0.99994000000000005"/>
    <s v="15.909660552871658"/>
    <s v="34.16686524972785"/>
    <s v="3.4187976005114207"/>
    <s v="1.3684742953345694"/>
    <n v="804658833"/>
    <x v="0"/>
    <n v="7.1276520000000004E-4"/>
    <x v="0"/>
  </r>
  <r>
    <n v="33"/>
    <n v="0"/>
    <n v="3"/>
    <n v="2"/>
    <n v="2"/>
    <n v="1"/>
    <n v="0"/>
    <n v="36"/>
    <n v="6"/>
    <n v="1"/>
    <n v="2"/>
    <n v="8232"/>
    <n v="2259"/>
    <n v="5973"/>
    <n v="1.1579999999999999"/>
    <n v="2849"/>
    <n v="67"/>
    <n v="1.31"/>
    <n v="0.27400000000000002"/>
    <s v="5.7151e-05"/>
    <n v="0.99994000000000005"/>
    <s v="10.839737175667734"/>
    <s v="109.89270778296876"/>
    <s v="144.1666665026865"/>
    <s v="4.695733467752022"/>
    <n v="710982858"/>
    <x v="0"/>
    <n v="3.7709110000000001E-4"/>
    <x v="0"/>
  </r>
  <r>
    <n v="51"/>
    <n v="1"/>
    <n v="2"/>
    <n v="0"/>
    <n v="2"/>
    <n v="0"/>
    <n v="0"/>
    <n v="40"/>
    <n v="6"/>
    <n v="3"/>
    <n v="3"/>
    <n v="8706"/>
    <n v="868"/>
    <n v="7838"/>
    <n v="0.99099999999999999"/>
    <n v="3203"/>
    <n v="54"/>
    <n v="0.92900000000000005"/>
    <n v="0.1"/>
    <n v="2.9410999999999999E-4"/>
    <n v="0.99970999999999999"/>
    <s v="25.200186977153475"/>
    <s v="7.290001804020841"/>
    <s v="5.525140823374128"/>
    <s v="9.500116872983597"/>
    <n v="779974758"/>
    <x v="0"/>
    <n v="6.8741310000000003E-4"/>
    <x v="0"/>
  </r>
  <r>
    <n v="34"/>
    <n v="0"/>
    <n v="1"/>
    <n v="3"/>
    <n v="2"/>
    <n v="5"/>
    <n v="0"/>
    <n v="22"/>
    <n v="6"/>
    <n v="1"/>
    <n v="0"/>
    <n v="10253"/>
    <n v="1857"/>
    <n v="8396"/>
    <n v="1.1930000000000001"/>
    <n v="3042"/>
    <n v="66"/>
    <n v="0.94099999999999995"/>
    <n v="0.18099999999999999"/>
    <s v="1.8538e-05"/>
    <n v="0.99997999999999998"/>
    <s v="45.52033208801444"/>
    <s v="10.18096375503025"/>
    <s v="58.65237939935052"/>
    <s v="3.266894026186418"/>
    <n v="720411183"/>
    <x v="0"/>
    <n v="3.4479058E-4"/>
    <x v="0"/>
  </r>
  <r>
    <n v="52"/>
    <n v="1"/>
    <n v="3"/>
    <n v="3"/>
    <n v="2"/>
    <n v="3"/>
    <n v="0"/>
    <n v="41"/>
    <n v="6"/>
    <n v="3"/>
    <n v="3"/>
    <n v="4642"/>
    <n v="2413"/>
    <n v="2229"/>
    <n v="0.79700000000000004"/>
    <n v="3532"/>
    <n v="72"/>
    <n v="0.67400000000000004"/>
    <n v="0.52"/>
    <n v="3.0516000000000001E-4"/>
    <n v="0.99968999999999997"/>
    <s v="4.3014806063657165"/>
    <s v="18.143110805038997"/>
    <s v="36.26353227002074"/>
    <s v="21.869063753228417"/>
    <n v="721529583"/>
    <x v="0"/>
    <n v="3.2101269999999999E-4"/>
    <x v="0"/>
  </r>
  <r>
    <n v="41"/>
    <n v="0"/>
    <n v="3"/>
    <n v="6"/>
    <n v="2"/>
    <n v="1"/>
    <n v="0"/>
    <n v="36"/>
    <n v="3"/>
    <n v="2"/>
    <n v="4"/>
    <n v="5317"/>
    <n v="0"/>
    <n v="5317"/>
    <n v="0.69899999999999995"/>
    <n v="2003"/>
    <n v="29"/>
    <n v="0.318"/>
    <n v="0"/>
    <n v="0.99731999999999998"/>
    <n v="2.6766699999999999E-3"/>
    <s v="41.781680181935954"/>
    <s v="81.94766445546882"/>
    <s v="115.84225853296635"/>
    <s v="18.54127893568968"/>
    <n v="807593058"/>
    <x v="1"/>
    <n v="0.99833554000000002"/>
    <x v="1"/>
  </r>
  <r>
    <n v="63"/>
    <n v="1"/>
    <n v="1"/>
    <n v="2"/>
    <n v="1"/>
    <n v="1"/>
    <n v="0"/>
    <n v="56"/>
    <n v="2"/>
    <n v="1"/>
    <n v="2"/>
    <n v="2619"/>
    <n v="1779"/>
    <n v="840"/>
    <n v="1.2589999999999999"/>
    <n v="1450"/>
    <n v="37"/>
    <n v="0.94699999999999995"/>
    <n v="0.67900000000000005"/>
    <s v="5.1697e-05"/>
    <n v="0.99995000000000001"/>
    <s v="40.74907388552832"/>
    <s v="25.05800877006096"/>
    <s v="9.002145470335865"/>
    <s v="32.148506242005574"/>
    <n v="809164083"/>
    <x v="0"/>
    <n v="1.2280571000000001E-3"/>
    <x v="0"/>
  </r>
  <r>
    <n v="59"/>
    <n v="0"/>
    <n v="1"/>
    <n v="3"/>
    <n v="2"/>
    <n v="1"/>
    <n v="0"/>
    <n v="36"/>
    <n v="5"/>
    <n v="3"/>
    <n v="3"/>
    <n v="1665"/>
    <n v="0"/>
    <n v="1665"/>
    <n v="1.01"/>
    <n v="2748"/>
    <n v="40"/>
    <n v="0.33300000000000002"/>
    <n v="0"/>
    <n v="0.99639"/>
    <n v="3.6085800000000001E-3"/>
    <s v="34.04029989703338"/>
    <s v="17.299407734812426"/>
    <s v="76.59274321758845"/>
    <s v="21.64451265542901"/>
    <n v="710116833"/>
    <x v="1"/>
    <n v="0.99869054999999995"/>
    <x v="1"/>
  </r>
  <r>
    <n v="48"/>
    <n v="1"/>
    <n v="3"/>
    <n v="0"/>
    <n v="0"/>
    <n v="2"/>
    <n v="0"/>
    <n v="39"/>
    <n v="4"/>
    <n v="3"/>
    <n v="2"/>
    <n v="13233"/>
    <n v="1106"/>
    <n v="12127"/>
    <n v="0.88200000000000001"/>
    <n v="4288"/>
    <n v="47"/>
    <n v="0.621"/>
    <n v="8.4000000000000005E-2"/>
    <n v="1.8145999999999999E-4"/>
    <n v="0.99982000000000004"/>
    <s v="18.54272761559204"/>
    <s v="14.962682776206709"/>
    <s v="29.50166049151493"/>
    <s v="31.85249506510249"/>
    <n v="710353233"/>
    <x v="0"/>
    <n v="1.1107075E-3"/>
    <x v="0"/>
  </r>
  <r>
    <n v="43"/>
    <n v="1"/>
    <n v="2"/>
    <n v="1"/>
    <n v="2"/>
    <n v="3"/>
    <n v="0"/>
    <n v="36"/>
    <n v="3"/>
    <n v="3"/>
    <n v="3"/>
    <n v="10851"/>
    <n v="1101"/>
    <n v="9750"/>
    <n v="0.70199999999999996"/>
    <n v="3688"/>
    <n v="65"/>
    <n v="0.75700000000000001"/>
    <n v="0.10100000000000001"/>
    <n v="4.3772E-4"/>
    <n v="0.99956"/>
    <s v="5.213124190279099"/>
    <s v="13.356528276442535"/>
    <s v="19.09996463295085"/>
    <s v="3.6785437100620726"/>
    <n v="714829683"/>
    <x v="0"/>
    <n v="3.2890364000000001E-4"/>
    <x v="0"/>
  </r>
  <r>
    <n v="46"/>
    <n v="0"/>
    <n v="3"/>
    <n v="0"/>
    <n v="1"/>
    <n v="5"/>
    <n v="0"/>
    <n v="40"/>
    <n v="3"/>
    <n v="3"/>
    <n v="3"/>
    <n v="10600"/>
    <n v="0"/>
    <n v="10600"/>
    <n v="0.77700000000000002"/>
    <n v="4697"/>
    <n v="67"/>
    <n v="0.52300000000000002"/>
    <n v="0"/>
    <n v="3.0519E-4"/>
    <n v="0.99968999999999997"/>
    <s v="70.37007470426661"/>
    <s v="26.357110115212908"/>
    <s v="68.71779169597806"/>
    <n v="3.1241380582710798"/>
    <n v="803805483"/>
    <x v="0"/>
    <n v="7.9661230000000003E-4"/>
    <x v="0"/>
  </r>
  <r>
    <n v="51"/>
    <n v="0"/>
    <n v="0"/>
    <n v="1"/>
    <n v="1"/>
    <n v="5"/>
    <n v="0"/>
    <n v="46"/>
    <n v="1"/>
    <n v="3"/>
    <n v="3"/>
    <n v="13623"/>
    <n v="1432"/>
    <n v="12191"/>
    <n v="0.59399999999999997"/>
    <n v="4534"/>
    <n v="83"/>
    <n v="0.88600000000000001"/>
    <n v="0.105"/>
    <n v="3.7564E-4"/>
    <n v="0.99961999999999995"/>
    <s v="6.411354199086587"/>
    <s v="23.37015283751431"/>
    <s v="5.194674733931054"/>
    <s v="8.150237043940836"/>
    <n v="806415183"/>
    <x v="0"/>
    <n v="3.2101269999999999E-4"/>
    <x v="0"/>
  </r>
  <r>
    <n v="57"/>
    <n v="1"/>
    <n v="4"/>
    <n v="5"/>
    <n v="1"/>
    <n v="0"/>
    <n v="0"/>
    <n v="38"/>
    <n v="6"/>
    <n v="6"/>
    <n v="2"/>
    <n v="19802"/>
    <n v="1961"/>
    <n v="17841"/>
    <n v="1.125"/>
    <n v="2244"/>
    <n v="58"/>
    <n v="0.70599999999999996"/>
    <n v="9.9000000000000005E-2"/>
    <n v="1.5311E-4"/>
    <n v="0.99985000000000002"/>
    <s v="5.517971484966505"/>
    <s v="12.912023509742015"/>
    <s v="31.85201829573873"/>
    <s v="10.994825751419285"/>
    <n v="709040508"/>
    <x v="0"/>
    <n v="4.6407765999999999E-4"/>
    <x v="0"/>
  </r>
  <r>
    <n v="51"/>
    <n v="1"/>
    <n v="2"/>
    <n v="3"/>
    <n v="1"/>
    <n v="3"/>
    <n v="0"/>
    <n v="41"/>
    <n v="5"/>
    <n v="2"/>
    <n v="3"/>
    <n v="14902"/>
    <n v="0"/>
    <n v="14902"/>
    <n v="0.312"/>
    <n v="2038"/>
    <n v="39"/>
    <n v="0.625"/>
    <n v="0"/>
    <n v="0.99465999999999999"/>
    <n v="5.3400000000000001E-3"/>
    <s v="26.317353849239936"/>
    <s v="42.13390058862665"/>
    <s v="15.759404538429989"/>
    <n v="7.6177689726974798"/>
    <n v="721126833"/>
    <x v="1"/>
    <n v="0.99850490000000003"/>
    <x v="1"/>
  </r>
  <r>
    <n v="46"/>
    <n v="0"/>
    <n v="3"/>
    <n v="1"/>
    <n v="2"/>
    <n v="4"/>
    <n v="1"/>
    <n v="36"/>
    <n v="1"/>
    <n v="3"/>
    <n v="5"/>
    <n v="15164"/>
    <n v="532"/>
    <n v="14632"/>
    <n v="0.85799999999999998"/>
    <n v="8356"/>
    <n v="68"/>
    <n v="0.47799999999999998"/>
    <n v="3.5000000000000003E-2"/>
    <n v="0.99934999999999996"/>
    <n v="6.4654000000000003E-4"/>
    <s v="18.41570563099054"/>
    <s v="13.493854592990012"/>
    <s v="55.96277726879796"/>
    <s v="4.795454958929509"/>
    <n v="712509108"/>
    <x v="1"/>
    <n v="0.99269039999999997"/>
    <x v="1"/>
  </r>
  <r>
    <n v="57"/>
    <n v="1"/>
    <n v="2"/>
    <n v="5"/>
    <n v="1"/>
    <n v="2"/>
    <n v="0"/>
    <n v="47"/>
    <n v="4"/>
    <n v="4"/>
    <n v="1"/>
    <n v="5100"/>
    <n v="1970"/>
    <n v="3130"/>
    <n v="0.371"/>
    <n v="1032"/>
    <n v="26"/>
    <n v="0.36799999999999999"/>
    <n v="0.38600000000000001"/>
    <n v="1.3479E-4"/>
    <n v="0.99987000000000004"/>
    <s v="1.1910356442697667"/>
    <s v="24.01993618244971"/>
    <s v="16.959364993255132"/>
    <s v="11.600195760999643"/>
    <n v="711827958"/>
    <x v="0"/>
    <n v="1.2949685E-3"/>
    <x v="0"/>
  </r>
  <r>
    <n v="40"/>
    <n v="0"/>
    <n v="2"/>
    <n v="5"/>
    <n v="1"/>
    <n v="4"/>
    <n v="0"/>
    <n v="26"/>
    <n v="3"/>
    <n v="2"/>
    <n v="1"/>
    <n v="2708"/>
    <n v="0"/>
    <n v="2708"/>
    <n v="0.57199999999999995"/>
    <n v="4277"/>
    <n v="90"/>
    <n v="0.63600000000000001"/>
    <n v="0"/>
    <s v="7.0576e-05"/>
    <n v="0.99992999999999999"/>
    <s v="2.3322865982919434"/>
    <s v="26.522019233323952"/>
    <s v="4.331591033957884"/>
    <s v="16.880535660270105"/>
    <n v="713610933"/>
    <x v="0"/>
    <n v="7.1276520000000004E-4"/>
    <x v="0"/>
  </r>
  <r>
    <n v="42"/>
    <n v="1"/>
    <n v="1"/>
    <n v="3"/>
    <n v="1"/>
    <n v="1"/>
    <n v="0"/>
    <n v="32"/>
    <n v="4"/>
    <n v="2"/>
    <n v="2"/>
    <n v="2807"/>
    <n v="1845"/>
    <n v="962"/>
    <n v="1.0269999999999999"/>
    <n v="1346"/>
    <n v="26"/>
    <n v="1"/>
    <n v="0.65700000000000003"/>
    <n v="1.0386E-4"/>
    <n v="0.99990000000000001"/>
    <s v="13.787209066894215"/>
    <s v="3.132361837478954"/>
    <s v="50.63770781859975"/>
    <s v="6.082681590809141"/>
    <n v="789370383"/>
    <x v="0"/>
    <n v="9.8706899999999992E-4"/>
    <x v="0"/>
  </r>
  <r>
    <n v="49"/>
    <n v="0"/>
    <n v="4"/>
    <n v="6"/>
    <n v="2"/>
    <n v="4"/>
    <n v="3"/>
    <n v="37"/>
    <n v="1"/>
    <n v="2"/>
    <n v="2"/>
    <n v="10195"/>
    <n v="2389"/>
    <n v="7806"/>
    <n v="0.42699999999999999"/>
    <n v="1563"/>
    <n v="36"/>
    <n v="0.44"/>
    <n v="0.23400000000000001"/>
    <n v="0.99163999999999997"/>
    <n v="8.3599999999999994E-3"/>
    <s v="31.18816874845352"/>
    <s v="58.68778007989069"/>
    <s v="170.1655621951017"/>
    <s v="15.846624658999138"/>
    <n v="717477783"/>
    <x v="1"/>
    <n v="0.99578226000000003"/>
    <x v="1"/>
  </r>
  <r>
    <n v="58"/>
    <n v="1"/>
    <n v="2"/>
    <n v="2"/>
    <n v="1"/>
    <n v="4"/>
    <n v="0"/>
    <n v="48"/>
    <n v="4"/>
    <n v="1"/>
    <n v="0"/>
    <n v="2774"/>
    <n v="0"/>
    <n v="2774"/>
    <n v="0.72099999999999997"/>
    <n v="1258"/>
    <n v="33"/>
    <n v="0.435"/>
    <n v="0"/>
    <s v="2.0316e-05"/>
    <n v="0.99997999999999998"/>
    <s v="30.22831724728652"/>
    <s v="12.965063239693707"/>
    <s v="55.671696546764814"/>
    <s v="5.407791287334231"/>
    <n v="719883858"/>
    <x v="0"/>
    <n v="4.459518E-3"/>
    <x v="0"/>
  </r>
  <r>
    <n v="46"/>
    <n v="1"/>
    <n v="3"/>
    <n v="0"/>
    <n v="1"/>
    <n v="2"/>
    <n v="0"/>
    <n v="38"/>
    <n v="5"/>
    <n v="3"/>
    <n v="4"/>
    <n v="15483"/>
    <n v="1719"/>
    <n v="13764"/>
    <n v="0.68600000000000005"/>
    <n v="4678"/>
    <n v="80"/>
    <n v="0.50900000000000001"/>
    <n v="0.111"/>
    <n v="5.2057000000000004E-4"/>
    <n v="0.99948000000000004"/>
    <s v="16.176434993955645"/>
    <s v="38.55034316908183"/>
    <s v="54.22638747634335"/>
    <s v="8.829989644361147"/>
    <n v="788275083"/>
    <x v="0"/>
    <n v="3.4439339999999999E-4"/>
    <x v="0"/>
  </r>
  <r>
    <n v="62"/>
    <n v="1"/>
    <n v="0"/>
    <n v="0"/>
    <n v="3"/>
    <n v="1"/>
    <n v="0"/>
    <n v="56"/>
    <n v="2"/>
    <n v="6"/>
    <n v="2"/>
    <n v="3477"/>
    <n v="0"/>
    <n v="3477"/>
    <n v="0.436"/>
    <n v="2113"/>
    <n v="40"/>
    <n v="0.73899999999999999"/>
    <n v="0"/>
    <n v="0.99163000000000001"/>
    <n v="8.3700000000000007E-3"/>
    <s v="48.51807073628196"/>
    <s v="78.71301098604586"/>
    <s v="70.01776660724876"/>
    <s v="20.449637531193897"/>
    <n v="803115258"/>
    <x v="1"/>
    <n v="0.9985098"/>
    <x v="1"/>
  </r>
  <r>
    <n v="44"/>
    <n v="0"/>
    <n v="4"/>
    <n v="0"/>
    <n v="2"/>
    <n v="1"/>
    <n v="3"/>
    <n v="39"/>
    <n v="2"/>
    <n v="1"/>
    <n v="3"/>
    <n v="17077"/>
    <n v="2179"/>
    <n v="14898"/>
    <n v="0.73799999999999999"/>
    <n v="7391"/>
    <n v="75"/>
    <n v="0.70499999999999996"/>
    <n v="0.128"/>
    <s v="8.5347e-05"/>
    <n v="0.99990999999999997"/>
    <s v="17.945375967477695"/>
    <s v="14.303683749383042"/>
    <s v="43.19962481285743"/>
    <s v="19.53346168442892"/>
    <n v="819975183"/>
    <x v="0"/>
    <n v="5.5846529999999995E-4"/>
    <x v="0"/>
  </r>
  <r>
    <n v="51"/>
    <n v="1"/>
    <n v="4"/>
    <n v="5"/>
    <n v="2"/>
    <n v="3"/>
    <n v="3"/>
    <n v="38"/>
    <n v="4"/>
    <n v="1"/>
    <n v="4"/>
    <n v="34516"/>
    <n v="1515"/>
    <n v="33001"/>
    <n v="0.59199999999999997"/>
    <n v="1293"/>
    <n v="32"/>
    <n v="0.6"/>
    <n v="4.3999999999999997E-2"/>
    <n v="1.5398000000000001E-4"/>
    <n v="0.99985000000000002"/>
    <s v="1.5500110782370289"/>
    <s v="9.107673100127382"/>
    <s v="44.04971909836378"/>
    <s v="10.869482777518169"/>
    <n v="788979258"/>
    <x v="0"/>
    <n v="1.1795807E-3"/>
    <x v="0"/>
  </r>
  <r>
    <n v="56"/>
    <n v="0"/>
    <n v="2"/>
    <n v="2"/>
    <n v="1"/>
    <n v="4"/>
    <n v="0"/>
    <n v="45"/>
    <n v="4"/>
    <n v="3"/>
    <n v="3"/>
    <n v="2665"/>
    <n v="1844"/>
    <n v="821"/>
    <n v="0.55400000000000005"/>
    <n v="1880"/>
    <n v="58"/>
    <n v="0.75800000000000001"/>
    <n v="0.69199999999999995"/>
    <n v="3.0250999999999998E-4"/>
    <n v="0.99970000000000003"/>
    <s v="18.615284942311018"/>
    <s v="62.902561889322506"/>
    <s v="53.91173492993926"/>
    <n v="14.6481730148446"/>
    <n v="787516908"/>
    <x v="0"/>
    <n v="4.4416414999999998E-4"/>
    <x v="0"/>
  </r>
  <r>
    <n v="38"/>
    <n v="1"/>
    <n v="3"/>
    <n v="3"/>
    <n v="1"/>
    <n v="1"/>
    <n v="0"/>
    <n v="32"/>
    <n v="6"/>
    <n v="6"/>
    <n v="2"/>
    <n v="8603"/>
    <n v="1046"/>
    <n v="7557"/>
    <n v="0.82599999999999996"/>
    <n v="1758"/>
    <n v="40"/>
    <n v="0.73899999999999999"/>
    <n v="0.122"/>
    <n v="1.4323999999999999E-4"/>
    <n v="0.99985999999999997"/>
    <s v="0.9624296969743312"/>
    <s v="7.171395979771565"/>
    <s v="73.66108672366829"/>
    <s v="2.999822252649431"/>
    <n v="789607983"/>
    <x v="0"/>
    <n v="1.0337284E-3"/>
    <x v="0"/>
  </r>
  <r>
    <n v="41"/>
    <n v="0"/>
    <n v="3"/>
    <n v="3"/>
    <n v="1"/>
    <n v="5"/>
    <n v="0"/>
    <n v="32"/>
    <n v="1"/>
    <n v="2"/>
    <n v="4"/>
    <n v="26229"/>
    <n v="0"/>
    <n v="26229"/>
    <n v="0.504"/>
    <n v="2077"/>
    <n v="46"/>
    <n v="0.64300000000000002"/>
    <n v="0"/>
    <n v="0.99697000000000002"/>
    <n v="3.0254600000000002E-3"/>
    <s v="2.343780982417649"/>
    <s v="21.49938884529235"/>
    <n v="0.64021908274228501"/>
    <n v="27.181513561008899"/>
    <n v="711334983"/>
    <x v="1"/>
    <n v="0.9981352"/>
    <x v="1"/>
  </r>
  <r>
    <n v="39"/>
    <n v="1"/>
    <n v="3"/>
    <n v="5"/>
    <n v="1"/>
    <n v="2"/>
    <n v="0"/>
    <n v="29"/>
    <n v="4"/>
    <n v="3"/>
    <n v="4"/>
    <n v="2187"/>
    <n v="0"/>
    <n v="2187"/>
    <n v="0.46700000000000003"/>
    <n v="2031"/>
    <n v="40"/>
    <n v="0.33300000000000002"/>
    <n v="0"/>
    <n v="0.99819000000000002"/>
    <n v="1.8121700000000001E-3"/>
    <s v="21.616820505272354"/>
    <s v="90.86803905948568"/>
    <s v="64.25853292458515"/>
    <s v="4.226051957711153"/>
    <n v="712829808"/>
    <x v="1"/>
    <n v="0.99837339999999997"/>
    <x v="1"/>
  </r>
  <r>
    <n v="47"/>
    <n v="0"/>
    <n v="1"/>
    <n v="6"/>
    <n v="2"/>
    <n v="4"/>
    <n v="0"/>
    <n v="36"/>
    <n v="2"/>
    <n v="3"/>
    <n v="3"/>
    <n v="7136"/>
    <n v="2345"/>
    <n v="4791"/>
    <n v="0.69899999999999995"/>
    <n v="7729"/>
    <n v="86"/>
    <n v="0.65400000000000003"/>
    <n v="0.32900000000000001"/>
    <n v="3.1210999999999999E-4"/>
    <n v="0.99968999999999997"/>
    <s v="21.16604673416433"/>
    <s v="12.637496103503333"/>
    <s v="1.191285260673581"/>
    <s v="1.2378427907345797"/>
    <n v="709871658"/>
    <x v="0"/>
    <n v="3.6856539999999998E-4"/>
    <x v="0"/>
  </r>
  <r>
    <n v="39"/>
    <n v="0"/>
    <n v="2"/>
    <n v="2"/>
    <n v="2"/>
    <n v="1"/>
    <n v="0"/>
    <n v="36"/>
    <n v="5"/>
    <n v="1"/>
    <n v="1"/>
    <n v="11314"/>
    <n v="0"/>
    <n v="11314"/>
    <n v="0.67400000000000004"/>
    <n v="3761"/>
    <n v="70"/>
    <n v="0.628"/>
    <n v="0"/>
    <s v="3.3214e-05"/>
    <n v="0.99997000000000003"/>
    <s v="68.57547947940859"/>
    <s v="59.72425007983828"/>
    <s v="99.96207982046352"/>
    <s v="3.3839086924437924"/>
    <n v="717877533"/>
    <x v="0"/>
    <n v="7.686247E-4"/>
    <x v="0"/>
  </r>
  <r>
    <n v="38"/>
    <n v="0"/>
    <n v="0"/>
    <n v="5"/>
    <n v="2"/>
    <n v="4"/>
    <n v="0"/>
    <n v="36"/>
    <n v="4"/>
    <n v="1"/>
    <n v="2"/>
    <n v="1679"/>
    <n v="0"/>
    <n v="1679"/>
    <n v="0.65800000000000003"/>
    <n v="4771"/>
    <n v="81"/>
    <n v="0.76100000000000001"/>
    <n v="0"/>
    <s v="4.8595e-05"/>
    <n v="0.99995000000000001"/>
    <s v="9.136419057375432"/>
    <s v="28.716187760117887"/>
    <s v="87.50712694380258"/>
    <s v="19.74870087274337"/>
    <n v="713732883"/>
    <x v="0"/>
    <n v="6.9517245999999998E-4"/>
    <x v="0"/>
  </r>
  <r>
    <n v="55"/>
    <n v="1"/>
    <n v="2"/>
    <n v="0"/>
    <n v="1"/>
    <n v="0"/>
    <n v="0"/>
    <n v="37"/>
    <n v="5"/>
    <n v="2"/>
    <n v="3"/>
    <n v="32641"/>
    <n v="1551"/>
    <n v="31090"/>
    <n v="0.48799999999999999"/>
    <n v="1327"/>
    <n v="30"/>
    <n v="0.30399999999999999"/>
    <n v="4.8000000000000001E-2"/>
    <n v="1.8611999999999999E-4"/>
    <n v="0.99980999999999998"/>
    <s v="22.134955916247797"/>
    <s v="53.14580474967725"/>
    <s v="36.15460808810816"/>
    <s v="13.77766594636422"/>
    <n v="708828258"/>
    <x v="0"/>
    <n v="1.3335287000000001E-3"/>
    <x v="0"/>
  </r>
  <r>
    <n v="31"/>
    <n v="0"/>
    <n v="1"/>
    <n v="2"/>
    <n v="2"/>
    <n v="4"/>
    <n v="0"/>
    <n v="13"/>
    <n v="1"/>
    <n v="1"/>
    <n v="3"/>
    <n v="4829"/>
    <n v="0"/>
    <n v="4829"/>
    <n v="0.83599999999999997"/>
    <n v="8286"/>
    <n v="65"/>
    <n v="0.85699999999999998"/>
    <n v="0"/>
    <n v="0.98863000000000001"/>
    <n v="1.137E-2"/>
    <s v="31.122748618767165"/>
    <s v="31.691867490751054"/>
    <s v="36.264355889614194"/>
    <s v="1.6288308289192588"/>
    <n v="710751033"/>
    <x v="1"/>
    <n v="0.99520869999999995"/>
    <x v="1"/>
  </r>
  <r>
    <n v="49"/>
    <n v="0"/>
    <n v="3"/>
    <n v="2"/>
    <n v="1"/>
    <n v="5"/>
    <n v="0"/>
    <n v="39"/>
    <n v="5"/>
    <n v="3"/>
    <n v="0"/>
    <n v="2270"/>
    <n v="1647"/>
    <n v="623"/>
    <n v="0.75900000000000001"/>
    <n v="4110"/>
    <n v="75"/>
    <n v="0.92300000000000004"/>
    <n v="0.72599999999999998"/>
    <s v="6.8853e-05"/>
    <n v="0.99992999999999999"/>
    <s v="2.627225479024493"/>
    <n v="32.956138446860002"/>
    <s v="91.95215629838565"/>
    <s v="5.165455506645248"/>
    <n v="708812133"/>
    <x v="0"/>
    <n v="3.2101269999999999E-4"/>
    <x v="0"/>
  </r>
  <r>
    <n v="44"/>
    <n v="1"/>
    <n v="4"/>
    <n v="5"/>
    <n v="3"/>
    <n v="3"/>
    <n v="0"/>
    <n v="36"/>
    <n v="1"/>
    <n v="3"/>
    <n v="1"/>
    <n v="25428"/>
    <n v="1528"/>
    <n v="23900"/>
    <n v="0.72499999999999998"/>
    <n v="13360"/>
    <n v="97"/>
    <n v="0.79600000000000004"/>
    <n v="0.06"/>
    <n v="1.1697E-4"/>
    <n v="0.99987999999999999"/>
    <s v="39.53368325307164"/>
    <s v="6.258610323073772"/>
    <s v="7.577583901763423"/>
    <n v="4.00396962875101"/>
    <n v="714449283"/>
    <x v="0"/>
    <n v="3.8573547000000003E-4"/>
    <x v="0"/>
  </r>
  <r>
    <n v="42"/>
    <n v="1"/>
    <n v="3"/>
    <n v="2"/>
    <n v="1"/>
    <n v="2"/>
    <n v="0"/>
    <n v="30"/>
    <n v="2"/>
    <n v="2"/>
    <n v="3"/>
    <n v="5298"/>
    <n v="0"/>
    <n v="5298"/>
    <n v="0.85699999999999998"/>
    <n v="2431"/>
    <n v="37"/>
    <n v="0.54200000000000004"/>
    <n v="0"/>
    <n v="0.99499000000000004"/>
    <n v="5.0099999999999997E-3"/>
    <s v="19.112970182867176"/>
    <s v="59.94451538518283"/>
    <s v="8.296008399948418"/>
    <s v="2.343801727995458"/>
    <n v="717195933"/>
    <x v="1"/>
    <n v="0.99876772999999996"/>
    <x v="1"/>
  </r>
  <r>
    <n v="49"/>
    <n v="0"/>
    <n v="1"/>
    <n v="1"/>
    <n v="1"/>
    <n v="5"/>
    <n v="0"/>
    <n v="36"/>
    <n v="3"/>
    <n v="1"/>
    <n v="2"/>
    <n v="8519"/>
    <n v="0"/>
    <n v="8519"/>
    <n v="0.873"/>
    <n v="3698"/>
    <n v="65"/>
    <n v="0.625"/>
    <n v="0"/>
    <s v="7.4811e-05"/>
    <n v="0.99992999999999999"/>
    <s v="8.778569065336523"/>
    <s v="44.374542419739925"/>
    <s v="60.97084201425557"/>
    <s v="11.770466935327828"/>
    <n v="716497908"/>
    <x v="0"/>
    <n v="8.0486939999999997E-4"/>
    <x v="0"/>
  </r>
  <r>
    <n v="36"/>
    <n v="0"/>
    <n v="4"/>
    <n v="5"/>
    <n v="2"/>
    <n v="4"/>
    <n v="0"/>
    <n v="26"/>
    <n v="4"/>
    <n v="3"/>
    <n v="2"/>
    <n v="2002"/>
    <n v="1377"/>
    <n v="625"/>
    <n v="0.67100000000000004"/>
    <n v="2411"/>
    <n v="60"/>
    <n v="0.71399999999999997"/>
    <n v="0.68799999999999994"/>
    <n v="1.9395999999999999E-4"/>
    <n v="0.99980999999999998"/>
    <s v="38.52605131633483"/>
    <s v="42.56312362761516"/>
    <s v="32.57774496644053"/>
    <s v="5.692939845883254"/>
    <n v="712700358"/>
    <x v="0"/>
    <n v="4.4546674999999998E-4"/>
    <x v="0"/>
  </r>
  <r>
    <n v="48"/>
    <n v="0"/>
    <n v="4"/>
    <n v="3"/>
    <n v="1"/>
    <n v="1"/>
    <n v="0"/>
    <n v="43"/>
    <n v="4"/>
    <n v="2"/>
    <n v="2"/>
    <n v="1438.3"/>
    <n v="0"/>
    <n v="1438.3"/>
    <n v="0.72199999999999998"/>
    <n v="2520"/>
    <n v="45"/>
    <n v="0.45200000000000001"/>
    <n v="0"/>
    <n v="0.99146000000000001"/>
    <n v="8.5400000000000007E-3"/>
    <s v="1.6348199197746995"/>
    <s v="23.429006642900948"/>
    <s v="122.7333655995248"/>
    <s v="10.83600392559694"/>
    <n v="815315058"/>
    <x v="1"/>
    <n v="0.99873226999999998"/>
    <x v="1"/>
  </r>
  <r>
    <n v="59"/>
    <n v="1"/>
    <n v="0"/>
    <n v="2"/>
    <n v="2"/>
    <n v="4"/>
    <n v="0"/>
    <n v="36"/>
    <n v="5"/>
    <n v="3"/>
    <n v="3"/>
    <n v="3604"/>
    <n v="1483"/>
    <n v="2121"/>
    <n v="0.59699999999999998"/>
    <n v="4576"/>
    <n v="87"/>
    <n v="0.70599999999999996"/>
    <n v="0.41099999999999998"/>
    <n v="2.5960000000000002E-4"/>
    <n v="0.99973999999999996"/>
    <s v="26.519087724124866"/>
    <s v="0.6670887773098889"/>
    <s v="32.64461488046307"/>
    <s v="12.029931498229365"/>
    <n v="720470133"/>
    <x v="0"/>
    <n v="3.2101269999999999E-4"/>
    <x v="0"/>
  </r>
  <r>
    <n v="35"/>
    <n v="0"/>
    <n v="4"/>
    <n v="6"/>
    <n v="1"/>
    <n v="4"/>
    <n v="0"/>
    <n v="30"/>
    <n v="6"/>
    <n v="3"/>
    <n v="4"/>
    <n v="1626"/>
    <n v="979"/>
    <n v="647"/>
    <n v="1.4670000000000001"/>
    <n v="2847"/>
    <n v="61"/>
    <n v="0.96799999999999997"/>
    <n v="0.60199999999999998"/>
    <n v="5.9480000000000004E-4"/>
    <n v="0.99941000000000002"/>
    <s v="17.697436073470758"/>
    <s v="26.474266594506293"/>
    <s v="48.81079638235047"/>
    <s v="30.33556647311432"/>
    <n v="805261983"/>
    <x v="0"/>
    <n v="4.6732959999999999E-4"/>
    <x v="0"/>
  </r>
  <r>
    <n v="44"/>
    <n v="0"/>
    <n v="4"/>
    <n v="3"/>
    <n v="2"/>
    <n v="1"/>
    <n v="0"/>
    <n v="36"/>
    <n v="3"/>
    <n v="2"/>
    <n v="2"/>
    <n v="2055"/>
    <n v="0"/>
    <n v="2055"/>
    <n v="0.97499999999999998"/>
    <n v="7674"/>
    <n v="80"/>
    <n v="0.63300000000000001"/>
    <n v="0"/>
    <n v="1.1603999999999999E-4"/>
    <n v="0.99987999999999999"/>
    <s v="8.840648261736954"/>
    <s v="2.507431780522718"/>
    <s v="22.07102524870292"/>
    <s v="13.851327383371975"/>
    <n v="715260558"/>
    <x v="0"/>
    <n v="1.1495879E-3"/>
    <x v="0"/>
  </r>
  <r>
    <n v="49"/>
    <n v="0"/>
    <n v="5"/>
    <n v="2"/>
    <n v="0"/>
    <n v="5"/>
    <n v="0"/>
    <n v="35"/>
    <n v="6"/>
    <n v="3"/>
    <n v="4"/>
    <n v="2561"/>
    <n v="0"/>
    <n v="2561"/>
    <n v="1.0209999999999999"/>
    <n v="2047"/>
    <n v="41"/>
    <n v="0.86399999999999999"/>
    <n v="0"/>
    <n v="5.3271999999999998E-4"/>
    <n v="0.99946999999999997"/>
    <s v="17.528108089592333"/>
    <n v="4.7168693193101596"/>
    <s v="92.79078227907624"/>
    <s v="13.074711689555532"/>
    <n v="709429533"/>
    <x v="0"/>
    <n v="3.8287606999999999E-3"/>
    <x v="0"/>
  </r>
  <r>
    <n v="41"/>
    <n v="0"/>
    <n v="3"/>
    <n v="0"/>
    <n v="1"/>
    <n v="4"/>
    <n v="0"/>
    <n v="37"/>
    <n v="3"/>
    <n v="1"/>
    <n v="2"/>
    <n v="1438.3"/>
    <n v="765"/>
    <n v="673.3"/>
    <n v="0.64400000000000002"/>
    <n v="4053"/>
    <n v="66"/>
    <n v="0.69199999999999995"/>
    <n v="0.53200000000000003"/>
    <s v="5.5564e-05"/>
    <n v="0.99994000000000005"/>
    <s v="37.10277822018936"/>
    <s v="15.604620721231028"/>
    <s v="76.34949935370662"/>
    <s v="15.47262009560215"/>
    <n v="828285858"/>
    <x v="0"/>
    <n v="5.2566850000000003E-4"/>
    <x v="0"/>
  </r>
  <r>
    <n v="37"/>
    <n v="0"/>
    <n v="1"/>
    <n v="2"/>
    <n v="1"/>
    <n v="4"/>
    <n v="0"/>
    <n v="31"/>
    <n v="5"/>
    <n v="2"/>
    <n v="2"/>
    <n v="2417"/>
    <n v="1929"/>
    <n v="488"/>
    <n v="0.88600000000000001"/>
    <n v="1773"/>
    <n v="42"/>
    <n v="0.55600000000000005"/>
    <n v="0.79800000000000004"/>
    <n v="1.0684E-4"/>
    <n v="0.99988999999999995"/>
    <s v="19.196961320843695"/>
    <s v="4.0051290938234265"/>
    <s v="79.78979608537766"/>
    <s v="2.050006691361896"/>
    <n v="710208633"/>
    <x v="0"/>
    <n v="1.0598798E-3"/>
    <x v="0"/>
  </r>
  <r>
    <n v="59"/>
    <n v="1"/>
    <n v="1"/>
    <n v="5"/>
    <n v="1"/>
    <n v="1"/>
    <n v="0"/>
    <n v="53"/>
    <n v="5"/>
    <n v="1"/>
    <n v="3"/>
    <n v="2182"/>
    <n v="1558"/>
    <n v="624"/>
    <n v="0.45700000000000002"/>
    <n v="1660"/>
    <n v="34"/>
    <n v="0.78900000000000003"/>
    <n v="0.71399999999999997"/>
    <s v="8.9404e-05"/>
    <n v="0.99990999999999997"/>
    <s v="45.16996086402441"/>
    <s v="19.78521720724661"/>
    <s v="165.80785822732912"/>
    <s v="0.7272495158815784"/>
    <n v="802890333"/>
    <x v="0"/>
    <n v="9.8706899999999992E-4"/>
    <x v="0"/>
  </r>
  <r>
    <n v="47"/>
    <n v="1"/>
    <n v="4"/>
    <n v="3"/>
    <n v="0"/>
    <n v="2"/>
    <n v="0"/>
    <n v="36"/>
    <n v="6"/>
    <n v="1"/>
    <n v="3"/>
    <n v="1943"/>
    <n v="1654"/>
    <n v="289"/>
    <n v="0.64800000000000002"/>
    <n v="3392"/>
    <n v="70"/>
    <n v="0.59099999999999997"/>
    <n v="0.85099999999999998"/>
    <s v="9.4447e-05"/>
    <n v="0.99990999999999997"/>
    <s v="33.331191995637695"/>
    <s v="109.2540004081959"/>
    <s v="48.63406697266237"/>
    <s v="0.5056041219977604"/>
    <n v="713451408"/>
    <x v="0"/>
    <n v="3.2914013999999999E-4"/>
    <x v="0"/>
  </r>
  <r>
    <n v="48"/>
    <n v="0"/>
    <n v="4"/>
    <n v="3"/>
    <n v="1"/>
    <n v="4"/>
    <n v="0"/>
    <n v="37"/>
    <n v="1"/>
    <n v="2"/>
    <n v="3"/>
    <n v="3607"/>
    <n v="0"/>
    <n v="3607"/>
    <n v="0.504"/>
    <n v="2013"/>
    <n v="35"/>
    <n v="0.45800000000000002"/>
    <n v="0"/>
    <n v="0.99490000000000001"/>
    <n v="5.1000000000000004E-3"/>
    <s v="19.164491857205192"/>
    <s v="0.4509166006826002"/>
    <s v="123.28094744166287"/>
    <s v="2.3859674561650954"/>
    <n v="712783083"/>
    <x v="1"/>
    <n v="0.99876772999999996"/>
    <x v="1"/>
  </r>
  <r>
    <n v="37"/>
    <n v="1"/>
    <n v="3"/>
    <n v="3"/>
    <n v="3"/>
    <n v="3"/>
    <n v="0"/>
    <n v="28"/>
    <n v="5"/>
    <n v="4"/>
    <n v="4"/>
    <n v="13441"/>
    <n v="0"/>
    <n v="13441"/>
    <n v="0.51300000000000001"/>
    <n v="4207"/>
    <n v="80"/>
    <n v="0.70199999999999996"/>
    <n v="0"/>
    <n v="6.2901000000000005E-4"/>
    <n v="0.99936999999999998"/>
    <s v="34.58990795506529"/>
    <s v="3.9078805737493374"/>
    <s v="80.72988560906171"/>
    <s v="2.683321581019813"/>
    <n v="718410258"/>
    <x v="0"/>
    <n v="7.3773605999999999E-4"/>
    <x v="0"/>
  </r>
  <r>
    <n v="49"/>
    <n v="1"/>
    <n v="1"/>
    <n v="2"/>
    <n v="1"/>
    <n v="1"/>
    <n v="0"/>
    <n v="36"/>
    <n v="4"/>
    <n v="2"/>
    <n v="3"/>
    <n v="4158"/>
    <n v="1889"/>
    <n v="2269"/>
    <n v="0.872"/>
    <n v="15842"/>
    <n v="130"/>
    <n v="0.83099999999999996"/>
    <n v="0.45400000000000001"/>
    <n v="1.7969000000000001E-4"/>
    <n v="0.99982000000000004"/>
    <s v="16.737764515656828"/>
    <n v="27.8107370887227"/>
    <s v="79.78773961018236"/>
    <n v="4.8575257950961399"/>
    <n v="718071933"/>
    <x v="0"/>
    <n v="3.4656386999999997E-4"/>
    <x v="0"/>
  </r>
  <r>
    <n v="39"/>
    <n v="0"/>
    <n v="2"/>
    <n v="6"/>
    <n v="3"/>
    <n v="1"/>
    <n v="0"/>
    <n v="28"/>
    <n v="1"/>
    <n v="2"/>
    <n v="3"/>
    <n v="4363"/>
    <n v="0"/>
    <n v="4363"/>
    <n v="0.71399999999999997"/>
    <n v="2596"/>
    <n v="48"/>
    <n v="0.84599999999999997"/>
    <n v="0"/>
    <n v="0.99526999999999999"/>
    <n v="4.7289599999999999E-3"/>
    <s v="34.35698432146217"/>
    <n v="6.8626842504590604"/>
    <s v="25.79736121326557"/>
    <s v="3.9671525080646575"/>
    <n v="780670083"/>
    <x v="1"/>
    <n v="0.99845386000000003"/>
    <x v="1"/>
  </r>
  <r>
    <n v="47"/>
    <n v="1"/>
    <n v="0"/>
    <n v="2"/>
    <n v="1"/>
    <n v="3"/>
    <n v="3"/>
    <n v="36"/>
    <n v="3"/>
    <n v="2"/>
    <n v="1"/>
    <n v="34516"/>
    <n v="1913"/>
    <n v="32603"/>
    <n v="0.84"/>
    <n v="7535"/>
    <n v="92"/>
    <n v="0.67300000000000004"/>
    <n v="5.5E-2"/>
    <s v="5.3222e-05"/>
    <n v="0.99995000000000001"/>
    <s v="58.98714631119064"/>
    <s v="22.855107815879045"/>
    <s v="29.564439123342684"/>
    <s v="20.79613951708632"/>
    <n v="719787633"/>
    <x v="0"/>
    <n v="4.1022256E-4"/>
    <x v="0"/>
  </r>
  <r>
    <n v="42"/>
    <n v="0"/>
    <n v="3"/>
    <n v="2"/>
    <n v="1"/>
    <n v="4"/>
    <n v="0"/>
    <n v="36"/>
    <n v="4"/>
    <n v="3"/>
    <n v="2"/>
    <n v="2031"/>
    <n v="1720"/>
    <n v="311"/>
    <n v="0.71299999999999997"/>
    <n v="2702"/>
    <n v="32"/>
    <n v="0.77800000000000002"/>
    <n v="0.84699999999999998"/>
    <n v="0.99467000000000005"/>
    <n v="5.3299999999999997E-3"/>
    <s v="18.106173626931795"/>
    <s v="60.48183496175675"/>
    <s v="40.936243183429184"/>
    <s v="14.89113551693076"/>
    <n v="711919608"/>
    <x v="1"/>
    <n v="0.99489260000000002"/>
    <x v="1"/>
  </r>
  <r>
    <n v="40"/>
    <n v="0"/>
    <n v="5"/>
    <n v="6"/>
    <n v="2"/>
    <n v="5"/>
    <n v="0"/>
    <n v="31"/>
    <n v="6"/>
    <n v="3"/>
    <n v="1"/>
    <n v="4433"/>
    <n v="1488"/>
    <n v="2945"/>
    <n v="0.66900000000000004"/>
    <n v="3847"/>
    <n v="76"/>
    <n v="0.9"/>
    <n v="0.33600000000000002"/>
    <n v="1.2310000000000001E-4"/>
    <n v="0.99987999999999999"/>
    <s v="28.187372925163974"/>
    <s v="0.3197932992854003"/>
    <s v="107.48042913455122"/>
    <n v="4.93441094373369"/>
    <n v="789477483"/>
    <x v="0"/>
    <n v="3.2101269999999999E-4"/>
    <x v="0"/>
  </r>
  <r>
    <n v="46"/>
    <n v="1"/>
    <n v="3"/>
    <n v="5"/>
    <n v="1"/>
    <n v="3"/>
    <n v="0"/>
    <n v="36"/>
    <n v="3"/>
    <n v="2"/>
    <n v="2"/>
    <n v="23512"/>
    <n v="1562"/>
    <n v="21950"/>
    <n v="0.63200000000000001"/>
    <n v="3764"/>
    <n v="60"/>
    <n v="0.53800000000000003"/>
    <n v="6.6000000000000003E-2"/>
    <n v="1.2144E-4"/>
    <n v="0.99987999999999999"/>
    <s v="28.745219574578865"/>
    <s v="50.61827619823868"/>
    <n v="90.577036374989007"/>
    <s v="10.273222317392053"/>
    <n v="718153233"/>
    <x v="0"/>
    <n v="4.1366354E-4"/>
    <x v="0"/>
  </r>
  <r>
    <n v="42"/>
    <n v="0"/>
    <n v="5"/>
    <n v="1"/>
    <n v="1"/>
    <n v="5"/>
    <n v="0"/>
    <n v="23"/>
    <n v="4"/>
    <n v="2"/>
    <n v="2"/>
    <n v="24602"/>
    <n v="1660"/>
    <n v="22942"/>
    <n v="0.58799999999999997"/>
    <n v="1337"/>
    <n v="44"/>
    <n v="0.76"/>
    <n v="6.7000000000000004E-2"/>
    <n v="1.7003999999999999E-4"/>
    <n v="0.99983"/>
    <s v="26.651076297464897"/>
    <s v="17.475031312813055"/>
    <n v="83.776179926639301"/>
    <s v="12.694908640623522"/>
    <n v="710665533"/>
    <x v="0"/>
    <n v="1.1504791999999999E-3"/>
    <x v="0"/>
  </r>
  <r>
    <n v="49"/>
    <n v="0"/>
    <n v="3"/>
    <n v="6"/>
    <n v="1"/>
    <n v="4"/>
    <n v="1"/>
    <n v="30"/>
    <n v="4"/>
    <n v="3"/>
    <n v="2"/>
    <n v="15987"/>
    <n v="0"/>
    <n v="15987"/>
    <n v="0.65800000000000003"/>
    <n v="4146"/>
    <n v="69"/>
    <n v="0.53300000000000003"/>
    <n v="0"/>
    <n v="2.3635999999999999E-4"/>
    <n v="0.99975999999999998"/>
    <s v="7.202623589136418"/>
    <s v="50.23434732435752"/>
    <s v="23.21584435905451"/>
    <s v="19.885869206114457"/>
    <n v="788782008"/>
    <x v="0"/>
    <n v="7.9661230000000003E-4"/>
    <x v="0"/>
  </r>
  <r>
    <n v="50"/>
    <n v="1"/>
    <n v="2"/>
    <n v="2"/>
    <n v="3"/>
    <n v="2"/>
    <n v="0"/>
    <n v="38"/>
    <n v="5"/>
    <n v="3"/>
    <n v="3"/>
    <n v="4772"/>
    <n v="1770"/>
    <n v="3002"/>
    <n v="0.54500000000000004"/>
    <n v="4054"/>
    <n v="72"/>
    <n v="0.67400000000000004"/>
    <n v="0.371"/>
    <n v="3.0250999999999998E-4"/>
    <n v="0.99970000000000003"/>
    <s v="17.64011991206374"/>
    <s v="48.34518317323916"/>
    <s v="32.72288098852451"/>
    <s v="10.527042633392911"/>
    <n v="712429458"/>
    <x v="0"/>
    <n v="3.2101269999999999E-4"/>
    <x v="0"/>
  </r>
  <r>
    <n v="56"/>
    <n v="0"/>
    <n v="2"/>
    <n v="2"/>
    <n v="1"/>
    <n v="5"/>
    <n v="0"/>
    <n v="36"/>
    <n v="6"/>
    <n v="2"/>
    <n v="3"/>
    <n v="2015"/>
    <n v="807"/>
    <n v="1208"/>
    <n v="0.83099999999999996"/>
    <n v="5209"/>
    <n v="76"/>
    <n v="0.76700000000000002"/>
    <n v="0.4"/>
    <n v="1.9143E-4"/>
    <n v="0.99980999999999998"/>
    <s v="15.470611072686316"/>
    <s v="46.66141348021444"/>
    <s v="50.51337373432661"/>
    <n v="0.98160703667529203"/>
    <n v="715200783"/>
    <x v="0"/>
    <n v="5.1030780000000005E-4"/>
    <x v="0"/>
  </r>
  <r>
    <n v="56"/>
    <n v="0"/>
    <n v="1"/>
    <n v="4"/>
    <n v="1"/>
    <n v="1"/>
    <n v="0"/>
    <n v="38"/>
    <n v="1"/>
    <n v="2"/>
    <n v="1"/>
    <n v="3485"/>
    <n v="1465"/>
    <n v="2020"/>
    <n v="0.65300000000000002"/>
    <n v="4776"/>
    <n v="87"/>
    <n v="1.0229999999999999"/>
    <n v="0.42"/>
    <s v="7.5811e-05"/>
    <n v="0.99992000000000003"/>
    <s v="38.50168433588875"/>
    <s v="23.801983502477995"/>
    <s v="58.21073654108629"/>
    <s v="3.284134860971909"/>
    <n v="794540883"/>
    <x v="0"/>
    <n v="3.2101269999999999E-4"/>
    <x v="0"/>
  </r>
  <r>
    <n v="59"/>
    <n v="1"/>
    <n v="1"/>
    <n v="2"/>
    <n v="2"/>
    <n v="1"/>
    <n v="0"/>
    <n v="53"/>
    <n v="4"/>
    <n v="3"/>
    <n v="2"/>
    <n v="2136"/>
    <n v="1502"/>
    <n v="634"/>
    <n v="0.64800000000000002"/>
    <n v="1908"/>
    <n v="37"/>
    <n v="0.37"/>
    <n v="0.70299999999999996"/>
    <n v="1.6882999999999999E-4"/>
    <n v="0.99983"/>
    <s v="15.313930806050037"/>
    <s v="9.682169166860238"/>
    <n v="83.728163197109396"/>
    <s v="13.388849114569206"/>
    <n v="770146008"/>
    <x v="0"/>
    <n v="1.3273743E-3"/>
    <x v="0"/>
  </r>
  <r>
    <n v="44"/>
    <n v="0"/>
    <n v="4"/>
    <n v="5"/>
    <n v="2"/>
    <n v="4"/>
    <n v="0"/>
    <n v="32"/>
    <n v="6"/>
    <n v="3"/>
    <n v="4"/>
    <n v="1438.3"/>
    <n v="170"/>
    <n v="1268.3"/>
    <n v="0.88900000000000001"/>
    <n v="2527"/>
    <n v="45"/>
    <n v="0.40600000000000003"/>
    <n v="0.11799999999999999"/>
    <n v="0.99821000000000004"/>
    <n v="1.7930400000000001E-3"/>
    <s v="15.871909030279069"/>
    <s v="36.38758583824395"/>
    <s v="30.33008134220818"/>
    <s v="8.435907357554505"/>
    <n v="789081408"/>
    <x v="1"/>
    <n v="0.99809270000000005"/>
    <x v="1"/>
  </r>
  <r>
    <n v="62"/>
    <n v="0"/>
    <n v="0"/>
    <n v="2"/>
    <n v="0"/>
    <n v="1"/>
    <n v="0"/>
    <n v="50"/>
    <n v="3"/>
    <n v="2"/>
    <n v="4"/>
    <n v="11352"/>
    <n v="2517"/>
    <n v="8835"/>
    <n v="0.751"/>
    <n v="4021"/>
    <n v="56"/>
    <n v="0.80600000000000005"/>
    <n v="0.222"/>
    <n v="2.8024000000000001E-4"/>
    <n v="0.99972000000000005"/>
    <s v="10.975401909766267"/>
    <s v="63.97287922902188"/>
    <s v="74.77662858106318"/>
    <s v="5.450395184905483"/>
    <n v="719739108"/>
    <x v="0"/>
    <n v="5.1818809999999997E-4"/>
    <x v="0"/>
  </r>
  <r>
    <n v="52"/>
    <n v="1"/>
    <n v="2"/>
    <n v="0"/>
    <n v="1"/>
    <n v="2"/>
    <n v="0"/>
    <n v="36"/>
    <n v="1"/>
    <n v="1"/>
    <n v="3"/>
    <n v="7879"/>
    <n v="1007"/>
    <n v="6872"/>
    <n v="0.72599999999999998"/>
    <n v="4844"/>
    <n v="83"/>
    <n v="0.97599999999999998"/>
    <n v="0.128"/>
    <s v="9.0064e-05"/>
    <n v="0.99990999999999997"/>
    <s v="2.2389794212070333"/>
    <s v="37.60185819996214"/>
    <s v="16.285165062311428"/>
    <s v="28.30663886601138"/>
    <n v="710110683"/>
    <x v="0"/>
    <n v="3.2101269999999999E-4"/>
    <x v="0"/>
  </r>
  <r>
    <n v="40"/>
    <n v="1"/>
    <n v="5"/>
    <n v="2"/>
    <n v="3"/>
    <n v="1"/>
    <n v="0"/>
    <n v="25"/>
    <n v="6"/>
    <n v="2"/>
    <n v="3"/>
    <n v="7860"/>
    <n v="541"/>
    <n v="7319"/>
    <n v="0.76400000000000001"/>
    <n v="1367"/>
    <n v="35"/>
    <n v="0.75"/>
    <n v="6.9000000000000006E-2"/>
    <n v="1.9764000000000001E-4"/>
    <n v="0.99980000000000002"/>
    <n v="59.034818835940399"/>
    <s v="13.448124203227112"/>
    <s v="55.17494137995192"/>
    <s v="0.2969893430015513"/>
    <n v="780054258"/>
    <x v="0"/>
    <n v="3.4007244000000001E-3"/>
    <x v="0"/>
  </r>
  <r>
    <n v="35"/>
    <n v="1"/>
    <n v="3"/>
    <n v="5"/>
    <n v="1"/>
    <n v="1"/>
    <n v="0"/>
    <n v="36"/>
    <n v="6"/>
    <n v="2"/>
    <n v="5"/>
    <n v="8682"/>
    <n v="1647"/>
    <n v="7035"/>
    <n v="0.97099999999999997"/>
    <n v="1792"/>
    <n v="36"/>
    <n v="0.8"/>
    <n v="0.19"/>
    <n v="6.0278000000000003E-4"/>
    <n v="0.99939999999999996"/>
    <s v="24.51016049836426"/>
    <s v="25.03818711105668"/>
    <s v="83.35806694243554"/>
    <n v="5.3932626386261804"/>
    <n v="713331408"/>
    <x v="0"/>
    <n v="1.0474862999999999E-3"/>
    <x v="0"/>
  </r>
  <r>
    <n v="43"/>
    <n v="0"/>
    <n v="2"/>
    <n v="6"/>
    <n v="1"/>
    <n v="4"/>
    <n v="0"/>
    <n v="33"/>
    <n v="4"/>
    <n v="2"/>
    <n v="2"/>
    <n v="5152"/>
    <n v="1713"/>
    <n v="3439"/>
    <n v="0.746"/>
    <n v="3919"/>
    <n v="57"/>
    <n v="1.036"/>
    <n v="0.33200000000000002"/>
    <n v="1.2511E-4"/>
    <n v="0.99987000000000004"/>
    <s v="19.85499689978955"/>
    <s v="44.18663314782339"/>
    <n v="8.0858765603883498"/>
    <s v="9.043279385621098"/>
    <n v="712707408"/>
    <x v="0"/>
    <n v="4.2673005000000002E-4"/>
    <x v="0"/>
  </r>
  <r>
    <n v="35"/>
    <n v="0"/>
    <n v="3"/>
    <n v="5"/>
    <n v="1"/>
    <n v="4"/>
    <n v="0"/>
    <n v="26"/>
    <n v="6"/>
    <n v="1"/>
    <n v="3"/>
    <n v="3187"/>
    <n v="2517"/>
    <n v="670"/>
    <n v="1.214"/>
    <n v="2072"/>
    <n v="33"/>
    <n v="0.83299999999999996"/>
    <n v="0.79"/>
    <s v="9.8837e-05"/>
    <n v="0.99990000000000001"/>
    <s v="55.85224385809286"/>
    <s v="38.770611070346256"/>
    <s v="4.620736408106839"/>
    <s v="8.368754362128163"/>
    <n v="787983633"/>
    <x v="0"/>
    <n v="1.0889086E-3"/>
    <x v="0"/>
  </r>
  <r>
    <n v="48"/>
    <n v="1"/>
    <n v="1"/>
    <n v="6"/>
    <n v="2"/>
    <n v="2"/>
    <n v="0"/>
    <n v="38"/>
    <n v="3"/>
    <n v="3"/>
    <n v="3"/>
    <n v="11367"/>
    <n v="1999"/>
    <n v="9368"/>
    <n v="0.66100000000000003"/>
    <n v="4175"/>
    <n v="63"/>
    <n v="0.53700000000000003"/>
    <n v="0.17599999999999999"/>
    <n v="3.1210999999999999E-4"/>
    <n v="0.99968999999999997"/>
    <s v="9.918167593350043"/>
    <s v="11.645831258167563"/>
    <s v="3.5328328172089565"/>
    <n v="7.3374862388347202"/>
    <n v="711701958"/>
    <x v="0"/>
    <n v="3.5672840999999999E-4"/>
    <x v="0"/>
  </r>
  <r>
    <n v="38"/>
    <n v="0"/>
    <n v="2"/>
    <n v="6"/>
    <n v="1"/>
    <n v="1"/>
    <n v="0"/>
    <n v="28"/>
    <n v="6"/>
    <n v="2"/>
    <n v="2"/>
    <n v="1628"/>
    <n v="0"/>
    <n v="1628"/>
    <n v="0.876"/>
    <n v="2527"/>
    <n v="41"/>
    <n v="0.64"/>
    <n v="0"/>
    <n v="0.99207000000000001"/>
    <n v="7.9299999999999995E-3"/>
    <s v="42.38777867211462"/>
    <s v="56.32651979014486"/>
    <s v="75.33703213791941"/>
    <s v="10.80795531756937"/>
    <n v="720062508"/>
    <x v="1"/>
    <n v="0.99853705999999998"/>
    <x v="1"/>
  </r>
  <r>
    <n v="52"/>
    <n v="1"/>
    <n v="4"/>
    <n v="2"/>
    <n v="1"/>
    <n v="1"/>
    <n v="0"/>
    <n v="33"/>
    <n v="5"/>
    <n v="2"/>
    <n v="1"/>
    <n v="5776"/>
    <n v="874"/>
    <n v="4902"/>
    <n v="0.89400000000000002"/>
    <n v="4029"/>
    <n v="72"/>
    <n v="0.63600000000000001"/>
    <n v="0.151"/>
    <s v="7.1987e-05"/>
    <n v="0.99992999999999999"/>
    <s v="12.255084155319398"/>
    <s v="64.35654675601647"/>
    <s v="41.79650396841219"/>
    <s v="19.81215636882806"/>
    <n v="713984208"/>
    <x v="0"/>
    <n v="4.5451408E-4"/>
    <x v="0"/>
  </r>
  <r>
    <n v="39"/>
    <n v="0"/>
    <n v="1"/>
    <n v="0"/>
    <n v="2"/>
    <n v="4"/>
    <n v="0"/>
    <n v="32"/>
    <n v="4"/>
    <n v="2"/>
    <n v="3"/>
    <n v="2144"/>
    <n v="1557"/>
    <n v="587"/>
    <n v="0.77500000000000002"/>
    <n v="4571"/>
    <n v="85"/>
    <n v="0.84799999999999998"/>
    <n v="0.72599999999999998"/>
    <n v="1.7469999999999999E-4"/>
    <n v="0.99983"/>
    <n v="5.9519710303400899"/>
    <s v="5.489459246256728"/>
    <s v="40.48992584153598"/>
    <s v="6.2737460622885415"/>
    <n v="713541033"/>
    <x v="0"/>
    <n v="3.2101269999999999E-4"/>
    <x v="0"/>
  </r>
  <r>
    <n v="48"/>
    <n v="0"/>
    <n v="3"/>
    <n v="2"/>
    <n v="2"/>
    <n v="4"/>
    <n v="0"/>
    <n v="43"/>
    <n v="6"/>
    <n v="2"/>
    <n v="2"/>
    <n v="2423"/>
    <n v="1773"/>
    <n v="650"/>
    <n v="0.57399999999999995"/>
    <n v="2038"/>
    <n v="64"/>
    <n v="0.36199999999999999"/>
    <n v="0.73199999999999998"/>
    <n v="1.1811000000000001E-4"/>
    <n v="0.99987999999999999"/>
    <s v="13.92140486574828"/>
    <n v="26.756154010330398"/>
    <s v="152.35889570375372"/>
    <s v="10.076955070478515"/>
    <n v="809990883"/>
    <x v="0"/>
    <n v="4.4142877000000002E-4"/>
    <x v="0"/>
  </r>
  <r>
    <n v="41"/>
    <n v="1"/>
    <n v="5"/>
    <n v="0"/>
    <n v="1"/>
    <n v="2"/>
    <n v="0"/>
    <n v="31"/>
    <n v="1"/>
    <n v="3"/>
    <n v="2"/>
    <n v="5002"/>
    <n v="1945"/>
    <n v="3057"/>
    <n v="1.0349999999999999"/>
    <n v="16161"/>
    <n v="109"/>
    <n v="0.78700000000000003"/>
    <n v="0.38900000000000001"/>
    <n v="1.8054E-4"/>
    <n v="0.99982000000000004"/>
    <s v="11.574864350256885"/>
    <s v="41.61239996803849"/>
    <s v="54.10167107946692"/>
    <s v="2.383530426196664"/>
    <n v="721169883"/>
    <x v="0"/>
    <n v="3.6437239999999999E-4"/>
    <x v="0"/>
  </r>
  <r>
    <n v="53"/>
    <n v="0"/>
    <n v="3"/>
    <n v="2"/>
    <n v="1"/>
    <n v="4"/>
    <n v="0"/>
    <n v="47"/>
    <n v="4"/>
    <n v="1"/>
    <n v="2"/>
    <n v="1562"/>
    <n v="751"/>
    <n v="811"/>
    <n v="0.92500000000000004"/>
    <n v="4574"/>
    <n v="81"/>
    <n v="0.97599999999999998"/>
    <n v="0.48099999999999998"/>
    <s v="5.7151e-05"/>
    <n v="0.99994000000000005"/>
    <s v="0.2504979849090897"/>
    <s v="48.49527739921066"/>
    <s v="7.289784226355365"/>
    <s v="9.514162896242308"/>
    <n v="798011733"/>
    <x v="0"/>
    <n v="5.4678856000000002E-4"/>
    <x v="0"/>
  </r>
  <r>
    <n v="47"/>
    <n v="0"/>
    <n v="3"/>
    <n v="3"/>
    <n v="1"/>
    <n v="5"/>
    <n v="3"/>
    <n v="31"/>
    <n v="3"/>
    <n v="3"/>
    <n v="2"/>
    <n v="34516"/>
    <n v="2517"/>
    <n v="31999"/>
    <n v="0.61799999999999999"/>
    <n v="2691"/>
    <n v="42"/>
    <n v="0.5"/>
    <n v="7.2999999999999995E-2"/>
    <n v="0.99394000000000005"/>
    <n v="6.0600000000000003E-3"/>
    <s v="55.01690340397366"/>
    <s v="31.68335601591186"/>
    <s v="228.15685702073867"/>
    <s v="5.104659211333495"/>
    <n v="809464608"/>
    <x v="1"/>
    <n v="0.99625200000000003"/>
    <x v="1"/>
  </r>
  <r>
    <n v="32"/>
    <n v="1"/>
    <n v="1"/>
    <n v="3"/>
    <n v="2"/>
    <n v="3"/>
    <n v="0"/>
    <n v="26"/>
    <n v="2"/>
    <n v="3"/>
    <n v="2"/>
    <n v="6407"/>
    <n v="1130"/>
    <n v="5277"/>
    <n v="0.75600000000000001"/>
    <n v="14471"/>
    <n v="93"/>
    <n v="0.60299999999999998"/>
    <n v="0.17599999999999999"/>
    <n v="1.6412999999999999E-4"/>
    <n v="0.99983999999999995"/>
    <s v="17.79579776181758"/>
    <s v="36.13873186206288"/>
    <s v="9.932545718536163"/>
    <s v="1.446470401384632"/>
    <n v="798788958"/>
    <x v="0"/>
    <n v="3.5533762999999998E-4"/>
    <x v="0"/>
  </r>
  <r>
    <n v="34"/>
    <n v="0"/>
    <n v="4"/>
    <n v="3"/>
    <n v="2"/>
    <n v="4"/>
    <n v="0"/>
    <n v="30"/>
    <n v="4"/>
    <n v="1"/>
    <n v="3"/>
    <n v="3046"/>
    <n v="2279"/>
    <n v="767"/>
    <n v="0.61099999999999999"/>
    <n v="2330"/>
    <n v="69"/>
    <n v="0.64300000000000002"/>
    <n v="0.748"/>
    <s v="9.4447e-05"/>
    <n v="0.99990999999999997"/>
    <s v="41.127891050129485"/>
    <s v="58.41362044292002"/>
    <s v="34.55708938559552"/>
    <s v="5.476671761758217"/>
    <n v="822984108"/>
    <x v="0"/>
    <n v="4.0449749999999998E-4"/>
    <x v="0"/>
  </r>
  <r>
    <n v="53"/>
    <n v="0"/>
    <n v="2"/>
    <n v="2"/>
    <n v="1"/>
    <n v="4"/>
    <n v="0"/>
    <n v="40"/>
    <n v="6"/>
    <n v="2"/>
    <n v="4"/>
    <n v="6174"/>
    <n v="1421"/>
    <n v="4753"/>
    <n v="0.66900000000000004"/>
    <n v="2043"/>
    <n v="52"/>
    <n v="0.79300000000000004"/>
    <n v="0.23"/>
    <n v="3.2655999999999999E-4"/>
    <n v="0.99966999999999995"/>
    <s v="18.68377377716592"/>
    <s v="5.024812986304616"/>
    <s v="52.05314990720277"/>
    <s v="0.5610319568031583"/>
    <n v="720376008"/>
    <x v="0"/>
    <n v="8.364561E-4"/>
    <x v="0"/>
  </r>
  <r>
    <n v="48"/>
    <n v="0"/>
    <n v="3"/>
    <n v="2"/>
    <n v="1"/>
    <n v="1"/>
    <n v="3"/>
    <n v="40"/>
    <n v="5"/>
    <n v="3"/>
    <n v="4"/>
    <n v="18965"/>
    <n v="2262"/>
    <n v="16703"/>
    <n v="0.59199999999999997"/>
    <n v="3066"/>
    <n v="69"/>
    <n v="0.81599999999999995"/>
    <n v="0.11899999999999999"/>
    <n v="4.8381999999999999E-4"/>
    <n v="0.99951999999999996"/>
    <s v="6.6799123501024535"/>
    <s v="20.818300142418487"/>
    <s v="77.38208778770928"/>
    <s v="1.565207724136093"/>
    <n v="719165508"/>
    <x v="0"/>
    <n v="3.4921730000000002E-4"/>
    <x v="0"/>
  </r>
  <r>
    <n v="52"/>
    <n v="0"/>
    <n v="2"/>
    <n v="2"/>
    <n v="1"/>
    <n v="4"/>
    <n v="0"/>
    <n v="37"/>
    <n v="1"/>
    <n v="3"/>
    <n v="3"/>
    <n v="2427"/>
    <n v="2362"/>
    <n v="65"/>
    <n v="0.67"/>
    <n v="4663"/>
    <n v="85"/>
    <n v="0.77100000000000002"/>
    <n v="0.97299999999999998"/>
    <n v="3.0250999999999998E-4"/>
    <n v="0.99970000000000003"/>
    <s v="43.56949207668804"/>
    <s v="62.872793231771055"/>
    <s v="154.22535804908608"/>
    <s v="15.987874355796832"/>
    <n v="778471758"/>
    <x v="0"/>
    <n v="3.2101269999999999E-4"/>
    <x v="0"/>
  </r>
  <r>
    <n v="51"/>
    <n v="1"/>
    <n v="2"/>
    <n v="2"/>
    <n v="1"/>
    <n v="3"/>
    <n v="0"/>
    <n v="40"/>
    <n v="3"/>
    <n v="2"/>
    <n v="4"/>
    <n v="3290"/>
    <n v="2461"/>
    <n v="829"/>
    <n v="0.79700000000000004"/>
    <n v="3591"/>
    <n v="80"/>
    <n v="0.73899999999999999"/>
    <n v="0.748"/>
    <n v="3.2655999999999999E-4"/>
    <n v="0.99966999999999995"/>
    <s v="1.3633895516215762"/>
    <s v="1.4007303970052654"/>
    <s v="27.36387196658144"/>
    <s v="3.1397710575116324"/>
    <n v="771960708"/>
    <x v="0"/>
    <n v="3.4692350000000002E-4"/>
    <x v="0"/>
  </r>
  <r>
    <n v="60"/>
    <n v="0"/>
    <n v="0"/>
    <n v="5"/>
    <n v="2"/>
    <n v="4"/>
    <n v="3"/>
    <n v="49"/>
    <n v="3"/>
    <n v="1"/>
    <n v="1"/>
    <n v="11060"/>
    <n v="1647"/>
    <n v="9413"/>
    <n v="0.93799999999999994"/>
    <n v="4545"/>
    <n v="83"/>
    <n v="0.76600000000000001"/>
    <n v="0.14899999999999999"/>
    <s v="2.6479e-05"/>
    <n v="0.99997000000000003"/>
    <s v="0.3668763996358419"/>
    <n v="5.5575303708870898"/>
    <s v="28.895724545009063"/>
    <s v="11.301413576393273"/>
    <n v="714400308"/>
    <x v="0"/>
    <n v="3.3750932000000002E-4"/>
    <x v="0"/>
  </r>
  <r>
    <n v="53"/>
    <n v="1"/>
    <n v="2"/>
    <n v="4"/>
    <n v="1"/>
    <n v="3"/>
    <n v="0"/>
    <n v="36"/>
    <n v="5"/>
    <n v="1"/>
    <n v="2"/>
    <n v="3610"/>
    <n v="1629"/>
    <n v="1981"/>
    <n v="0.82099999999999995"/>
    <n v="1652"/>
    <n v="40"/>
    <n v="0.48099999999999998"/>
    <n v="0.45100000000000001"/>
    <s v="6.4807e-05"/>
    <n v="0.99994000000000005"/>
    <s v="5.120204591939428"/>
    <s v="6.695015491370136"/>
    <s v="48.94794902274892"/>
    <s v="22.32326812482339"/>
    <n v="709224858"/>
    <x v="0"/>
    <n v="1.1982243E-3"/>
    <x v="0"/>
  </r>
  <r>
    <n v="44"/>
    <n v="0"/>
    <n v="2"/>
    <n v="5"/>
    <n v="2"/>
    <n v="4"/>
    <n v="0"/>
    <n v="36"/>
    <n v="5"/>
    <n v="2"/>
    <n v="2"/>
    <n v="2097"/>
    <n v="1224"/>
    <n v="873"/>
    <n v="0.81899999999999995"/>
    <n v="5059"/>
    <n v="79"/>
    <n v="0.68100000000000005"/>
    <n v="0.58399999999999996"/>
    <n v="1.1703E-4"/>
    <n v="0.99987999999999999"/>
    <s v="31.238833830771256"/>
    <s v="2.0442747296503336"/>
    <s v="3.843333940662601"/>
    <s v="7.252331487144566"/>
    <n v="716747283"/>
    <x v="0"/>
    <n v="3.2101269999999999E-4"/>
    <x v="0"/>
  </r>
  <r>
    <n v="52"/>
    <n v="1"/>
    <n v="2"/>
    <n v="6"/>
    <n v="1"/>
    <n v="3"/>
    <n v="3"/>
    <n v="48"/>
    <n v="6"/>
    <n v="6"/>
    <n v="1"/>
    <n v="34516"/>
    <n v="1473"/>
    <n v="33043"/>
    <n v="0.64200000000000002"/>
    <n v="4254"/>
    <n v="73"/>
    <n v="0.58699999999999997"/>
    <n v="4.2999999999999997E-2"/>
    <s v="8.5047e-05"/>
    <n v="0.99990999999999997"/>
    <s v="22.32571600098553"/>
    <s v="13.390814026764884"/>
    <s v="16.63008329356134"/>
    <s v="16.404931187418907"/>
    <n v="823863033"/>
    <x v="0"/>
    <n v="3.6634394000000002E-4"/>
    <x v="0"/>
  </r>
  <r>
    <n v="59"/>
    <n v="0"/>
    <n v="0"/>
    <n v="2"/>
    <n v="1"/>
    <n v="4"/>
    <n v="0"/>
    <n v="36"/>
    <n v="5"/>
    <n v="3"/>
    <n v="4"/>
    <n v="5688"/>
    <n v="914"/>
    <n v="4774"/>
    <n v="1.099"/>
    <n v="1824"/>
    <n v="53"/>
    <n v="1.038"/>
    <n v="0.161"/>
    <n v="4.4282000000000002E-4"/>
    <n v="0.99956"/>
    <s v="22.518802946583783"/>
    <s v="48.545736450382975"/>
    <s v="9.962455303395208"/>
    <s v="14.565078312623736"/>
    <n v="720953658"/>
    <x v="0"/>
    <n v="8.6538870000000005E-4"/>
    <x v="0"/>
  </r>
  <r>
    <n v="39"/>
    <n v="1"/>
    <n v="3"/>
    <n v="2"/>
    <n v="1"/>
    <n v="1"/>
    <n v="0"/>
    <n v="28"/>
    <n v="4"/>
    <n v="3"/>
    <n v="4"/>
    <n v="3478"/>
    <n v="0"/>
    <n v="3478"/>
    <n v="0.65"/>
    <n v="2133"/>
    <n v="54"/>
    <n v="0.54300000000000004"/>
    <n v="0"/>
    <n v="5.3543000000000004E-4"/>
    <n v="0.99946000000000002"/>
    <s v="11.854968321501406"/>
    <s v="2.7850310029120102"/>
    <s v="54.73457046601499"/>
    <s v="7.464876089325525"/>
    <n v="709997958"/>
    <x v="0"/>
    <n v="2.4821113000000001E-3"/>
    <x v="0"/>
  </r>
  <r>
    <n v="39"/>
    <n v="0"/>
    <n v="2"/>
    <n v="2"/>
    <n v="1"/>
    <n v="4"/>
    <n v="0"/>
    <n v="34"/>
    <n v="4"/>
    <n v="5"/>
    <n v="2"/>
    <n v="1438.3"/>
    <n v="859"/>
    <n v="579.29999999999995"/>
    <n v="0.80800000000000005"/>
    <n v="4409"/>
    <n v="72"/>
    <n v="0.67400000000000004"/>
    <n v="0.59699999999999998"/>
    <n v="2.009E-4"/>
    <n v="0.99980000000000002"/>
    <s v="1.859886875609428"/>
    <s v="3.936744626594983"/>
    <s v="51.03227467196037"/>
    <s v="5.911787451178159"/>
    <n v="808950108"/>
    <x v="0"/>
    <n v="4.8967317000000001E-4"/>
    <x v="0"/>
  </r>
  <r>
    <n v="54"/>
    <n v="0"/>
    <n v="2"/>
    <n v="1"/>
    <n v="1"/>
    <n v="4"/>
    <n v="0"/>
    <n v="41"/>
    <n v="2"/>
    <n v="2"/>
    <n v="3"/>
    <n v="3881"/>
    <n v="2517"/>
    <n v="1364"/>
    <n v="0.81499999999999995"/>
    <n v="2463"/>
    <n v="38"/>
    <n v="0.40699999999999997"/>
    <n v="0.64900000000000002"/>
    <n v="0.99639999999999995"/>
    <n v="3.5960300000000001E-3"/>
    <s v="23.02511652217389"/>
    <s v="82.17027389699722"/>
    <s v="84.72842698575772"/>
    <s v="5.587977541013382"/>
    <n v="718863258"/>
    <x v="1"/>
    <n v="0.99643599999999999"/>
    <x v="1"/>
  </r>
  <r>
    <n v="60"/>
    <n v="1"/>
    <n v="1"/>
    <n v="2"/>
    <n v="2"/>
    <n v="3"/>
    <n v="0"/>
    <n v="55"/>
    <n v="6"/>
    <n v="2"/>
    <n v="1"/>
    <n v="11524"/>
    <n v="0"/>
    <n v="11524"/>
    <n v="0.68200000000000005"/>
    <n v="3598"/>
    <n v="72"/>
    <n v="0.53200000000000003"/>
    <n v="0"/>
    <s v="6.4428e-05"/>
    <n v="0.99994000000000005"/>
    <s v="53.17730534811662"/>
    <s v="27.094193496269828"/>
    <s v="91.95708948513764"/>
    <s v="4.978428974976936"/>
    <n v="813755658"/>
    <x v="0"/>
    <n v="7.387203E-4"/>
    <x v="0"/>
  </r>
  <r>
    <n v="49"/>
    <n v="1"/>
    <n v="4"/>
    <n v="5"/>
    <n v="2"/>
    <n v="3"/>
    <n v="0"/>
    <n v="30"/>
    <n v="3"/>
    <n v="2"/>
    <n v="3"/>
    <n v="34516"/>
    <n v="0"/>
    <n v="34516"/>
    <n v="1.621"/>
    <n v="1444"/>
    <n v="28"/>
    <n v="1.333"/>
    <n v="0"/>
    <n v="2.0642999999999999E-4"/>
    <n v="0.99978999999999996"/>
    <s v="84.88791784665328"/>
    <s v="25.04980146844808"/>
    <n v="85.974267668398198"/>
    <s v="7.3493032780345935"/>
    <n v="712661433"/>
    <x v="0"/>
    <n v="3.2693911E-3"/>
    <x v="0"/>
  </r>
  <r>
    <n v="42"/>
    <n v="1"/>
    <n v="1"/>
    <n v="2"/>
    <n v="1"/>
    <n v="1"/>
    <n v="3"/>
    <n v="34"/>
    <n v="3"/>
    <n v="3"/>
    <n v="2"/>
    <n v="15315"/>
    <n v="1613"/>
    <n v="13702"/>
    <n v="0.85899999999999999"/>
    <n v="14728"/>
    <n v="100"/>
    <n v="0.754"/>
    <n v="0.105"/>
    <n v="1.5254999999999999E-4"/>
    <n v="0.99985000000000002"/>
    <s v="27.62837444106296"/>
    <s v="28.089452697117377"/>
    <s v="6.699488595151469"/>
    <n v="7.9829706999824497"/>
    <n v="719439108"/>
    <x v="0"/>
    <n v="3.4656386999999997E-4"/>
    <x v="0"/>
  </r>
  <r>
    <n v="39"/>
    <n v="1"/>
    <n v="2"/>
    <n v="2"/>
    <n v="1"/>
    <n v="2"/>
    <n v="0"/>
    <n v="36"/>
    <n v="6"/>
    <n v="3"/>
    <n v="3"/>
    <n v="1982"/>
    <n v="1751"/>
    <n v="231"/>
    <n v="0.84299999999999997"/>
    <n v="4313"/>
    <n v="62"/>
    <n v="0.67600000000000005"/>
    <n v="0.88300000000000001"/>
    <n v="3.0250999999999998E-4"/>
    <n v="0.99970000000000003"/>
    <n v="43.268735720701997"/>
    <s v="7.558942743231985"/>
    <s v="65.04402284575393"/>
    <s v="5.691844201360828"/>
    <n v="719046558"/>
    <x v="0"/>
    <n v="3.479205E-4"/>
    <x v="0"/>
  </r>
  <r>
    <n v="54"/>
    <n v="0"/>
    <n v="2"/>
    <n v="0"/>
    <n v="1"/>
    <n v="5"/>
    <n v="0"/>
    <n v="45"/>
    <n v="5"/>
    <n v="3"/>
    <n v="2"/>
    <n v="4523"/>
    <n v="1841"/>
    <n v="2682"/>
    <n v="0.53400000000000003"/>
    <n v="5112"/>
    <n v="87"/>
    <n v="0.70599999999999996"/>
    <n v="0.40699999999999997"/>
    <n v="1.7488000000000001E-4"/>
    <n v="0.99983"/>
    <s v="43.68249045865568"/>
    <s v="24.769065326155687"/>
    <s v="78.71901456063569"/>
    <s v="12.849412683380372"/>
    <n v="789939558"/>
    <x v="0"/>
    <n v="3.2101269999999999E-4"/>
    <x v="0"/>
  </r>
  <r>
    <n v="31"/>
    <n v="1"/>
    <n v="1"/>
    <n v="0"/>
    <n v="1"/>
    <n v="3"/>
    <n v="0"/>
    <n v="36"/>
    <n v="4"/>
    <n v="3"/>
    <n v="3"/>
    <n v="4260"/>
    <n v="1775"/>
    <n v="2485"/>
    <n v="1.2390000000000001"/>
    <n v="2109"/>
    <n v="52"/>
    <n v="0.625"/>
    <n v="0.41699999999999998"/>
    <n v="2.7607E-4"/>
    <n v="0.99972000000000005"/>
    <n v="46.043101524976102"/>
    <s v="11.20595811157473"/>
    <s v="28.482862005978117"/>
    <s v="17.219733615643857"/>
    <n v="714531108"/>
    <x v="0"/>
    <n v="8.1776799999999997E-4"/>
    <x v="0"/>
  </r>
  <r>
    <n v="49"/>
    <n v="0"/>
    <n v="4"/>
    <n v="5"/>
    <n v="1"/>
    <n v="5"/>
    <n v="0"/>
    <n v="36"/>
    <n v="4"/>
    <n v="1"/>
    <n v="3"/>
    <n v="29939"/>
    <n v="0"/>
    <n v="29939"/>
    <n v="0.96299999999999997"/>
    <n v="4305"/>
    <n v="63"/>
    <n v="0.65800000000000003"/>
    <n v="0"/>
    <s v="9.9893e-05"/>
    <n v="0.99990000000000001"/>
    <s v="9.524587821311998"/>
    <s v="79.80015552767858"/>
    <s v="35.35914156053655"/>
    <s v="1.1076591783081575"/>
    <n v="718576908"/>
    <x v="0"/>
    <n v="8.5208465999999999E-4"/>
    <x v="0"/>
  </r>
  <r>
    <n v="44"/>
    <n v="0"/>
    <n v="3"/>
    <n v="6"/>
    <n v="2"/>
    <n v="4"/>
    <n v="0"/>
    <n v="36"/>
    <n v="3"/>
    <n v="1"/>
    <n v="1"/>
    <n v="5644"/>
    <n v="2517"/>
    <n v="3127"/>
    <n v="0.86"/>
    <n v="2440"/>
    <n v="44"/>
    <n v="0.76"/>
    <n v="0.44600000000000001"/>
    <n v="0.97428000000000003"/>
    <n v="2.572E-2"/>
    <s v="14.090617807323556"/>
    <s v="11.380696516606918"/>
    <s v="141.3054464099339"/>
    <s v="5.066838617733641"/>
    <n v="718877883"/>
    <x v="1"/>
    <n v="0.99537189999999998"/>
    <x v="1"/>
  </r>
  <r>
    <n v="39"/>
    <n v="0"/>
    <n v="2"/>
    <n v="5"/>
    <n v="1"/>
    <n v="4"/>
    <n v="0"/>
    <n v="30"/>
    <n v="3"/>
    <n v="1"/>
    <n v="3"/>
    <n v="3108"/>
    <n v="778"/>
    <n v="2330"/>
    <n v="0.64500000000000002"/>
    <n v="4130"/>
    <n v="87"/>
    <n v="0.70599999999999996"/>
    <n v="0.25"/>
    <s v="9.5249e-05"/>
    <n v="0.99990000000000001"/>
    <s v="35.31346802426764"/>
    <s v="14.598347578677393"/>
    <s v="52.26939129394196"/>
    <s v="12.85339893395278"/>
    <n v="789420933"/>
    <x v="0"/>
    <n v="5.2566850000000003E-4"/>
    <x v="0"/>
  </r>
  <r>
    <n v="35"/>
    <n v="1"/>
    <n v="2"/>
    <n v="2"/>
    <n v="1"/>
    <n v="3"/>
    <n v="0"/>
    <n v="21"/>
    <n v="6"/>
    <n v="2"/>
    <n v="1"/>
    <n v="7685"/>
    <n v="2517"/>
    <n v="5168"/>
    <n v="0.745"/>
    <n v="13604"/>
    <n v="116"/>
    <n v="0.73099999999999998"/>
    <n v="0.32800000000000001"/>
    <s v="6.864e-05"/>
    <n v="0.99992999999999999"/>
    <s v="5.305599223767418"/>
    <s v="6.568194201777186"/>
    <s v="117.63170454494184"/>
    <s v="1.3546548415583537"/>
    <n v="720899058"/>
    <x v="0"/>
    <n v="3.7453471999999999E-4"/>
    <x v="0"/>
  </r>
  <r>
    <n v="39"/>
    <n v="1"/>
    <n v="4"/>
    <n v="2"/>
    <n v="1"/>
    <n v="3"/>
    <n v="0"/>
    <n v="31"/>
    <n v="1"/>
    <n v="3"/>
    <n v="3"/>
    <n v="3929"/>
    <n v="542"/>
    <n v="3387"/>
    <n v="0.81100000000000005"/>
    <n v="7773"/>
    <n v="64"/>
    <n v="0.73"/>
    <n v="0.13800000000000001"/>
    <n v="0.99685999999999997"/>
    <n v="3.1411199999999998E-3"/>
    <s v="11.263456169940568"/>
    <s v="1.9758924145062604"/>
    <s v="50.71488548069435"/>
    <s v="30.99072877411642"/>
    <n v="714879483"/>
    <x v="1"/>
    <n v="0.99466984999999997"/>
    <x v="1"/>
  </r>
  <r>
    <n v="48"/>
    <n v="0"/>
    <n v="2"/>
    <n v="6"/>
    <n v="0"/>
    <n v="4"/>
    <n v="0"/>
    <n v="35"/>
    <n v="3"/>
    <n v="1"/>
    <n v="4"/>
    <n v="2806"/>
    <n v="2514"/>
    <n v="292"/>
    <n v="0.34100000000000003"/>
    <n v="1757"/>
    <n v="35"/>
    <n v="0.4"/>
    <n v="0.89600000000000002"/>
    <n v="0.99428000000000005"/>
    <n v="5.7200000000000003E-3"/>
    <s v="3.969145924036088"/>
    <s v="4.927569606914716"/>
    <s v="81.86466078016267"/>
    <n v="8.2132252770020404"/>
    <n v="713722608"/>
    <x v="1"/>
    <n v="0.99352680000000004"/>
    <x v="1"/>
  </r>
  <r>
    <n v="38"/>
    <n v="0"/>
    <n v="2"/>
    <n v="3"/>
    <n v="1"/>
    <n v="1"/>
    <n v="0"/>
    <n v="28"/>
    <n v="3"/>
    <n v="2"/>
    <n v="2"/>
    <n v="7225"/>
    <n v="0"/>
    <n v="7225"/>
    <n v="0.41899999999999998"/>
    <n v="738"/>
    <n v="16"/>
    <n v="0.23100000000000001"/>
    <n v="0"/>
    <n v="0.99104000000000003"/>
    <n v="8.9599999999999992E-3"/>
    <s v="14.669211022723958"/>
    <s v="50.38580628531548"/>
    <n v="80.813397674490005"/>
    <s v="4.248671740554303"/>
    <n v="717412608"/>
    <x v="1"/>
    <n v="0.99870884000000004"/>
    <x v="1"/>
  </r>
  <r>
    <n v="56"/>
    <n v="1"/>
    <n v="3"/>
    <n v="6"/>
    <n v="2"/>
    <n v="2"/>
    <n v="0"/>
    <n v="49"/>
    <n v="3"/>
    <n v="1"/>
    <n v="3"/>
    <n v="1438.3"/>
    <n v="0"/>
    <n v="1438.3"/>
    <n v="0.503"/>
    <n v="1093"/>
    <n v="22"/>
    <n v="0.83299999999999996"/>
    <n v="0"/>
    <n v="1.0566E-4"/>
    <n v="0.99988999999999995"/>
    <s v="3.3426973924273744"/>
    <s v="68.01385465048519"/>
    <s v="4.496090927863852"/>
    <s v="1.8996486888052144"/>
    <n v="753606108"/>
    <x v="0"/>
    <n v="3.9530015E-3"/>
    <x v="0"/>
  </r>
  <r>
    <n v="47"/>
    <n v="1"/>
    <n v="3"/>
    <n v="2"/>
    <n v="2"/>
    <n v="2"/>
    <n v="3"/>
    <n v="36"/>
    <n v="1"/>
    <n v="1"/>
    <n v="2"/>
    <n v="30498"/>
    <n v="1990"/>
    <n v="28508"/>
    <n v="0.83899999999999997"/>
    <n v="16202"/>
    <n v="120"/>
    <n v="0.79100000000000004"/>
    <n v="6.5000000000000002E-2"/>
    <s v="5.164e-05"/>
    <n v="0.99995000000000001"/>
    <s v="20.02414536214116"/>
    <s v="70.10026765440325"/>
    <s v="105.42554143011772"/>
    <s v="4.671784282405004"/>
    <n v="720943308"/>
    <x v="0"/>
    <n v="3.8573547000000003E-4"/>
    <x v="0"/>
  </r>
  <r>
    <n v="49"/>
    <n v="0"/>
    <n v="1"/>
    <n v="5"/>
    <n v="1"/>
    <n v="4"/>
    <n v="1"/>
    <n v="37"/>
    <n v="2"/>
    <n v="3"/>
    <n v="1"/>
    <n v="15987"/>
    <n v="2065"/>
    <n v="13922"/>
    <n v="0.70499999999999996"/>
    <n v="7395"/>
    <n v="100"/>
    <n v="0.56200000000000006"/>
    <n v="0.129"/>
    <n v="1.2061E-4"/>
    <n v="0.99987999999999999"/>
    <s v="40.86088328019025"/>
    <s v="20.86036630746424"/>
    <s v="163.65891819994172"/>
    <s v="0.3940513289845797"/>
    <n v="718100808"/>
    <x v="0"/>
    <n v="3.7789578000000003E-4"/>
    <x v="0"/>
  </r>
  <r>
    <n v="44"/>
    <n v="0"/>
    <n v="2"/>
    <n v="2"/>
    <n v="2"/>
    <n v="5"/>
    <n v="0"/>
    <n v="37"/>
    <n v="4"/>
    <n v="3"/>
    <n v="3"/>
    <n v="8128"/>
    <n v="2344"/>
    <n v="5784"/>
    <n v="0.78800000000000003"/>
    <n v="4251"/>
    <n v="80"/>
    <n v="1.0509999999999999"/>
    <n v="0.28799999999999998"/>
    <n v="3.0250999999999998E-4"/>
    <n v="0.99970000000000003"/>
    <s v="38.459907183747205"/>
    <n v="49.640120552006103"/>
    <s v="48.19229838480644"/>
    <s v="6.187636781035444"/>
    <n v="757300008"/>
    <x v="0"/>
    <n v="3.2101269999999999E-4"/>
    <x v="0"/>
  </r>
  <r>
    <n v="42"/>
    <n v="1"/>
    <n v="4"/>
    <n v="3"/>
    <n v="1"/>
    <n v="2"/>
    <n v="0"/>
    <n v="38"/>
    <n v="2"/>
    <n v="2"/>
    <n v="2"/>
    <n v="13426"/>
    <n v="0"/>
    <n v="13426"/>
    <n v="0.71699999999999997"/>
    <n v="4674"/>
    <n v="66"/>
    <n v="0.88600000000000001"/>
    <n v="0"/>
    <n v="1.1603999999999999E-4"/>
    <n v="0.99987999999999999"/>
    <n v="8.7805943094505601"/>
    <s v="30.23698271976589"/>
    <s v="59.830303348285504"/>
    <s v="21.48713662252537"/>
    <n v="827703258"/>
    <x v="0"/>
    <n v="7.4965424999999997E-4"/>
    <x v="0"/>
  </r>
  <r>
    <n v="36"/>
    <n v="0"/>
    <n v="2"/>
    <n v="6"/>
    <n v="1"/>
    <n v="4"/>
    <n v="0"/>
    <n v="26"/>
    <n v="4"/>
    <n v="1"/>
    <n v="4"/>
    <n v="3182"/>
    <n v="2435"/>
    <n v="747"/>
    <n v="0.86799999999999999"/>
    <n v="1670"/>
    <n v="30"/>
    <n v="0.76500000000000001"/>
    <n v="0.76500000000000001"/>
    <n v="1.7370999999999999E-4"/>
    <n v="0.99983"/>
    <s v="32.985150284714365"/>
    <s v="18.919106356919315"/>
    <s v="74.88052465991449"/>
    <s v="13.564491403785995"/>
    <n v="718751133"/>
    <x v="0"/>
    <n v="1.0337284E-3"/>
    <x v="0"/>
  </r>
  <r>
    <n v="59"/>
    <n v="0"/>
    <n v="1"/>
    <n v="2"/>
    <n v="2"/>
    <n v="4"/>
    <n v="0"/>
    <n v="51"/>
    <n v="1"/>
    <n v="4"/>
    <n v="4"/>
    <n v="4257"/>
    <n v="2517"/>
    <n v="1740"/>
    <n v="0.70299999999999996"/>
    <n v="2828"/>
    <n v="50"/>
    <n v="1.083"/>
    <n v="0.59099999999999997"/>
    <n v="0.99829999999999997"/>
    <n v="1.7045999999999999E-3"/>
    <s v="6.092745752411275"/>
    <s v="26.000697051671327"/>
    <s v="70.75662736585834"/>
    <s v="14.38210138046312"/>
    <n v="717146208"/>
    <x v="1"/>
    <n v="0.99320613999999996"/>
    <x v="1"/>
  </r>
  <r>
    <n v="36"/>
    <n v="1"/>
    <n v="3"/>
    <n v="2"/>
    <n v="1"/>
    <n v="0"/>
    <n v="0"/>
    <n v="29"/>
    <n v="5"/>
    <n v="2"/>
    <n v="4"/>
    <n v="12852"/>
    <n v="1945"/>
    <n v="10907"/>
    <n v="0.65900000000000003"/>
    <n v="1606"/>
    <n v="33"/>
    <n v="0.94099999999999995"/>
    <n v="0.151"/>
    <n v="3.3886000000000002E-4"/>
    <n v="0.99965999999999999"/>
    <s v="44.01305829862978"/>
    <s v="18.954748638314385"/>
    <s v="25.927849100933507"/>
    <s v="13.158722751096592"/>
    <n v="751469808"/>
    <x v="0"/>
    <n v="9.8706899999999992E-4"/>
    <x v="0"/>
  </r>
  <r>
    <n v="43"/>
    <n v="0"/>
    <n v="3"/>
    <n v="2"/>
    <n v="3"/>
    <n v="5"/>
    <n v="3"/>
    <n v="33"/>
    <n v="3"/>
    <n v="1"/>
    <n v="3"/>
    <n v="34516"/>
    <n v="1858"/>
    <n v="32658"/>
    <n v="0.622"/>
    <n v="4197"/>
    <n v="67"/>
    <n v="0.52300000000000002"/>
    <n v="5.3999999999999999E-2"/>
    <s v="8.6856e-05"/>
    <n v="0.99990999999999997"/>
    <s v="31.327292945216712"/>
    <s v="33.04917979540914"/>
    <s v="50.82922792283998"/>
    <s v="12.587864137450405"/>
    <n v="789334458"/>
    <x v="0"/>
    <n v="3.6634394000000002E-4"/>
    <x v="0"/>
  </r>
  <r>
    <n v="31"/>
    <n v="1"/>
    <n v="0"/>
    <n v="2"/>
    <n v="0"/>
    <n v="3"/>
    <n v="0"/>
    <n v="19"/>
    <n v="1"/>
    <n v="1"/>
    <n v="2"/>
    <n v="21615"/>
    <n v="570"/>
    <n v="21045"/>
    <n v="0.73699999999999999"/>
    <n v="16464"/>
    <n v="103"/>
    <n v="0.71699999999999997"/>
    <n v="2.5999999999999999E-2"/>
    <s v="4.7263e-05"/>
    <n v="0.99995000000000001"/>
    <s v="30.44465077686237"/>
    <s v="83.38026243663673"/>
    <s v="63.10787223802408"/>
    <n v="0.29309097698574199"/>
    <n v="717788958"/>
    <x v="0"/>
    <n v="7.5047980000000002E-4"/>
    <x v="0"/>
  </r>
  <r>
    <n v="43"/>
    <n v="0"/>
    <n v="5"/>
    <n v="5"/>
    <n v="1"/>
    <n v="1"/>
    <n v="0"/>
    <n v="36"/>
    <n v="5"/>
    <n v="3"/>
    <n v="2"/>
    <n v="2311"/>
    <n v="1320"/>
    <n v="991"/>
    <n v="0.65800000000000003"/>
    <n v="3967"/>
    <n v="71"/>
    <n v="0.69"/>
    <n v="0.57099999999999995"/>
    <n v="1.9094000000000001E-4"/>
    <n v="0.99980999999999998"/>
    <s v="7.364007279109299"/>
    <s v="21.262687966817584"/>
    <s v="108.19566784575152"/>
    <s v="19.59848852170928"/>
    <n v="753208833"/>
    <x v="0"/>
    <n v="3.2101269999999999E-4"/>
    <x v="0"/>
  </r>
  <r>
    <n v="40"/>
    <n v="1"/>
    <n v="4"/>
    <n v="6"/>
    <n v="1"/>
    <n v="3"/>
    <n v="0"/>
    <n v="31"/>
    <n v="1"/>
    <n v="3"/>
    <n v="6"/>
    <n v="23502"/>
    <n v="0"/>
    <n v="23502"/>
    <n v="0.83899999999999997"/>
    <n v="7957"/>
    <n v="60"/>
    <n v="0.875"/>
    <n v="0"/>
    <n v="0.99944999999999995"/>
    <n v="5.5285000000000002E-4"/>
    <s v="19.233865558232612"/>
    <s v="43.28442718797854"/>
    <s v="79.88286965830274"/>
    <n v="2.2929998531644702"/>
    <n v="719547033"/>
    <x v="1"/>
    <n v="0.99239200000000005"/>
    <x v="1"/>
  </r>
  <r>
    <n v="37"/>
    <n v="0"/>
    <n v="2"/>
    <n v="2"/>
    <n v="1"/>
    <n v="1"/>
    <n v="0"/>
    <n v="36"/>
    <n v="5"/>
    <n v="3"/>
    <n v="2"/>
    <n v="1959"/>
    <n v="662"/>
    <n v="1297"/>
    <n v="0.88800000000000001"/>
    <n v="3046"/>
    <n v="52"/>
    <n v="0.79300000000000004"/>
    <n v="0.33800000000000002"/>
    <n v="0.99446999999999997"/>
    <n v="5.5300000000000002E-3"/>
    <s v="21.39994102531577"/>
    <n v="94.649512908578004"/>
    <s v="3.575726313399935"/>
    <s v="24.684987896062555"/>
    <n v="708918558"/>
    <x v="1"/>
    <n v="0.99540470000000003"/>
    <x v="1"/>
  </r>
  <r>
    <n v="56"/>
    <n v="0"/>
    <n v="4"/>
    <n v="4"/>
    <n v="3"/>
    <n v="4"/>
    <n v="0"/>
    <n v="49"/>
    <n v="5"/>
    <n v="3"/>
    <n v="3"/>
    <n v="4604"/>
    <n v="621"/>
    <n v="3983"/>
    <n v="0.81399999999999995"/>
    <n v="4586"/>
    <n v="79"/>
    <n v="0.64600000000000002"/>
    <n v="0.13500000000000001"/>
    <n v="3.7329000000000003E-4"/>
    <n v="0.99963000000000002"/>
    <s v="16.466227684999094"/>
    <s v="20.17296713748052"/>
    <s v="50.56649128649101"/>
    <s v="5.018919631709816"/>
    <n v="709176108"/>
    <x v="0"/>
    <n v="5.5868360000000002E-4"/>
    <x v="0"/>
  </r>
  <r>
    <n v="43"/>
    <n v="0"/>
    <n v="2"/>
    <n v="3"/>
    <n v="1"/>
    <n v="1"/>
    <n v="0"/>
    <n v="34"/>
    <n v="3"/>
    <n v="1"/>
    <n v="3"/>
    <n v="2032"/>
    <n v="1008"/>
    <n v="1024"/>
    <n v="0.879"/>
    <n v="4736"/>
    <n v="86"/>
    <n v="0.83"/>
    <n v="0.496"/>
    <s v="9.0056e-05"/>
    <n v="0.99990999999999997"/>
    <s v="1.432711994583325"/>
    <s v="17.578730201269057"/>
    <s v="64.89924723497252"/>
    <s v="1.8073047200286343"/>
    <n v="721399833"/>
    <x v="0"/>
    <n v="3.2101269999999999E-4"/>
    <x v="0"/>
  </r>
  <r>
    <n v="57"/>
    <n v="0"/>
    <n v="2"/>
    <n v="5"/>
    <n v="2"/>
    <n v="4"/>
    <n v="0"/>
    <n v="51"/>
    <n v="3"/>
    <n v="5"/>
    <n v="2"/>
    <n v="1614"/>
    <n v="0"/>
    <n v="1614"/>
    <n v="0.24099999999999999"/>
    <n v="1690"/>
    <n v="38"/>
    <n v="0.35699999999999998"/>
    <n v="0"/>
    <n v="0.99517999999999995"/>
    <n v="4.8167799999999997E-3"/>
    <s v="17.81004064963543"/>
    <s v="13.359174727884712"/>
    <s v="23.22777668152285"/>
    <s v="1.6337412045910695"/>
    <n v="711474333"/>
    <x v="1"/>
    <n v="0.99860470000000001"/>
    <x v="1"/>
  </r>
  <r>
    <n v="41"/>
    <n v="1"/>
    <n v="3"/>
    <n v="4"/>
    <n v="1"/>
    <n v="2"/>
    <n v="0"/>
    <n v="34"/>
    <n v="4"/>
    <n v="2"/>
    <n v="2"/>
    <n v="2624"/>
    <n v="1319"/>
    <n v="1305"/>
    <n v="0.76800000000000002"/>
    <n v="4189"/>
    <n v="74"/>
    <n v="0.60899999999999999"/>
    <n v="0.503"/>
    <n v="1.3897000000000001E-4"/>
    <n v="0.99985999999999997"/>
    <s v="24.01882154086375"/>
    <s v="53.41576541640698"/>
    <s v="126.74252142829737"/>
    <s v="11.573829430459694"/>
    <n v="787573683"/>
    <x v="0"/>
    <n v="3.2914013999999999E-4"/>
    <x v="0"/>
  </r>
  <r>
    <n v="40"/>
    <n v="0"/>
    <n v="4"/>
    <n v="5"/>
    <n v="2"/>
    <n v="5"/>
    <n v="0"/>
    <n v="32"/>
    <n v="3"/>
    <n v="1"/>
    <n v="3"/>
    <n v="3056"/>
    <n v="2038"/>
    <n v="1018"/>
    <n v="0.67500000000000004"/>
    <n v="4734"/>
    <n v="73"/>
    <n v="0.65900000000000003"/>
    <n v="0.66700000000000004"/>
    <s v="9.9893e-05"/>
    <n v="0.99990000000000001"/>
    <s v="42.27585788550619"/>
    <s v="4.045632465206021"/>
    <n v="98.6006848465058"/>
    <s v="33.74760383515776"/>
    <n v="717200508"/>
    <x v="0"/>
    <n v="3.2101269999999999E-4"/>
    <x v="0"/>
  </r>
  <r>
    <n v="39"/>
    <n v="0"/>
    <n v="3"/>
    <n v="2"/>
    <n v="1"/>
    <n v="4"/>
    <n v="0"/>
    <n v="27"/>
    <n v="3"/>
    <n v="3"/>
    <n v="2"/>
    <n v="1902"/>
    <n v="962"/>
    <n v="940"/>
    <n v="0.53400000000000003"/>
    <n v="4203"/>
    <n v="69"/>
    <n v="0.72499999999999998"/>
    <n v="0.50600000000000001"/>
    <n v="1.8665000000000001E-4"/>
    <n v="0.99980999999999998"/>
    <s v="20.946672790686357"/>
    <s v="48.27046346607322"/>
    <s v="22.974567407882933"/>
    <s v="0.6527587050322372"/>
    <n v="778740708"/>
    <x v="0"/>
    <n v="3.9522952000000002E-4"/>
    <x v="0"/>
  </r>
  <r>
    <n v="56"/>
    <n v="1"/>
    <n v="3"/>
    <n v="2"/>
    <n v="1"/>
    <n v="2"/>
    <n v="0"/>
    <n v="40"/>
    <n v="3"/>
    <n v="3"/>
    <n v="2"/>
    <n v="20501"/>
    <n v="561"/>
    <n v="19940"/>
    <n v="0.77900000000000003"/>
    <n v="15162"/>
    <n v="99"/>
    <n v="0.67800000000000005"/>
    <n v="2.7E-2"/>
    <n v="1.8665000000000001E-4"/>
    <n v="0.99980999999999998"/>
    <s v="1.9921806640266728"/>
    <s v="46.173702746577206"/>
    <s v="7.767393649631137"/>
    <s v="23.13156153490854"/>
    <n v="709467183"/>
    <x v="0"/>
    <n v="7.5047980000000002E-4"/>
    <x v="0"/>
  </r>
  <r>
    <n v="61"/>
    <n v="1"/>
    <n v="0"/>
    <n v="2"/>
    <n v="1"/>
    <n v="2"/>
    <n v="0"/>
    <n v="54"/>
    <n v="3"/>
    <n v="2"/>
    <n v="0"/>
    <n v="1616"/>
    <n v="1047"/>
    <n v="569"/>
    <n v="0.98399999999999999"/>
    <n v="1389"/>
    <n v="33"/>
    <n v="1.2"/>
    <n v="0.64800000000000002"/>
    <s v="3.6029e-05"/>
    <n v="0.99995999999999996"/>
    <s v="7.304827394750655"/>
    <s v="22.41616428245303"/>
    <s v="43.95283397637347"/>
    <s v="5.315660616531185"/>
    <n v="710027508"/>
    <x v="0"/>
    <n v="1.0249399E-3"/>
    <x v="0"/>
  </r>
  <r>
    <n v="48"/>
    <n v="0"/>
    <n v="4"/>
    <n v="3"/>
    <n v="1"/>
    <n v="5"/>
    <n v="0"/>
    <n v="44"/>
    <n v="1"/>
    <n v="2"/>
    <n v="1"/>
    <n v="2625"/>
    <n v="2517"/>
    <n v="108"/>
    <n v="0.70199999999999996"/>
    <n v="4378"/>
    <n v="81"/>
    <n v="0.88400000000000001"/>
    <n v="0.95899999999999996"/>
    <s v="6.9982e-05"/>
    <n v="0.99992999999999999"/>
    <n v="49.635657952149799"/>
    <s v="33.29266078081963"/>
    <s v="11.746860960423952"/>
    <s v="4.926536325014072"/>
    <n v="820639908"/>
    <x v="0"/>
    <n v="3.4692350000000002E-4"/>
    <x v="0"/>
  </r>
  <r>
    <n v="53"/>
    <n v="0"/>
    <n v="2"/>
    <n v="6"/>
    <n v="2"/>
    <n v="4"/>
    <n v="0"/>
    <n v="41"/>
    <n v="5"/>
    <n v="1"/>
    <n v="3"/>
    <n v="2329"/>
    <n v="2290"/>
    <n v="39"/>
    <n v="0.53300000000000003"/>
    <n v="4609"/>
    <n v="76"/>
    <n v="0.76700000000000002"/>
    <n v="0.98299999999999998"/>
    <n v="1.0183000000000001E-4"/>
    <n v="0.99990000000000001"/>
    <s v="26.867977922568524"/>
    <s v="70.14202144704599"/>
    <n v="72.006215460447706"/>
    <s v="16.152541693672124"/>
    <n v="789121233"/>
    <x v="0"/>
    <n v="3.2101269999999999E-4"/>
    <x v="0"/>
  </r>
  <r>
    <n v="26"/>
    <n v="1"/>
    <n v="0"/>
    <n v="3"/>
    <n v="2"/>
    <n v="4"/>
    <n v="0"/>
    <n v="13"/>
    <n v="6"/>
    <n v="1"/>
    <n v="4"/>
    <n v="1775"/>
    <n v="1162"/>
    <n v="613"/>
    <n v="0.93"/>
    <n v="2169"/>
    <n v="43"/>
    <n v="0.53600000000000003"/>
    <n v="0.65500000000000003"/>
    <n v="1.3184000000000001E-4"/>
    <n v="0.99987000000000004"/>
    <s v="23.708890246936164"/>
    <s v="20.28727278235209"/>
    <s v="153.78577759486362"/>
    <s v="17.226904981848858"/>
    <n v="710934033"/>
    <x v="0"/>
    <n v="1.4450228000000001E-3"/>
    <x v="0"/>
  </r>
  <r>
    <n v="47"/>
    <n v="0"/>
    <n v="3"/>
    <n v="1"/>
    <n v="1"/>
    <n v="4"/>
    <n v="0"/>
    <n v="35"/>
    <n v="2"/>
    <n v="3"/>
    <n v="2"/>
    <n v="4779"/>
    <n v="2517"/>
    <n v="2262"/>
    <n v="0.92900000000000005"/>
    <n v="8912"/>
    <n v="63"/>
    <n v="0.65800000000000003"/>
    <n v="0.52700000000000002"/>
    <n v="0.99631000000000003"/>
    <n v="3.6879199999999999E-3"/>
    <s v="24.56426288104325"/>
    <s v="1.7611468333808578"/>
    <s v="7.913150614811848"/>
    <s v="6.745349675467269"/>
    <n v="717047583"/>
    <x v="1"/>
    <n v="0.98948550000000002"/>
    <x v="1"/>
  </r>
  <r>
    <n v="39"/>
    <n v="1"/>
    <n v="1"/>
    <n v="3"/>
    <n v="1"/>
    <n v="3"/>
    <n v="0"/>
    <n v="28"/>
    <n v="4"/>
    <n v="2"/>
    <n v="4"/>
    <n v="3327"/>
    <n v="0"/>
    <n v="3327"/>
    <n v="1.089"/>
    <n v="1665"/>
    <n v="36"/>
    <n v="0.63600000000000001"/>
    <n v="0"/>
    <n v="2.9798999999999998E-4"/>
    <n v="0.99970000000000003"/>
    <s v="9.621934188325186"/>
    <s v="35.978115041598855"/>
    <s v="12.900067567815334"/>
    <s v="0.4095053731145639"/>
    <n v="718726833"/>
    <x v="0"/>
    <n v="3.8659226000000001E-3"/>
    <x v="0"/>
  </r>
  <r>
    <n v="37"/>
    <n v="0"/>
    <n v="0"/>
    <n v="4"/>
    <n v="1"/>
    <n v="4"/>
    <n v="0"/>
    <n v="25"/>
    <n v="4"/>
    <n v="3"/>
    <n v="2"/>
    <n v="2061"/>
    <n v="1483"/>
    <n v="578"/>
    <n v="1.3620000000000001"/>
    <n v="2400"/>
    <n v="60"/>
    <n v="0.622"/>
    <n v="0.72"/>
    <n v="1.8162000000000001E-4"/>
    <n v="0.99982000000000004"/>
    <s v="7.826643508327626"/>
    <s v="11.746588914452492"/>
    <s v="58.37343713580241"/>
    <s v="8.865478616592018"/>
    <n v="719407983"/>
    <x v="0"/>
    <n v="4.2008395999999998E-4"/>
    <x v="0"/>
  </r>
  <r>
    <n v="33"/>
    <n v="0"/>
    <n v="0"/>
    <n v="2"/>
    <n v="2"/>
    <n v="4"/>
    <n v="0"/>
    <n v="26"/>
    <n v="6"/>
    <n v="1"/>
    <n v="3"/>
    <n v="2382"/>
    <n v="1565"/>
    <n v="817"/>
    <n v="0.73"/>
    <n v="4011"/>
    <n v="68"/>
    <n v="0.83799999999999997"/>
    <n v="0.65700000000000003"/>
    <s v="7.9494e-05"/>
    <n v="0.99992000000000003"/>
    <s v="6.3924120497307255"/>
    <s v="94.73398319009344"/>
    <s v="46.31110264670328"/>
    <s v="26.82300466661384"/>
    <n v="717179508"/>
    <x v="0"/>
    <n v="3.2101269999999999E-4"/>
    <x v="0"/>
  </r>
  <r>
    <n v="47"/>
    <n v="1"/>
    <n v="4"/>
    <n v="4"/>
    <n v="0"/>
    <n v="2"/>
    <n v="0"/>
    <n v="36"/>
    <n v="4"/>
    <n v="2"/>
    <n v="5"/>
    <n v="20237"/>
    <n v="1593"/>
    <n v="18644"/>
    <n v="0.81100000000000005"/>
    <n v="15041"/>
    <n v="102"/>
    <n v="1"/>
    <n v="7.9000000000000001E-2"/>
    <n v="6.9713999999999996E-4"/>
    <n v="0.99929999999999997"/>
    <s v="12.079397061968992"/>
    <s v="79.12460116910184"/>
    <s v="77.40938479475699"/>
    <s v="1.2915382905501127"/>
    <n v="789237333"/>
    <x v="0"/>
    <n v="4.6400027000000001E-4"/>
    <x v="0"/>
  </r>
  <r>
    <n v="52"/>
    <n v="1"/>
    <n v="2"/>
    <n v="0"/>
    <n v="1"/>
    <n v="3"/>
    <n v="0"/>
    <n v="36"/>
    <n v="6"/>
    <n v="3"/>
    <n v="4"/>
    <n v="2803"/>
    <n v="778"/>
    <n v="2025"/>
    <n v="0.55000000000000004"/>
    <n v="3142"/>
    <n v="64"/>
    <n v="0.56100000000000005"/>
    <n v="0.27800000000000002"/>
    <n v="5.0168000000000001E-4"/>
    <n v="0.99950000000000006"/>
    <s v="5.391209565004065"/>
    <s v="18.44095679659523"/>
    <s v="137.23747387177175"/>
    <s v="3.679800872930909"/>
    <n v="709216533"/>
    <x v="0"/>
    <n v="5.666534E-4"/>
    <x v="0"/>
  </r>
  <r>
    <n v="43"/>
    <n v="0"/>
    <n v="4"/>
    <n v="2"/>
    <n v="0"/>
    <n v="5"/>
    <n v="0"/>
    <n v="23"/>
    <n v="6"/>
    <n v="3"/>
    <n v="2"/>
    <n v="3187"/>
    <n v="2430"/>
    <n v="757"/>
    <n v="0.61699999999999999"/>
    <n v="1387"/>
    <n v="33"/>
    <n v="1.357"/>
    <n v="0.76200000000000001"/>
    <n v="1.8864000000000001E-4"/>
    <n v="0.99980999999999998"/>
    <s v="15.08287374840129"/>
    <s v="77.62714803975132"/>
    <s v="12.126812681813515"/>
    <s v="25.01723903366296"/>
    <n v="708528483"/>
    <x v="0"/>
    <n v="9.8706899999999992E-4"/>
    <x v="0"/>
  </r>
  <r>
    <n v="53"/>
    <n v="1"/>
    <n v="2"/>
    <n v="2"/>
    <n v="2"/>
    <n v="0"/>
    <n v="0"/>
    <n v="36"/>
    <n v="3"/>
    <n v="2"/>
    <n v="2"/>
    <n v="18551"/>
    <n v="1434"/>
    <n v="17117"/>
    <n v="1.149"/>
    <n v="5364"/>
    <n v="90"/>
    <n v="0.76500000000000001"/>
    <n v="7.6999999999999999E-2"/>
    <n v="1.1382E-4"/>
    <n v="0.99988999999999995"/>
    <s v="28.78299179929176"/>
    <s v="25.46838628250499"/>
    <s v="56.26747936104829"/>
    <s v="8.309558648756981"/>
    <n v="709296558"/>
    <x v="0"/>
    <n v="4.0607593999999998E-4"/>
    <x v="0"/>
  </r>
  <r>
    <n v="40"/>
    <n v="1"/>
    <n v="3"/>
    <n v="4"/>
    <n v="1"/>
    <n v="3"/>
    <n v="0"/>
    <n v="36"/>
    <n v="5"/>
    <n v="3"/>
    <n v="2"/>
    <n v="20371"/>
    <n v="1832"/>
    <n v="18539"/>
    <n v="0.90700000000000003"/>
    <n v="1665"/>
    <n v="45"/>
    <n v="0.8"/>
    <n v="0.09"/>
    <n v="2.1961999999999999E-4"/>
    <n v="0.99978"/>
    <s v="6.303129638367564"/>
    <s v="40.27720016751668"/>
    <s v="72.86427812578015"/>
    <s v="17.951224509887698"/>
    <n v="709217358"/>
    <x v="0"/>
    <n v="1.0153692E-3"/>
    <x v="0"/>
  </r>
  <r>
    <n v="57"/>
    <n v="1"/>
    <n v="0"/>
    <n v="1"/>
    <n v="1"/>
    <n v="2"/>
    <n v="0"/>
    <n v="36"/>
    <n v="3"/>
    <n v="1"/>
    <n v="2"/>
    <n v="5335"/>
    <n v="1206"/>
    <n v="4129"/>
    <n v="0.69"/>
    <n v="1844"/>
    <n v="49"/>
    <n v="0.75"/>
    <n v="0.22600000000000001"/>
    <s v="6.8395e-05"/>
    <n v="0.99992999999999999"/>
    <s v="13.807736132026902"/>
    <s v="45.91946867443939"/>
    <s v="17.418331090546396"/>
    <s v="25.93699897729607"/>
    <n v="717599283"/>
    <x v="0"/>
    <n v="8.7760119999999995E-4"/>
    <x v="0"/>
  </r>
  <r>
    <n v="49"/>
    <n v="1"/>
    <n v="3"/>
    <n v="6"/>
    <n v="1"/>
    <n v="1"/>
    <n v="0"/>
    <n v="32"/>
    <n v="4"/>
    <n v="3"/>
    <n v="3"/>
    <n v="3114"/>
    <n v="2208"/>
    <n v="906"/>
    <n v="0.82399999999999995"/>
    <n v="5219"/>
    <n v="86"/>
    <n v="0.68600000000000005"/>
    <n v="0.70899999999999996"/>
    <n v="3.4503000000000002E-4"/>
    <n v="0.99965000000000004"/>
    <s v="4.388002498911572"/>
    <s v="87.49418012149141"/>
    <s v="35.305164739119526"/>
    <s v="7.950445150852229"/>
    <n v="713442933"/>
    <x v="0"/>
    <n v="3.2101269999999999E-4"/>
    <x v="0"/>
  </r>
  <r>
    <n v="59"/>
    <n v="0"/>
    <n v="0"/>
    <n v="2"/>
    <n v="2"/>
    <n v="4"/>
    <n v="0"/>
    <n v="53"/>
    <n v="6"/>
    <n v="3"/>
    <n v="4"/>
    <n v="4830"/>
    <n v="1469"/>
    <n v="3361"/>
    <n v="0.63400000000000001"/>
    <n v="3365"/>
    <n v="63"/>
    <n v="0.75"/>
    <n v="0.30399999999999999"/>
    <n v="4.4282000000000002E-4"/>
    <n v="0.99956"/>
    <s v="11.173167661755755"/>
    <s v="47.12573888608146"/>
    <s v="125.5323519970522"/>
    <s v="13.432249922924036"/>
    <n v="768420558"/>
    <x v="0"/>
    <n v="3.479205E-4"/>
    <x v="0"/>
  </r>
  <r>
    <n v="42"/>
    <n v="0"/>
    <n v="3"/>
    <n v="6"/>
    <n v="1"/>
    <n v="5"/>
    <n v="0"/>
    <n v="34"/>
    <n v="6"/>
    <n v="3"/>
    <n v="2"/>
    <n v="5395"/>
    <n v="1439"/>
    <n v="3956"/>
    <n v="0.78100000000000003"/>
    <n v="3523"/>
    <n v="79"/>
    <n v="0.71699999999999997"/>
    <n v="0.26700000000000002"/>
    <n v="2.0515999999999999E-4"/>
    <n v="0.99978999999999996"/>
    <s v="2.856575194596192"/>
    <s v="21.09911101641412"/>
    <s v="79.63193795935511"/>
    <s v="29.868592572177526"/>
    <n v="708469533"/>
    <x v="0"/>
    <n v="3.2101269999999999E-4"/>
    <x v="0"/>
  </r>
  <r>
    <n v="38"/>
    <n v="1"/>
    <n v="2"/>
    <n v="2"/>
    <n v="2"/>
    <n v="1"/>
    <n v="0"/>
    <n v="24"/>
    <n v="6"/>
    <n v="3"/>
    <n v="2"/>
    <n v="14632"/>
    <n v="1158"/>
    <n v="13474"/>
    <n v="0.501"/>
    <n v="1399"/>
    <n v="36"/>
    <n v="0.5"/>
    <n v="7.9000000000000001E-2"/>
    <n v="1.7987E-4"/>
    <n v="0.99982000000000004"/>
    <s v="67.28175929808319"/>
    <s v="84.94108219931074"/>
    <s v="31.75750120047328"/>
    <s v="5.484791530641422"/>
    <n v="770662383"/>
    <x v="0"/>
    <n v="1.2647773E-3"/>
    <x v="0"/>
  </r>
  <r>
    <n v="41"/>
    <n v="0"/>
    <n v="2"/>
    <n v="2"/>
    <n v="2"/>
    <n v="4"/>
    <n v="0"/>
    <n v="29"/>
    <n v="4"/>
    <n v="2"/>
    <n v="3"/>
    <n v="2670"/>
    <n v="2079"/>
    <n v="591"/>
    <n v="0.64900000000000002"/>
    <n v="3895"/>
    <n v="59"/>
    <n v="0.78800000000000003"/>
    <n v="0.77900000000000003"/>
    <n v="1.9143E-4"/>
    <n v="0.99980999999999998"/>
    <s v="22.61008526735094"/>
    <s v="18.948387098043185"/>
    <s v="15.966121903241406"/>
    <s v="20.428839208724412"/>
    <n v="715312158"/>
    <x v="0"/>
    <n v="3.8517435000000002E-4"/>
    <x v="0"/>
  </r>
  <r>
    <n v="45"/>
    <n v="0"/>
    <n v="3"/>
    <n v="3"/>
    <n v="2"/>
    <n v="1"/>
    <n v="0"/>
    <n v="36"/>
    <n v="2"/>
    <n v="3"/>
    <n v="3"/>
    <n v="2853"/>
    <n v="2517"/>
    <n v="336"/>
    <n v="0.59499999999999997"/>
    <n v="4971"/>
    <n v="65"/>
    <n v="0.75700000000000001"/>
    <n v="0.88200000000000001"/>
    <n v="3.0516000000000001E-4"/>
    <n v="0.99968999999999997"/>
    <s v="6.090726007280734"/>
    <s v="102.05924419306996"/>
    <s v="35.241182156842164"/>
    <s v="0.9348120156172448"/>
    <n v="714825408"/>
    <x v="0"/>
    <n v="3.5545047000000001E-4"/>
    <x v="0"/>
  </r>
  <r>
    <n v="61"/>
    <n v="0"/>
    <n v="1"/>
    <n v="3"/>
    <n v="3"/>
    <n v="4"/>
    <n v="0"/>
    <n v="50"/>
    <n v="5"/>
    <n v="1"/>
    <n v="2"/>
    <n v="8604"/>
    <n v="1075"/>
    <n v="7529"/>
    <n v="0.46400000000000002"/>
    <n v="4705"/>
    <n v="65"/>
    <n v="0.80600000000000005"/>
    <n v="0.125"/>
    <s v="5.0256e-05"/>
    <n v="0.99995000000000001"/>
    <s v="19.706232747019147"/>
    <s v="34.83199492882342"/>
    <n v="65.435509324551404"/>
    <s v="18.06625717056349"/>
    <n v="711278283"/>
    <x v="0"/>
    <n v="3.2890364000000001E-4"/>
    <x v="0"/>
  </r>
  <r>
    <n v="36"/>
    <n v="1"/>
    <n v="1"/>
    <n v="2"/>
    <n v="2"/>
    <n v="4"/>
    <n v="0"/>
    <n v="25"/>
    <n v="6"/>
    <n v="1"/>
    <n v="2"/>
    <n v="2622"/>
    <n v="2489"/>
    <n v="133"/>
    <n v="0.84"/>
    <n v="2717"/>
    <n v="79"/>
    <n v="0.54900000000000004"/>
    <n v="0.94899999999999995"/>
    <s v="5.1697e-05"/>
    <n v="0.99995000000000001"/>
    <s v="11.599224636859756"/>
    <s v="36.80213734812083"/>
    <n v="58.378238833525202"/>
    <s v="2.528948334252212"/>
    <n v="717885183"/>
    <x v="0"/>
    <n v="4.2320539999999999E-4"/>
    <x v="0"/>
  </r>
  <r>
    <n v="54"/>
    <n v="0"/>
    <n v="2"/>
    <n v="2"/>
    <n v="2"/>
    <n v="1"/>
    <n v="0"/>
    <n v="41"/>
    <n v="2"/>
    <n v="1"/>
    <n v="3"/>
    <n v="10753"/>
    <n v="1845"/>
    <n v="8908"/>
    <n v="0.68899999999999995"/>
    <n v="7302"/>
    <n v="80"/>
    <n v="0.70199999999999996"/>
    <n v="0.17199999999999999"/>
    <s v="9.2637e-05"/>
    <n v="0.99990999999999997"/>
    <s v="9.647431868789957"/>
    <s v="17.691959322364962"/>
    <s v="17.34899273393316"/>
    <s v="1.9110671587056127"/>
    <n v="713872833"/>
    <x v="0"/>
    <n v="5.0494296000000004E-4"/>
    <x v="0"/>
  </r>
  <r>
    <n v="47"/>
    <n v="0"/>
    <n v="3"/>
    <n v="6"/>
    <n v="1"/>
    <n v="4"/>
    <n v="0"/>
    <n v="37"/>
    <n v="1"/>
    <n v="2"/>
    <n v="2"/>
    <n v="1438.3"/>
    <n v="0"/>
    <n v="1438.3"/>
    <n v="0.749"/>
    <n v="2393"/>
    <n v="36"/>
    <n v="0.63600000000000001"/>
    <n v="0"/>
    <n v="0.99236000000000002"/>
    <n v="7.6400000000000001E-3"/>
    <s v="54.67252011834598"/>
    <s v="16.012764156797516"/>
    <s v="30.057664140629186"/>
    <s v="4.987595714655353"/>
    <n v="787665258"/>
    <x v="1"/>
    <n v="0.99854653999999998"/>
    <x v="1"/>
  </r>
  <r>
    <n v="46"/>
    <n v="0"/>
    <n v="3"/>
    <n v="2"/>
    <n v="1"/>
    <n v="4"/>
    <n v="0"/>
    <n v="37"/>
    <n v="5"/>
    <n v="1"/>
    <n v="3"/>
    <n v="2470"/>
    <n v="1961"/>
    <n v="509"/>
    <n v="0.80200000000000005"/>
    <n v="4519"/>
    <n v="78"/>
    <n v="0.73299999999999998"/>
    <n v="0.79400000000000004"/>
    <s v="9.6126e-05"/>
    <n v="0.99990000000000001"/>
    <s v="40.70412980399935"/>
    <s v="43.24762273743259"/>
    <s v="21.50569385207907"/>
    <s v="0.6993744193995203"/>
    <n v="789953733"/>
    <x v="0"/>
    <n v="3.2101269999999999E-4"/>
    <x v="0"/>
  </r>
  <r>
    <n v="35"/>
    <n v="1"/>
    <n v="3"/>
    <n v="5"/>
    <n v="2"/>
    <n v="4"/>
    <n v="0"/>
    <n v="21"/>
    <n v="5"/>
    <n v="2"/>
    <n v="1"/>
    <n v="6104"/>
    <n v="1595"/>
    <n v="4509"/>
    <n v="0.61899999999999999"/>
    <n v="15240"/>
    <n v="102"/>
    <n v="0.72899999999999998"/>
    <n v="0.26100000000000001"/>
    <s v="7.3235e-05"/>
    <n v="0.99992999999999999"/>
    <s v="6.891507830340154"/>
    <s v="12.268188050497056"/>
    <s v="21.89563474730744"/>
    <n v="3.4836909054181402"/>
    <n v="720557883"/>
    <x v="0"/>
    <n v="3.4656386999999997E-4"/>
    <x v="0"/>
  </r>
  <r>
    <n v="45"/>
    <n v="1"/>
    <n v="4"/>
    <n v="3"/>
    <n v="1"/>
    <n v="1"/>
    <n v="0"/>
    <n v="34"/>
    <n v="6"/>
    <n v="3"/>
    <n v="3"/>
    <n v="3104"/>
    <n v="1766"/>
    <n v="1338"/>
    <n v="0.82799999999999996"/>
    <n v="1353"/>
    <n v="24"/>
    <n v="1.1819999999999999"/>
    <n v="0.56899999999999995"/>
    <n v="3.0842E-4"/>
    <n v="0.99968999999999997"/>
    <s v="30.924528240669066"/>
    <s v="41.24006021408687"/>
    <s v="32.45909981358891"/>
    <s v="8.166420927798733"/>
    <n v="772047183"/>
    <x v="0"/>
    <n v="9.8706899999999992E-4"/>
    <x v="0"/>
  </r>
  <r>
    <n v="54"/>
    <n v="0"/>
    <n v="2"/>
    <n v="0"/>
    <n v="1"/>
    <n v="4"/>
    <n v="0"/>
    <n v="43"/>
    <n v="3"/>
    <n v="4"/>
    <n v="1"/>
    <n v="2573"/>
    <n v="1760"/>
    <n v="813"/>
    <n v="0.67600000000000005"/>
    <n v="4404"/>
    <n v="93"/>
    <n v="0.82399999999999995"/>
    <n v="0.68400000000000005"/>
    <n v="1.2746E-4"/>
    <n v="0.99987000000000004"/>
    <s v="4.376801649291916"/>
    <s v="48.33008195555468"/>
    <s v="90.02891425013364"/>
    <s v="30.284402073447588"/>
    <n v="789267633"/>
    <x v="0"/>
    <n v="3.2101269999999999E-4"/>
    <x v="0"/>
  </r>
  <r>
    <n v="41"/>
    <n v="1"/>
    <n v="4"/>
    <n v="6"/>
    <n v="1"/>
    <n v="3"/>
    <n v="0"/>
    <n v="35"/>
    <n v="4"/>
    <n v="2"/>
    <n v="3"/>
    <n v="3497"/>
    <n v="0"/>
    <n v="3497"/>
    <n v="0.69599999999999995"/>
    <n v="4345"/>
    <n v="72"/>
    <n v="0.75600000000000001"/>
    <n v="0"/>
    <n v="2.2068000000000001E-4"/>
    <n v="0.99978"/>
    <s v="3.242926639569576"/>
    <s v="38.55965963803919"/>
    <s v="53.50015856163413"/>
    <s v="28.709090318623744"/>
    <n v="767488908"/>
    <x v="0"/>
    <n v="6.9517245999999998E-4"/>
    <x v="0"/>
  </r>
  <r>
    <n v="58"/>
    <n v="0"/>
    <n v="1"/>
    <n v="3"/>
    <n v="1"/>
    <n v="1"/>
    <n v="0"/>
    <n v="46"/>
    <n v="5"/>
    <n v="3"/>
    <n v="1"/>
    <n v="1871"/>
    <n v="1339"/>
    <n v="532"/>
    <n v="0.79"/>
    <n v="4553"/>
    <n v="90"/>
    <n v="0.73099999999999998"/>
    <n v="0.71599999999999997"/>
    <s v="9.8983e-05"/>
    <n v="0.99990000000000001"/>
    <s v="5.339588436929917"/>
    <s v="30.88339933621034"/>
    <s v="162.23756118236275"/>
    <s v="12.708251254400183"/>
    <n v="771518658"/>
    <x v="0"/>
    <n v="3.2101269999999999E-4"/>
    <x v="0"/>
  </r>
  <r>
    <n v="37"/>
    <n v="1"/>
    <n v="2"/>
    <n v="2"/>
    <n v="1"/>
    <n v="2"/>
    <n v="0"/>
    <n v="27"/>
    <n v="4"/>
    <n v="2"/>
    <n v="4"/>
    <n v="6369"/>
    <n v="0"/>
    <n v="6369"/>
    <n v="1.454"/>
    <n v="2675"/>
    <n v="47"/>
    <n v="1.1359999999999999"/>
    <n v="0"/>
    <n v="3.2655999999999999E-4"/>
    <n v="0.99966999999999995"/>
    <s v="26.68277242056691"/>
    <s v="25.305469121574063"/>
    <n v="43.774547862776402"/>
    <s v="17.65242470410488"/>
    <n v="779223858"/>
    <x v="0"/>
    <n v="2.9285944000000002E-3"/>
    <x v="0"/>
  </r>
  <r>
    <n v="38"/>
    <n v="0"/>
    <n v="4"/>
    <n v="1"/>
    <n v="1"/>
    <n v="4"/>
    <n v="0"/>
    <n v="26"/>
    <n v="4"/>
    <n v="2"/>
    <n v="4"/>
    <n v="4002"/>
    <n v="1402"/>
    <n v="2600"/>
    <n v="0.57899999999999996"/>
    <n v="2114"/>
    <n v="53"/>
    <n v="0.51400000000000001"/>
    <n v="0.35"/>
    <n v="4.9554000000000004E-4"/>
    <n v="0.99950000000000006"/>
    <s v="7.103483886378051"/>
    <n v="28.9005434160246"/>
    <s v="35.16350504162205"/>
    <n v="6.5728309770691098"/>
    <n v="789125733"/>
    <x v="0"/>
    <n v="9.6089929999999997E-4"/>
    <x v="0"/>
  </r>
  <r>
    <n v="29"/>
    <n v="1"/>
    <n v="0"/>
    <n v="4"/>
    <n v="1"/>
    <n v="4"/>
    <n v="0"/>
    <n v="36"/>
    <n v="1"/>
    <n v="1"/>
    <n v="1"/>
    <n v="3076"/>
    <n v="0"/>
    <n v="3076"/>
    <n v="0.92400000000000004"/>
    <n v="15514"/>
    <n v="123"/>
    <n v="0.89200000000000002"/>
    <n v="0"/>
    <s v="3.3537e-05"/>
    <n v="0.99997000000000003"/>
    <s v="13.563787377009936"/>
    <s v="78.90926756542798"/>
    <s v="40.36549135605386"/>
    <s v="16.424032933079825"/>
    <n v="713691633"/>
    <x v="0"/>
    <n v="8.064217E-4"/>
    <x v="0"/>
  </r>
  <r>
    <n v="56"/>
    <n v="1"/>
    <n v="1"/>
    <n v="2"/>
    <n v="2"/>
    <n v="2"/>
    <n v="0"/>
    <n v="36"/>
    <n v="5"/>
    <n v="3"/>
    <n v="2"/>
    <n v="7075"/>
    <n v="1676"/>
    <n v="5399"/>
    <n v="1.268"/>
    <n v="4160"/>
    <n v="75"/>
    <n v="0.66700000000000004"/>
    <n v="0.23699999999999999"/>
    <n v="1.6882999999999999E-4"/>
    <n v="0.99983"/>
    <s v="67.71753028410382"/>
    <s v="49.99660280154786"/>
    <s v="24.14806251535774"/>
    <s v="10.606275495506406"/>
    <n v="712675158"/>
    <x v="0"/>
    <n v="3.3750932000000002E-4"/>
    <x v="0"/>
  </r>
  <r>
    <n v="39"/>
    <n v="0"/>
    <n v="4"/>
    <n v="2"/>
    <n v="2"/>
    <n v="4"/>
    <n v="0"/>
    <n v="28"/>
    <n v="5"/>
    <n v="2"/>
    <n v="4"/>
    <n v="1438.3"/>
    <n v="0"/>
    <n v="1438.3"/>
    <n v="0.77700000000000002"/>
    <n v="2392"/>
    <n v="44"/>
    <n v="0.375"/>
    <n v="0"/>
    <n v="0.99709000000000003"/>
    <n v="2.9104000000000001E-3"/>
    <s v="27.76068513671385"/>
    <s v="7.409636862486869"/>
    <n v="98.704072232724997"/>
    <s v="4.001486678638748"/>
    <n v="716856408"/>
    <x v="1"/>
    <n v="0.99837339999999997"/>
    <x v="1"/>
  </r>
  <r>
    <n v="42"/>
    <n v="0"/>
    <n v="3"/>
    <n v="6"/>
    <n v="1"/>
    <n v="4"/>
    <n v="0"/>
    <n v="36"/>
    <n v="4"/>
    <n v="2"/>
    <n v="1"/>
    <n v="2281"/>
    <n v="1548"/>
    <n v="733"/>
    <n v="0.73899999999999999"/>
    <n v="4384"/>
    <n v="78"/>
    <n v="0.85699999999999998"/>
    <n v="0.67900000000000005"/>
    <s v="7.8291e-05"/>
    <n v="0.99992000000000003"/>
    <s v="11.14745727859084"/>
    <s v="13.16258937895634"/>
    <s v="41.92738207681824"/>
    <s v="14.32593120792234"/>
    <n v="715356258"/>
    <x v="0"/>
    <n v="3.2101269999999999E-4"/>
    <x v="0"/>
  </r>
  <r>
    <n v="43"/>
    <n v="0"/>
    <n v="3"/>
    <n v="5"/>
    <n v="1"/>
    <n v="1"/>
    <n v="0"/>
    <n v="36"/>
    <n v="6"/>
    <n v="4"/>
    <n v="3"/>
    <n v="1438.3"/>
    <n v="0"/>
    <n v="1438.3"/>
    <n v="0.747"/>
    <n v="2116"/>
    <n v="38"/>
    <n v="0.58299999999999996"/>
    <n v="0"/>
    <n v="0.99743999999999999"/>
    <n v="2.5563000000000001E-3"/>
    <s v="16.144427077939145"/>
    <s v="13.532829095554709"/>
    <s v="6.719598882517172"/>
    <n v="7.3814011888644004E-2"/>
    <n v="715400733"/>
    <x v="1"/>
    <n v="0.99873226999999998"/>
    <x v="1"/>
  </r>
  <r>
    <n v="51"/>
    <n v="1"/>
    <n v="2"/>
    <n v="3"/>
    <n v="1"/>
    <n v="3"/>
    <n v="0"/>
    <n v="40"/>
    <n v="4"/>
    <n v="3"/>
    <n v="2"/>
    <n v="8169"/>
    <n v="794"/>
    <n v="7375"/>
    <n v="0.66500000000000004"/>
    <n v="4927"/>
    <n v="70"/>
    <n v="0.94399999999999995"/>
    <n v="9.7000000000000003E-2"/>
    <n v="1.7485999999999999E-4"/>
    <n v="0.99983"/>
    <s v="7.353945693345795"/>
    <s v="60.43872556266631"/>
    <s v="21.74045162788894"/>
    <s v="2.1977756900135006"/>
    <n v="709902108"/>
    <x v="0"/>
    <n v="5.2566850000000003E-4"/>
    <x v="0"/>
  </r>
  <r>
    <n v="35"/>
    <n v="0"/>
    <n v="1"/>
    <n v="6"/>
    <n v="1"/>
    <n v="4"/>
    <n v="0"/>
    <n v="36"/>
    <n v="3"/>
    <n v="1"/>
    <n v="2"/>
    <n v="2158"/>
    <n v="1299"/>
    <n v="859"/>
    <n v="0.73299999999999998"/>
    <n v="4946"/>
    <n v="73"/>
    <n v="0.97299999999999998"/>
    <n v="0.60199999999999998"/>
    <s v="5.6825e-05"/>
    <n v="0.99994000000000005"/>
    <s v="17.780523906682273"/>
    <n v="45.298003901537299"/>
    <s v="21.927178382652578"/>
    <s v="2.236076926988915"/>
    <n v="719279208"/>
    <x v="0"/>
    <n v="3.2101269999999999E-4"/>
    <x v="0"/>
  </r>
  <r>
    <n v="37"/>
    <n v="0"/>
    <n v="2"/>
    <n v="2"/>
    <n v="2"/>
    <n v="1"/>
    <n v="0"/>
    <n v="24"/>
    <n v="4"/>
    <n v="3"/>
    <n v="1"/>
    <n v="3375"/>
    <n v="1730"/>
    <n v="1645"/>
    <n v="0.51400000000000001"/>
    <n v="4341"/>
    <n v="64"/>
    <n v="0.68400000000000005"/>
    <n v="0.51300000000000001"/>
    <n v="1.0848E-4"/>
    <n v="0.99988999999999995"/>
    <s v="23.63814241367492"/>
    <s v="32.02431304674192"/>
    <s v="18.20784788585537"/>
    <s v="1.090117601380579"/>
    <n v="713282733"/>
    <x v="0"/>
    <n v="3.3750320000000002E-4"/>
    <x v="0"/>
  </r>
  <r>
    <n v="65"/>
    <n v="0"/>
    <n v="1"/>
    <n v="5"/>
    <n v="2"/>
    <n v="4"/>
    <n v="0"/>
    <n v="36"/>
    <n v="3"/>
    <n v="2"/>
    <n v="3"/>
    <n v="4182"/>
    <n v="0"/>
    <n v="4182"/>
    <n v="0.69099999999999995"/>
    <n v="4046"/>
    <n v="57"/>
    <n v="0.629"/>
    <n v="0"/>
    <n v="1.8474999999999999E-4"/>
    <n v="0.99982000000000004"/>
    <s v="54.534877965701554"/>
    <s v="64.02207811945425"/>
    <s v="19.162880254772844"/>
    <s v="23.489210050384376"/>
    <n v="711861258"/>
    <x v="0"/>
    <n v="1.2898159E-3"/>
    <x v="0"/>
  </r>
  <r>
    <n v="59"/>
    <n v="0"/>
    <n v="2"/>
    <n v="6"/>
    <n v="1"/>
    <n v="4"/>
    <n v="0"/>
    <n v="46"/>
    <n v="2"/>
    <n v="6"/>
    <n v="2"/>
    <n v="5218"/>
    <n v="1907"/>
    <n v="3311"/>
    <n v="0.79700000000000004"/>
    <n v="4658"/>
    <n v="85"/>
    <n v="0.88900000000000001"/>
    <n v="0.36499999999999999"/>
    <n v="1.5608000000000001E-4"/>
    <n v="0.99983999999999995"/>
    <s v="26.07620448544996"/>
    <s v="17.26547620066623"/>
    <s v="77.68964294507008"/>
    <s v="1.8013721774343554"/>
    <n v="720823458"/>
    <x v="0"/>
    <n v="3.2101269999999999E-4"/>
    <x v="0"/>
  </r>
  <r>
    <n v="45"/>
    <n v="0"/>
    <n v="2"/>
    <n v="2"/>
    <n v="1"/>
    <n v="4"/>
    <n v="0"/>
    <n v="40"/>
    <n v="6"/>
    <n v="3"/>
    <n v="3"/>
    <n v="5848"/>
    <n v="2517"/>
    <n v="3331"/>
    <n v="0.56100000000000005"/>
    <n v="2000"/>
    <n v="32"/>
    <n v="0.28000000000000003"/>
    <n v="0.43"/>
    <n v="0.99670999999999998"/>
    <n v="3.29379E-3"/>
    <s v="37.32991894199693"/>
    <s v="34.83268508739904"/>
    <s v="100.8422285171178"/>
    <s v="3.3816982691864887"/>
    <n v="820282383"/>
    <x v="1"/>
    <n v="0.99530859999999999"/>
    <x v="1"/>
  </r>
  <r>
    <n v="50"/>
    <n v="0"/>
    <n v="1"/>
    <n v="1"/>
    <n v="2"/>
    <n v="1"/>
    <n v="0"/>
    <n v="36"/>
    <n v="6"/>
    <n v="3"/>
    <n v="2"/>
    <n v="5349"/>
    <n v="2391"/>
    <n v="2958"/>
    <n v="0.67100000000000004"/>
    <n v="2122"/>
    <n v="46"/>
    <n v="0.39400000000000002"/>
    <n v="0.44700000000000001"/>
    <n v="0.99592000000000003"/>
    <n v="4.0754800000000002E-3"/>
    <s v="14.52444466132792"/>
    <s v="11.48581610051304"/>
    <s v="55.85580136972159"/>
    <s v="17.46539403239806"/>
    <n v="708733983"/>
    <x v="1"/>
    <n v="0.99584656999999999"/>
    <x v="1"/>
  </r>
  <r>
    <n v="46"/>
    <n v="0"/>
    <n v="2"/>
    <n v="6"/>
    <n v="2"/>
    <n v="4"/>
    <n v="0"/>
    <n v="33"/>
    <n v="4"/>
    <n v="3"/>
    <n v="2"/>
    <n v="3670"/>
    <n v="0"/>
    <n v="3670"/>
    <n v="0.79700000000000004"/>
    <n v="4811"/>
    <n v="68"/>
    <n v="0.88900000000000001"/>
    <n v="0"/>
    <n v="1.9771E-4"/>
    <n v="0.99980000000000002"/>
    <s v="34.43674828228823"/>
    <s v="9.084376207363986"/>
    <s v="78.40500967432348"/>
    <s v="2.319722746580448"/>
    <n v="770942283"/>
    <x v="0"/>
    <n v="7.4965424999999997E-4"/>
    <x v="0"/>
  </r>
  <r>
    <n v="44"/>
    <n v="1"/>
    <n v="3"/>
    <n v="0"/>
    <n v="2"/>
    <n v="2"/>
    <n v="3"/>
    <n v="32"/>
    <n v="4"/>
    <n v="1"/>
    <n v="3"/>
    <n v="28397"/>
    <n v="1421"/>
    <n v="26976"/>
    <n v="0.63500000000000001"/>
    <n v="1635"/>
    <n v="31"/>
    <n v="0.82399999999999995"/>
    <n v="0.05"/>
    <s v="8.4444e-05"/>
    <n v="0.99992000000000003"/>
    <s v="23.986399427679284"/>
    <s v="1.9135993226716064"/>
    <s v="14.546399453636436"/>
    <s v="4.663699371432469"/>
    <n v="710695083"/>
    <x v="0"/>
    <n v="1.0985557E-3"/>
    <x v="0"/>
  </r>
  <r>
    <n v="55"/>
    <n v="1"/>
    <n v="3"/>
    <n v="0"/>
    <n v="1"/>
    <n v="2"/>
    <n v="0"/>
    <n v="36"/>
    <n v="5"/>
    <n v="4"/>
    <n v="4"/>
    <n v="2252"/>
    <n v="1737"/>
    <n v="515"/>
    <n v="0.68500000000000005"/>
    <n v="1291"/>
    <n v="27"/>
    <n v="0.5"/>
    <n v="0.77100000000000002"/>
    <n v="6.2907000000000002E-4"/>
    <n v="0.99936999999999998"/>
    <s v="12.873953778597636"/>
    <s v="30.03310936206394"/>
    <s v="30.359047807529382"/>
    <s v="14.164489593517915"/>
    <n v="719427333"/>
    <x v="0"/>
    <n v="1.2715497999999999E-3"/>
    <x v="0"/>
  </r>
  <r>
    <n v="33"/>
    <n v="0"/>
    <n v="3"/>
    <n v="2"/>
    <n v="2"/>
    <n v="4"/>
    <n v="0"/>
    <n v="36"/>
    <n v="5"/>
    <n v="3"/>
    <n v="3"/>
    <n v="4838"/>
    <n v="1338"/>
    <n v="3500"/>
    <n v="0.70699999999999996"/>
    <n v="2641"/>
    <n v="67"/>
    <n v="0.59499999999999997"/>
    <n v="0.27700000000000002"/>
    <n v="3.1389999999999999E-4"/>
    <n v="0.99968999999999997"/>
    <s v="10.163307539390264"/>
    <s v="18.683234715384803"/>
    <s v="1.8716609915623224"/>
    <s v="23.29209859095557"/>
    <n v="714909108"/>
    <x v="0"/>
    <n v="4.0449749999999998E-4"/>
    <x v="0"/>
  </r>
  <r>
    <n v="41"/>
    <n v="1"/>
    <n v="4"/>
    <n v="2"/>
    <n v="1"/>
    <n v="2"/>
    <n v="0"/>
    <n v="26"/>
    <n v="5"/>
    <n v="2"/>
    <n v="2"/>
    <n v="5633"/>
    <n v="1395"/>
    <n v="4238"/>
    <n v="0.54200000000000004"/>
    <n v="3695"/>
    <n v="75"/>
    <n v="0.63"/>
    <n v="0.248"/>
    <n v="1.1937E-4"/>
    <n v="0.99987999999999999"/>
    <s v="29.28307533237048"/>
    <s v="32.79988725415087"/>
    <s v="14.388471876645992"/>
    <s v="7.923625040375257"/>
    <n v="720600858"/>
    <x v="0"/>
    <n v="3.2914013999999999E-4"/>
    <x v="0"/>
  </r>
  <r>
    <n v="42"/>
    <n v="0"/>
    <n v="3"/>
    <n v="6"/>
    <n v="0"/>
    <n v="5"/>
    <n v="0"/>
    <n v="31"/>
    <n v="5"/>
    <n v="3"/>
    <n v="2"/>
    <n v="2369"/>
    <n v="1019"/>
    <n v="1350"/>
    <n v="0.69099999999999995"/>
    <n v="4317"/>
    <n v="66"/>
    <n v="0.78400000000000003"/>
    <n v="0.43"/>
    <n v="2.0515999999999999E-4"/>
    <n v="0.99978999999999996"/>
    <s v="35.117050222540115"/>
    <s v="18.513582379842383"/>
    <s v="5.584453855022265"/>
    <s v="9.588161249095924"/>
    <n v="709822008"/>
    <x v="0"/>
    <n v="3.2101269999999999E-4"/>
    <x v="0"/>
  </r>
  <r>
    <n v="48"/>
    <n v="0"/>
    <n v="2"/>
    <n v="0"/>
    <n v="1"/>
    <n v="4"/>
    <n v="0"/>
    <n v="44"/>
    <n v="5"/>
    <n v="1"/>
    <n v="3"/>
    <n v="4570"/>
    <n v="2439"/>
    <n v="2131"/>
    <n v="0.69299999999999995"/>
    <n v="1520"/>
    <n v="34"/>
    <n v="0.7"/>
    <n v="0.53400000000000003"/>
    <s v="9.0064e-05"/>
    <n v="0.99990999999999997"/>
    <s v="28.96318041252736"/>
    <s v="75.68779713775622"/>
    <s v="93.75688871445928"/>
    <s v="3.712545670293255"/>
    <n v="826477083"/>
    <x v="0"/>
    <n v="1.0337284E-3"/>
    <x v="0"/>
  </r>
  <r>
    <n v="36"/>
    <n v="0"/>
    <n v="1"/>
    <n v="2"/>
    <n v="2"/>
    <n v="4"/>
    <n v="0"/>
    <n v="16"/>
    <n v="6"/>
    <n v="5"/>
    <n v="3"/>
    <n v="6091"/>
    <n v="1184"/>
    <n v="4907"/>
    <n v="0.76600000000000001"/>
    <n v="17437"/>
    <n v="113"/>
    <n v="0.76600000000000001"/>
    <n v="0.19400000000000001"/>
    <n v="3.1713999999999999E-4"/>
    <n v="0.99968000000000001"/>
    <s v="13.706209603179383"/>
    <n v="9.3717119149986097"/>
    <s v="59.65960928974501"/>
    <s v="8.500380299915847"/>
    <n v="778428108"/>
    <x v="0"/>
    <n v="3.4656386999999997E-4"/>
    <x v="0"/>
  </r>
  <r>
    <n v="49"/>
    <n v="0"/>
    <n v="3"/>
    <n v="2"/>
    <n v="1"/>
    <n v="4"/>
    <n v="0"/>
    <n v="43"/>
    <n v="2"/>
    <n v="3"/>
    <n v="2"/>
    <n v="2174"/>
    <n v="785"/>
    <n v="1389"/>
    <n v="0.65700000000000003"/>
    <n v="3890"/>
    <n v="78"/>
    <n v="0.66"/>
    <n v="0.36099999999999999"/>
    <n v="1.8665000000000001E-4"/>
    <n v="0.99980999999999998"/>
    <s v="48.68808468003678"/>
    <s v="89.74797109845517"/>
    <s v="47.44712143093954"/>
    <s v="5.649745116567987"/>
    <n v="796029483"/>
    <x v="0"/>
    <n v="5.2566850000000003E-4"/>
    <x v="0"/>
  </r>
  <r>
    <n v="42"/>
    <n v="1"/>
    <n v="2"/>
    <n v="2"/>
    <n v="2"/>
    <n v="1"/>
    <n v="0"/>
    <n v="28"/>
    <n v="3"/>
    <n v="1"/>
    <n v="3"/>
    <n v="1711"/>
    <n v="0"/>
    <n v="1711"/>
    <n v="0.98299999999999998"/>
    <n v="4496"/>
    <n v="77"/>
    <n v="0.92500000000000004"/>
    <n v="0"/>
    <s v="9.2637e-05"/>
    <n v="0.99990999999999997"/>
    <s v="0.3684473389263448"/>
    <s v="9.085859147148565"/>
    <s v="9.255750608690075"/>
    <s v="9.083888242942397"/>
    <n v="713417433"/>
    <x v="0"/>
    <n v="7.1297199999999998E-4"/>
    <x v="0"/>
  </r>
  <r>
    <n v="49"/>
    <n v="1"/>
    <n v="2"/>
    <n v="6"/>
    <n v="1"/>
    <n v="4"/>
    <n v="3"/>
    <n v="44"/>
    <n v="2"/>
    <n v="2"/>
    <n v="3"/>
    <n v="12518"/>
    <n v="1722"/>
    <n v="10796"/>
    <n v="0.89100000000000001"/>
    <n v="14276"/>
    <n v="96"/>
    <n v="0.77800000000000002"/>
    <n v="0.13800000000000001"/>
    <n v="1.9013E-4"/>
    <n v="0.99980999999999998"/>
    <s v="29.95102487633705"/>
    <s v="35.98915981008024"/>
    <s v="106.69983226129114"/>
    <s v="16.902783167345948"/>
    <n v="815613033"/>
    <x v="0"/>
    <n v="3.6437239999999999E-4"/>
    <x v="0"/>
  </r>
  <r>
    <n v="37"/>
    <n v="0"/>
    <n v="4"/>
    <n v="3"/>
    <n v="2"/>
    <n v="4"/>
    <n v="0"/>
    <n v="36"/>
    <n v="6"/>
    <n v="2"/>
    <n v="3"/>
    <n v="1438.3"/>
    <n v="0"/>
    <n v="1438.3"/>
    <n v="0.56799999999999995"/>
    <n v="4815"/>
    <n v="84"/>
    <n v="0.78700000000000003"/>
    <n v="0"/>
    <n v="1.9516999999999999E-4"/>
    <n v="0.99980000000000002"/>
    <s v="33.515159055091075"/>
    <s v="31.37751873905683"/>
    <n v="73.598838076167596"/>
    <s v="9.748833924586396"/>
    <n v="716292033"/>
    <x v="0"/>
    <n v="6.9517245999999998E-4"/>
    <x v="0"/>
  </r>
  <r>
    <n v="48"/>
    <n v="0"/>
    <n v="2"/>
    <n v="2"/>
    <n v="2"/>
    <n v="4"/>
    <n v="0"/>
    <n v="38"/>
    <n v="2"/>
    <n v="1"/>
    <n v="2"/>
    <n v="8881"/>
    <n v="1901"/>
    <n v="6980"/>
    <n v="0.80800000000000005"/>
    <n v="15530"/>
    <n v="110"/>
    <n v="0.69199999999999995"/>
    <n v="0.214"/>
    <s v="5.5077e-05"/>
    <n v="0.99994000000000005"/>
    <s v="45.865854353230034"/>
    <s v="7.871747296268574"/>
    <s v="72.70852582588859"/>
    <s v="16.506060895774496"/>
    <n v="779808333"/>
    <x v="0"/>
    <n v="3.4656386999999997E-4"/>
    <x v="0"/>
  </r>
  <r>
    <n v="56"/>
    <n v="1"/>
    <n v="3"/>
    <n v="5"/>
    <n v="2"/>
    <n v="2"/>
    <n v="0"/>
    <n v="49"/>
    <n v="3"/>
    <n v="3"/>
    <n v="3"/>
    <n v="1623"/>
    <n v="0"/>
    <n v="1623"/>
    <n v="1.0580000000000001"/>
    <n v="4965"/>
    <n v="74"/>
    <n v="0.80500000000000005"/>
    <n v="0"/>
    <n v="3.2275000000000001E-4"/>
    <n v="0.99968000000000001"/>
    <s v="22.275488037792336"/>
    <n v="7.3168542286699998E-3"/>
    <s v="71.63182803844491"/>
    <s v="1.7465358213625954"/>
    <n v="766628733"/>
    <x v="0"/>
    <n v="7.1297199999999998E-4"/>
    <x v="0"/>
  </r>
  <r>
    <n v="44"/>
    <n v="0"/>
    <n v="2"/>
    <n v="2"/>
    <n v="3"/>
    <n v="4"/>
    <n v="0"/>
    <n v="39"/>
    <n v="2"/>
    <n v="3"/>
    <n v="3"/>
    <n v="4057"/>
    <n v="755"/>
    <n v="3302"/>
    <n v="0.873"/>
    <n v="4301"/>
    <n v="58"/>
    <n v="1.417"/>
    <n v="0.186"/>
    <n v="3.0250999999999998E-4"/>
    <n v="0.99970000000000003"/>
    <s v="9.326225548795936"/>
    <s v="104.48012232385044"/>
    <s v="93.55556190502256"/>
    <s v="13.799283392750327"/>
    <n v="812235108"/>
    <x v="0"/>
    <n v="7.5381459999999999E-4"/>
    <x v="0"/>
  </r>
  <r>
    <n v="50"/>
    <n v="1"/>
    <n v="1"/>
    <n v="5"/>
    <n v="1"/>
    <n v="3"/>
    <n v="0"/>
    <n v="39"/>
    <n v="6"/>
    <n v="3"/>
    <n v="4"/>
    <n v="14817"/>
    <n v="1463"/>
    <n v="13354"/>
    <n v="0.79500000000000004"/>
    <n v="4014"/>
    <n v="70"/>
    <n v="0.628"/>
    <n v="9.9000000000000005E-2"/>
    <n v="4.9799999999999996E-4"/>
    <n v="0.99950000000000006"/>
    <s v="51.97776236121883"/>
    <s v="20.79560241644193"/>
    <s v="52.95388764761926"/>
    <s v="7.829795010656311"/>
    <n v="710504283"/>
    <x v="0"/>
    <n v="3.2914013999999999E-4"/>
    <x v="0"/>
  </r>
  <r>
    <n v="29"/>
    <n v="1"/>
    <n v="1"/>
    <n v="4"/>
    <n v="1"/>
    <n v="4"/>
    <n v="0"/>
    <n v="18"/>
    <n v="4"/>
    <n v="3"/>
    <n v="2"/>
    <n v="2963"/>
    <n v="1466"/>
    <n v="1497"/>
    <n v="1.3779999999999999"/>
    <n v="2523"/>
    <n v="48"/>
    <n v="0.84599999999999997"/>
    <n v="0.495"/>
    <n v="1.9866E-4"/>
    <n v="0.99980000000000002"/>
    <s v="15.216932694443294"/>
    <s v="2.547608800140017"/>
    <s v="53.510209701161855"/>
    <n v="4.2718240957128799"/>
    <n v="710816358"/>
    <x v="0"/>
    <n v="1.0481173E-3"/>
    <x v="0"/>
  </r>
  <r>
    <n v="33"/>
    <n v="0"/>
    <n v="2"/>
    <n v="0"/>
    <n v="2"/>
    <n v="5"/>
    <n v="1"/>
    <n v="36"/>
    <n v="3"/>
    <n v="1"/>
    <n v="3"/>
    <n v="34516"/>
    <n v="1540"/>
    <n v="32976"/>
    <n v="1.038"/>
    <n v="2574"/>
    <n v="72"/>
    <n v="0.75600000000000001"/>
    <n v="4.4999999999999998E-2"/>
    <n v="1.0376E-4"/>
    <n v="0.99990000000000001"/>
    <s v="2.9395339259175843"/>
    <s v="11.54046642558644"/>
    <s v="124.42290660386745"/>
    <s v="4.245019817092021"/>
    <n v="720009558"/>
    <x v="0"/>
    <n v="4.3353309999999998E-4"/>
    <x v="0"/>
  </r>
  <r>
    <n v="46"/>
    <n v="1"/>
    <n v="0"/>
    <n v="3"/>
    <n v="0"/>
    <n v="3"/>
    <n v="0"/>
    <n v="36"/>
    <n v="3"/>
    <n v="1"/>
    <n v="4"/>
    <n v="16099"/>
    <n v="0"/>
    <n v="16099"/>
    <n v="0.56200000000000006"/>
    <n v="3656"/>
    <n v="88"/>
    <n v="0.76"/>
    <n v="0"/>
    <n v="1.3184000000000001E-4"/>
    <n v="0.99987000000000004"/>
    <s v="34.467672048178294"/>
    <s v="68.31438093817383"/>
    <s v="9.777868933950025"/>
    <s v="4.683251748004982"/>
    <n v="714828708"/>
    <x v="0"/>
    <n v="6.9517245999999998E-4"/>
    <x v="0"/>
  </r>
  <r>
    <n v="42"/>
    <n v="0"/>
    <n v="3"/>
    <n v="3"/>
    <n v="1"/>
    <n v="1"/>
    <n v="0"/>
    <n v="29"/>
    <n v="4"/>
    <n v="3"/>
    <n v="2"/>
    <n v="5640"/>
    <n v="0"/>
    <n v="5640"/>
    <n v="0.77"/>
    <n v="4739"/>
    <n v="80"/>
    <n v="0.86"/>
    <n v="0"/>
    <n v="1.8144999999999999E-4"/>
    <n v="0.99982000000000004"/>
    <s v="5.516759976944155"/>
    <s v="35.52754113547565"/>
    <s v="18.939795286144715"/>
    <s v="32.168298254189274"/>
    <n v="713436183"/>
    <x v="0"/>
    <n v="6.9517245999999998E-4"/>
    <x v="0"/>
  </r>
  <r>
    <n v="64"/>
    <n v="1"/>
    <n v="0"/>
    <n v="2"/>
    <n v="2"/>
    <n v="4"/>
    <n v="0"/>
    <n v="36"/>
    <n v="5"/>
    <n v="4"/>
    <n v="1"/>
    <n v="1873"/>
    <n v="468"/>
    <n v="1405"/>
    <n v="1.1539999999999999"/>
    <n v="4738"/>
    <n v="82"/>
    <n v="0.60799999999999998"/>
    <n v="0.25"/>
    <n v="1.125E-4"/>
    <n v="0.99988999999999995"/>
    <s v="2.587153944011859"/>
    <s v="16.671569401975876"/>
    <n v="39.382014564991003"/>
    <n v="5.6055317870094203"/>
    <n v="713029683"/>
    <x v="0"/>
    <n v="6.5680329999999996E-4"/>
    <x v="0"/>
  </r>
  <r>
    <n v="51"/>
    <n v="1"/>
    <n v="2"/>
    <n v="2"/>
    <n v="0"/>
    <n v="2"/>
    <n v="0"/>
    <n v="41"/>
    <n v="4"/>
    <n v="3"/>
    <n v="1"/>
    <n v="1959"/>
    <n v="0"/>
    <n v="1959"/>
    <n v="0.45400000000000001"/>
    <n v="3737"/>
    <n v="71"/>
    <n v="0.61399999999999999"/>
    <n v="0"/>
    <n v="1.0848E-4"/>
    <n v="0.99988999999999995"/>
    <s v="11.696608334014876"/>
    <s v="57.22662407375985"/>
    <s v="30.348599226614876"/>
    <s v="0.1079440076220567"/>
    <n v="718146258"/>
    <x v="0"/>
    <n v="7.686247E-4"/>
    <x v="0"/>
  </r>
  <r>
    <n v="48"/>
    <n v="1"/>
    <n v="4"/>
    <n v="2"/>
    <n v="1"/>
    <n v="3"/>
    <n v="0"/>
    <n v="34"/>
    <n v="1"/>
    <n v="1"/>
    <n v="1"/>
    <n v="34516"/>
    <n v="738"/>
    <n v="33778"/>
    <n v="0.71899999999999997"/>
    <n v="15143"/>
    <n v="121"/>
    <n v="0.63500000000000001"/>
    <n v="2.1000000000000001E-2"/>
    <s v="3.4833e-05"/>
    <n v="0.99997000000000003"/>
    <s v="79.35380926072068"/>
    <s v="44.63090071959343"/>
    <s v="39.22371928680172"/>
    <s v="27.733083526257232"/>
    <n v="721294533"/>
    <x v="0"/>
    <n v="6.7129060000000005E-4"/>
    <x v="0"/>
  </r>
  <r>
    <n v="51"/>
    <n v="0"/>
    <n v="1"/>
    <n v="0"/>
    <n v="1"/>
    <n v="5"/>
    <n v="0"/>
    <n v="38"/>
    <n v="3"/>
    <n v="2"/>
    <n v="4"/>
    <n v="6182"/>
    <n v="1516"/>
    <n v="4666"/>
    <n v="1.137"/>
    <n v="3801"/>
    <n v="61"/>
    <n v="0.96799999999999997"/>
    <n v="0.245"/>
    <n v="2.9800999999999997E-4"/>
    <n v="0.99970000000000003"/>
    <s v="38.94666978544509"/>
    <s v="27.04842671119622"/>
    <s v="106.91430404950712"/>
    <s v="1.5033801479485245"/>
    <n v="708442158"/>
    <x v="0"/>
    <n v="3.5702356000000003E-4"/>
    <x v="0"/>
  </r>
  <r>
    <n v="45"/>
    <n v="1"/>
    <n v="2"/>
    <n v="6"/>
    <n v="2"/>
    <n v="1"/>
    <n v="0"/>
    <n v="40"/>
    <n v="6"/>
    <n v="4"/>
    <n v="3"/>
    <n v="7037"/>
    <n v="0"/>
    <n v="7037"/>
    <n v="0.58299999999999996"/>
    <n v="4099"/>
    <n v="71"/>
    <n v="0.69"/>
    <n v="0"/>
    <n v="4.0182999999999999E-4"/>
    <n v="0.99960000000000004"/>
    <s v="13.058232193373078"/>
    <s v="28.91047626129268"/>
    <s v="100.2604555330007"/>
    <s v="6.749723407432504"/>
    <n v="811705233"/>
    <x v="0"/>
    <n v="7.4965424999999997E-4"/>
    <x v="0"/>
  </r>
  <r>
    <n v="42"/>
    <n v="0"/>
    <n v="2"/>
    <n v="4"/>
    <n v="2"/>
    <n v="1"/>
    <n v="0"/>
    <n v="34"/>
    <n v="3"/>
    <n v="3"/>
    <n v="3"/>
    <n v="5667"/>
    <n v="812"/>
    <n v="4855"/>
    <n v="0.62"/>
    <n v="2064"/>
    <n v="42"/>
    <n v="0.4"/>
    <n v="0.14299999999999999"/>
    <n v="0.99719999999999998"/>
    <n v="2.8005899999999999E-3"/>
    <s v="21.530460924135657"/>
    <s v="49.84196866236736"/>
    <s v="16.302984567883534"/>
    <s v="10.545598422129702"/>
    <n v="719602908"/>
    <x v="1"/>
    <n v="0.99746906999999996"/>
    <x v="1"/>
  </r>
  <r>
    <n v="42"/>
    <n v="0"/>
    <n v="2"/>
    <n v="2"/>
    <n v="2"/>
    <n v="4"/>
    <n v="0"/>
    <n v="27"/>
    <n v="5"/>
    <n v="3"/>
    <n v="3"/>
    <n v="2265"/>
    <n v="0"/>
    <n v="2265"/>
    <n v="0.60299999999999998"/>
    <n v="3826"/>
    <n v="71"/>
    <n v="0.54300000000000004"/>
    <n v="0"/>
    <n v="3.0250999999999998E-4"/>
    <n v="0.99970000000000003"/>
    <s v="16.280872746386457"/>
    <s v="45.34246769275548"/>
    <s v="26.60303215268355"/>
    <s v="11.50873463459561"/>
    <n v="788876208"/>
    <x v="0"/>
    <n v="7.9661230000000003E-4"/>
    <x v="0"/>
  </r>
  <r>
    <n v="42"/>
    <n v="1"/>
    <n v="5"/>
    <n v="5"/>
    <n v="3"/>
    <n v="0"/>
    <n v="0"/>
    <n v="31"/>
    <n v="5"/>
    <n v="3"/>
    <n v="2"/>
    <n v="6748"/>
    <n v="1467"/>
    <n v="5281"/>
    <n v="0.83099999999999996"/>
    <n v="1201"/>
    <n v="42"/>
    <n v="0.68"/>
    <n v="0.217"/>
    <n v="1.9094000000000001E-4"/>
    <n v="0.99980999999999998"/>
    <s v="13.019542636050536"/>
    <s v="12.982346496800645"/>
    <s v="60.38683732766975"/>
    <n v="9.2089229594468591"/>
    <n v="708790833"/>
    <x v="0"/>
    <n v="1.0337284E-3"/>
    <x v="0"/>
  </r>
  <r>
    <n v="26"/>
    <n v="1"/>
    <n v="0"/>
    <n v="2"/>
    <n v="2"/>
    <n v="4"/>
    <n v="0"/>
    <n v="13"/>
    <n v="6"/>
    <n v="3"/>
    <n v="2"/>
    <n v="2585"/>
    <n v="2019"/>
    <n v="566"/>
    <n v="0.52500000000000002"/>
    <n v="2644"/>
    <n v="40"/>
    <n v="0.48099999999999998"/>
    <n v="0.78100000000000003"/>
    <n v="1.5435000000000001E-4"/>
    <n v="0.99985000000000002"/>
    <s v="35.77477164777507"/>
    <n v="8.2169255171403393"/>
    <s v="1.2917762880791623"/>
    <s v="5.827054131106849"/>
    <n v="717998058"/>
    <x v="0"/>
    <n v="1.4998564000000001E-3"/>
    <x v="0"/>
  </r>
  <r>
    <n v="52"/>
    <n v="0"/>
    <n v="3"/>
    <n v="3"/>
    <n v="0"/>
    <n v="4"/>
    <n v="0"/>
    <n v="47"/>
    <n v="3"/>
    <n v="3"/>
    <n v="1"/>
    <n v="6629"/>
    <n v="2517"/>
    <n v="4112"/>
    <n v="0.93200000000000005"/>
    <n v="2599"/>
    <n v="50"/>
    <n v="0.56200000000000006"/>
    <n v="0.38"/>
    <n v="0.99095"/>
    <n v="9.0500000000000008E-3"/>
    <s v="19.251508795946204"/>
    <s v="62.03437290215149"/>
    <s v="128.7144577534158"/>
    <n v="8.9412243136959209"/>
    <n v="805524708"/>
    <x v="1"/>
    <n v="0.99453380000000002"/>
    <x v="1"/>
  </r>
  <r>
    <n v="37"/>
    <n v="0"/>
    <n v="2"/>
    <n v="4"/>
    <n v="2"/>
    <n v="4"/>
    <n v="0"/>
    <n v="28"/>
    <n v="1"/>
    <n v="3"/>
    <n v="1"/>
    <n v="3525"/>
    <n v="1519"/>
    <n v="2006"/>
    <n v="0.68500000000000005"/>
    <n v="13625"/>
    <n v="110"/>
    <n v="1"/>
    <n v="0.43099999999999999"/>
    <n v="1.2763999999999999E-4"/>
    <n v="0.99987000000000004"/>
    <s v="29.262849153434686"/>
    <s v="37.56089407750603"/>
    <s v="61.40800591332148"/>
    <s v="15.066442889318468"/>
    <n v="716723658"/>
    <x v="0"/>
    <n v="3.4656386999999997E-4"/>
    <x v="0"/>
  </r>
  <r>
    <n v="50"/>
    <n v="0"/>
    <n v="2"/>
    <n v="3"/>
    <n v="1"/>
    <n v="1"/>
    <n v="0"/>
    <n v="39"/>
    <n v="3"/>
    <n v="2"/>
    <n v="2"/>
    <n v="2275"/>
    <n v="2138"/>
    <n v="137"/>
    <n v="0.74199999999999999"/>
    <n v="7768"/>
    <n v="83"/>
    <n v="0.72899999999999998"/>
    <n v="0.94"/>
    <n v="1.1065000000000001E-4"/>
    <n v="0.99988999999999995"/>
    <s v="22.629060008619163"/>
    <s v="34.96891351493485"/>
    <s v="138.4130269994379"/>
    <s v="4.864986448914073"/>
    <n v="717109983"/>
    <x v="0"/>
    <n v="3.6856539999999998E-4"/>
    <x v="0"/>
  </r>
  <r>
    <n v="48"/>
    <n v="0"/>
    <n v="5"/>
    <n v="5"/>
    <n v="2"/>
    <n v="1"/>
    <n v="0"/>
    <n v="38"/>
    <n v="1"/>
    <n v="2"/>
    <n v="3"/>
    <n v="2446"/>
    <n v="1461"/>
    <n v="985"/>
    <n v="0.86"/>
    <n v="4610"/>
    <n v="78"/>
    <n v="0.77300000000000002"/>
    <n v="0.59699999999999998"/>
    <n v="2.0321E-4"/>
    <n v="0.99980000000000002"/>
    <s v="40.57505156789662"/>
    <n v="9.6346600936673603"/>
    <s v="49.60611438434408"/>
    <s v="15.299882691634284"/>
    <n v="710780883"/>
    <x v="0"/>
    <n v="3.2101269999999999E-4"/>
    <x v="0"/>
  </r>
  <r>
    <n v="32"/>
    <n v="0"/>
    <n v="0"/>
    <n v="3"/>
    <n v="1"/>
    <n v="1"/>
    <n v="0"/>
    <n v="22"/>
    <n v="4"/>
    <n v="2"/>
    <n v="2"/>
    <n v="2062"/>
    <n v="1665"/>
    <n v="397"/>
    <n v="1.276"/>
    <n v="2397"/>
    <n v="41"/>
    <n v="0.64"/>
    <n v="0.80700000000000005"/>
    <s v="9.4951e-05"/>
    <n v="0.99990999999999997"/>
    <s v="19.017980384010997"/>
    <s v="29.90628795628848"/>
    <s v="43.67680787028964"/>
    <n v="0.32783331853472703"/>
    <n v="713767383"/>
    <x v="0"/>
    <n v="1.1254263E-3"/>
    <x v="0"/>
  </r>
  <r>
    <n v="39"/>
    <n v="0"/>
    <n v="5"/>
    <n v="2"/>
    <n v="2"/>
    <n v="4"/>
    <n v="0"/>
    <n v="28"/>
    <n v="3"/>
    <n v="3"/>
    <n v="2"/>
    <n v="2077"/>
    <n v="0"/>
    <n v="2077"/>
    <n v="0.59"/>
    <n v="3647"/>
    <n v="69"/>
    <n v="0.91700000000000004"/>
    <n v="0"/>
    <n v="1.8569999999999999E-4"/>
    <n v="0.99980999999999998"/>
    <s v="28.62755473909309"/>
    <s v="56.05095993909441"/>
    <s v="122.70601608387533"/>
    <n v="9.0372479782103596"/>
    <n v="717971208"/>
    <x v="0"/>
    <n v="7.4965424999999997E-4"/>
    <x v="0"/>
  </r>
  <r>
    <n v="47"/>
    <n v="0"/>
    <n v="3"/>
    <n v="6"/>
    <n v="2"/>
    <n v="4"/>
    <n v="0"/>
    <n v="35"/>
    <n v="4"/>
    <n v="3"/>
    <n v="6"/>
    <n v="2402"/>
    <n v="628"/>
    <n v="1774"/>
    <n v="0.68899999999999995"/>
    <n v="1930"/>
    <n v="48"/>
    <n v="0.6"/>
    <n v="0.26100000000000001"/>
    <n v="0.99944"/>
    <n v="5.5875E-4"/>
    <s v="20.435463044878944"/>
    <s v="18.036669095390963"/>
    <s v="0.9922921844125452"/>
    <s v="6.943906552019918"/>
    <n v="717219933"/>
    <x v="1"/>
    <n v="0.99588909999999997"/>
    <x v="1"/>
  </r>
  <r>
    <n v="38"/>
    <n v="1"/>
    <n v="0"/>
    <n v="2"/>
    <n v="1"/>
    <n v="2"/>
    <n v="0"/>
    <n v="33"/>
    <n v="5"/>
    <n v="4"/>
    <n v="4"/>
    <n v="11741"/>
    <n v="1560"/>
    <n v="10181"/>
    <n v="0.77300000000000002"/>
    <n v="2143"/>
    <n v="41"/>
    <n v="0.78300000000000003"/>
    <n v="0.13300000000000001"/>
    <n v="5.3512999999999998E-4"/>
    <n v="0.99946000000000002"/>
    <s v="15.275823123095517"/>
    <s v="0.4058430974416148"/>
    <s v="62.31787488950866"/>
    <s v="21.25354930493433"/>
    <n v="715391433"/>
    <x v="0"/>
    <n v="1.2356120000000001E-3"/>
    <x v="0"/>
  </r>
  <r>
    <n v="49"/>
    <n v="1"/>
    <n v="1"/>
    <n v="3"/>
    <n v="2"/>
    <n v="0"/>
    <n v="0"/>
    <n v="44"/>
    <n v="6"/>
    <n v="2"/>
    <n v="3"/>
    <n v="1438.3"/>
    <n v="1058"/>
    <n v="380.3"/>
    <n v="0.56000000000000005"/>
    <n v="4109"/>
    <n v="72"/>
    <n v="0.8"/>
    <n v="0.73599999999999999"/>
    <n v="1.7468E-4"/>
    <n v="0.99983"/>
    <s v="38.21618270459703"/>
    <s v="22.671493662464908"/>
    <s v="44.66283515494533"/>
    <s v="26.754034123386877"/>
    <n v="809538783"/>
    <x v="0"/>
    <n v="3.2101269999999999E-4"/>
    <x v="0"/>
  </r>
  <r>
    <n v="57"/>
    <n v="0"/>
    <n v="2"/>
    <n v="2"/>
    <n v="1"/>
    <n v="4"/>
    <n v="0"/>
    <n v="41"/>
    <n v="3"/>
    <n v="3"/>
    <n v="3"/>
    <n v="2796"/>
    <n v="0"/>
    <n v="2796"/>
    <n v="0.72899999999999998"/>
    <n v="2196"/>
    <n v="35"/>
    <n v="0.75"/>
    <n v="0"/>
    <n v="0.99670999999999998"/>
    <n v="3.29379E-3"/>
    <s v="56.56021403026382"/>
    <s v="30.360968131781945"/>
    <s v="51.47458746088548"/>
    <n v="7.7097060784798499"/>
    <n v="717252483"/>
    <x v="1"/>
    <n v="0.9985098"/>
    <x v="1"/>
  </r>
  <r>
    <n v="43"/>
    <n v="0"/>
    <n v="2"/>
    <n v="3"/>
    <n v="1"/>
    <n v="4"/>
    <n v="0"/>
    <n v="36"/>
    <n v="5"/>
    <n v="1"/>
    <n v="3"/>
    <n v="3761"/>
    <n v="2121"/>
    <n v="1640"/>
    <n v="0.69399999999999995"/>
    <n v="4476"/>
    <n v="79"/>
    <n v="0.92700000000000005"/>
    <n v="0.56399999999999995"/>
    <s v="9.0056e-05"/>
    <n v="0.99990999999999997"/>
    <s v="4.619070356006152"/>
    <s v="58.39805712946804"/>
    <s v="53.70197222681956"/>
    <n v="3.1976670487760499"/>
    <n v="718872858"/>
    <x v="0"/>
    <n v="3.2101269999999999E-4"/>
    <x v="0"/>
  </r>
  <r>
    <n v="45"/>
    <n v="0"/>
    <n v="3"/>
    <n v="5"/>
    <n v="1"/>
    <n v="4"/>
    <n v="0"/>
    <n v="40"/>
    <n v="4"/>
    <n v="1"/>
    <n v="3"/>
    <n v="2922"/>
    <n v="1212"/>
    <n v="1710"/>
    <n v="0.66200000000000003"/>
    <n v="3895"/>
    <n v="70"/>
    <n v="0.59099999999999997"/>
    <n v="0.41499999999999998"/>
    <s v="9.8837e-05"/>
    <n v="0.99990000000000001"/>
    <s v="20.48719647232298"/>
    <s v="22.36855003840751"/>
    <s v="1.4254806912790716"/>
    <s v="6.928510127897441"/>
    <n v="813234108"/>
    <x v="0"/>
    <n v="3.2914013999999999E-4"/>
    <x v="0"/>
  </r>
  <r>
    <n v="56"/>
    <n v="1"/>
    <n v="1"/>
    <n v="5"/>
    <n v="0"/>
    <n v="0"/>
    <n v="0"/>
    <n v="36"/>
    <n v="1"/>
    <n v="1"/>
    <n v="2"/>
    <n v="3730"/>
    <n v="0"/>
    <n v="3730"/>
    <n v="0.73199999999999998"/>
    <n v="13997"/>
    <n v="102"/>
    <n v="0.61899999999999999"/>
    <n v="0"/>
    <s v="5.3155e-05"/>
    <n v="0.99995000000000001"/>
    <s v="10.631919216442355"/>
    <s v="22.170058920060203"/>
    <n v="9.48176329176904"/>
    <s v="10.964599443961731"/>
    <n v="714001008"/>
    <x v="0"/>
    <n v="7.6947116999999995E-4"/>
    <x v="0"/>
  </r>
  <r>
    <n v="52"/>
    <n v="0"/>
    <n v="2"/>
    <n v="2"/>
    <n v="2"/>
    <n v="5"/>
    <n v="0"/>
    <n v="47"/>
    <n v="6"/>
    <n v="3"/>
    <n v="3"/>
    <n v="13276"/>
    <n v="1917"/>
    <n v="11359"/>
    <n v="1.075"/>
    <n v="1901"/>
    <n v="33"/>
    <n v="0.83299999999999996"/>
    <n v="0.14399999999999999"/>
    <n v="3.0250999999999998E-4"/>
    <n v="0.99970000000000003"/>
    <s v="7.156167116019673"/>
    <s v="1.1980847868378113"/>
    <s v="31.23722796567112"/>
    <s v="10.537555801527324"/>
    <n v="816319008"/>
    <x v="0"/>
    <n v="9.5900599999999999E-4"/>
    <x v="0"/>
  </r>
  <r>
    <n v="43"/>
    <n v="0"/>
    <n v="1"/>
    <n v="2"/>
    <n v="1"/>
    <n v="4"/>
    <n v="3"/>
    <n v="31"/>
    <n v="5"/>
    <n v="1"/>
    <n v="2"/>
    <n v="11583"/>
    <n v="631"/>
    <n v="10952"/>
    <n v="0.71399999999999997"/>
    <n v="3320"/>
    <n v="55"/>
    <n v="0.77400000000000002"/>
    <n v="5.3999999999999999E-2"/>
    <s v="4.6711e-05"/>
    <n v="0.99995000000000001"/>
    <s v="28.824200747793448"/>
    <s v="29.195193044001627"/>
    <s v="53.26034536963875"/>
    <n v="3.4438007771450398"/>
    <n v="713371233"/>
    <x v="0"/>
    <n v="9.5072410000000005E-4"/>
    <x v="0"/>
  </r>
  <r>
    <n v="52"/>
    <n v="1"/>
    <n v="3"/>
    <n v="6"/>
    <n v="2"/>
    <n v="3"/>
    <n v="0"/>
    <n v="36"/>
    <n v="3"/>
    <n v="4"/>
    <n v="1"/>
    <n v="2516"/>
    <n v="1268"/>
    <n v="1248"/>
    <n v="0.751"/>
    <n v="4461"/>
    <n v="80"/>
    <n v="0.81799999999999995"/>
    <n v="0.504"/>
    <n v="1.4953000000000001E-4"/>
    <n v="0.99985000000000002"/>
    <s v="17.26655181347334"/>
    <s v="39.40413827582762"/>
    <s v="30.605066161790408"/>
    <n v="3.0749802483651298"/>
    <n v="712771233"/>
    <x v="0"/>
    <n v="3.2101269999999999E-4"/>
    <x v="0"/>
  </r>
  <r>
    <n v="44"/>
    <n v="1"/>
    <n v="3"/>
    <n v="3"/>
    <n v="3"/>
    <n v="0"/>
    <n v="0"/>
    <n v="36"/>
    <n v="2"/>
    <n v="3"/>
    <n v="2"/>
    <n v="7793"/>
    <n v="2270"/>
    <n v="5523"/>
    <n v="0.94499999999999995"/>
    <n v="8260"/>
    <n v="54"/>
    <n v="0.5"/>
    <n v="0.29099999999999998"/>
    <n v="0.99451999999999996"/>
    <n v="5.4799999999999996E-3"/>
    <s v="44.50424452985176"/>
    <s v="1.9130402319618196"/>
    <s v="31.165675481642957"/>
    <s v="14.729728560523938"/>
    <n v="709657533"/>
    <x v="1"/>
    <n v="0.99219559999999996"/>
    <x v="1"/>
  </r>
  <r>
    <n v="40"/>
    <n v="1"/>
    <n v="1"/>
    <n v="5"/>
    <n v="1"/>
    <n v="3"/>
    <n v="0"/>
    <n v="36"/>
    <n v="6"/>
    <n v="3"/>
    <n v="2"/>
    <n v="1770"/>
    <n v="584"/>
    <n v="1186"/>
    <n v="0.70599999999999996"/>
    <n v="4442"/>
    <n v="83"/>
    <n v="0.84399999999999997"/>
    <n v="0.33"/>
    <n v="1.7359999999999999E-4"/>
    <n v="0.99983"/>
    <s v="28.17970175671617"/>
    <s v="13.512119299388228"/>
    <s v="104.0979155550324"/>
    <s v="0.6937830349686155"/>
    <n v="708559533"/>
    <x v="0"/>
    <n v="5.9743242999999997E-4"/>
    <x v="0"/>
  </r>
  <r>
    <n v="45"/>
    <n v="1"/>
    <n v="3"/>
    <n v="6"/>
    <n v="1"/>
    <n v="2"/>
    <n v="0"/>
    <n v="40"/>
    <n v="3"/>
    <n v="5"/>
    <n v="3"/>
    <n v="4097"/>
    <n v="655"/>
    <n v="3442"/>
    <n v="1.0840000000000001"/>
    <n v="2611"/>
    <n v="51"/>
    <n v="0.54500000000000004"/>
    <n v="0.16"/>
    <n v="0.99741000000000002"/>
    <n v="2.5872500000000001E-3"/>
    <s v="25.644552988245643"/>
    <s v="9.399766002449187"/>
    <s v="30.60838805995249"/>
    <s v="10.220923133713097"/>
    <n v="804415083"/>
    <x v="1"/>
    <n v="0.99708395999999999"/>
    <x v="1"/>
  </r>
  <r>
    <n v="51"/>
    <n v="0"/>
    <n v="4"/>
    <n v="6"/>
    <n v="2"/>
    <n v="4"/>
    <n v="0"/>
    <n v="43"/>
    <n v="6"/>
    <n v="3"/>
    <n v="2"/>
    <n v="3124"/>
    <n v="2517"/>
    <n v="607"/>
    <n v="0.63500000000000001"/>
    <n v="4716"/>
    <n v="68"/>
    <n v="0.58099999999999996"/>
    <n v="0.80600000000000005"/>
    <n v="2.0735E-4"/>
    <n v="0.99978999999999996"/>
    <s v="11.84271470207226"/>
    <s v="30.50215017166971"/>
    <s v="25.12085029641198"/>
    <s v="10.330179582728926"/>
    <n v="720099708"/>
    <x v="0"/>
    <n v="3.5570623000000002E-4"/>
    <x v="0"/>
  </r>
  <r>
    <n v="52"/>
    <n v="0"/>
    <n v="1"/>
    <n v="2"/>
    <n v="2"/>
    <n v="4"/>
    <n v="0"/>
    <n v="32"/>
    <n v="3"/>
    <n v="1"/>
    <n v="3"/>
    <n v="5927"/>
    <n v="2320"/>
    <n v="3607"/>
    <n v="0.54400000000000004"/>
    <n v="1558"/>
    <n v="46"/>
    <n v="0.64300000000000002"/>
    <n v="0.39100000000000001"/>
    <s v="8.6952e-05"/>
    <n v="0.99990999999999997"/>
    <s v="2.3131195670443474"/>
    <s v="49.43158324339066"/>
    <s v="105.91325210936778"/>
    <s v="5.019850210029589"/>
    <n v="710032608"/>
    <x v="0"/>
    <n v="1.0903810999999999E-3"/>
    <x v="0"/>
  </r>
  <r>
    <n v="37"/>
    <n v="1"/>
    <n v="1"/>
    <n v="2"/>
    <n v="2"/>
    <n v="3"/>
    <n v="0"/>
    <n v="18"/>
    <n v="6"/>
    <n v="2"/>
    <n v="5"/>
    <n v="5110"/>
    <n v="1942"/>
    <n v="3168"/>
    <n v="0.749"/>
    <n v="3028"/>
    <n v="76"/>
    <n v="0.58299999999999996"/>
    <n v="0.38"/>
    <n v="5.3032999999999997E-4"/>
    <n v="0.99946999999999997"/>
    <s v="14.464505336354184"/>
    <s v="38.52708102204282"/>
    <s v="33.56519528978007"/>
    <s v="12.65043282535292"/>
    <n v="721150833"/>
    <x v="0"/>
    <n v="3.7613696999999998E-4"/>
    <x v="0"/>
  </r>
  <r>
    <n v="34"/>
    <n v="0"/>
    <n v="3"/>
    <n v="2"/>
    <n v="1"/>
    <n v="1"/>
    <n v="0"/>
    <n v="25"/>
    <n v="6"/>
    <n v="2"/>
    <n v="2"/>
    <n v="2275"/>
    <n v="1468"/>
    <n v="807"/>
    <n v="0.75700000000000001"/>
    <n v="4977"/>
    <n v="88"/>
    <n v="0.69199999999999995"/>
    <n v="0.64500000000000002"/>
    <n v="1.1811000000000001E-4"/>
    <n v="0.99987999999999999"/>
    <n v="37.716031178624803"/>
    <s v="7.091038851770092"/>
    <s v="28.10193916271503"/>
    <s v="29.93075764891144"/>
    <n v="716442333"/>
    <x v="0"/>
    <n v="3.2101269999999999E-4"/>
    <x v="0"/>
  </r>
  <r>
    <n v="47"/>
    <n v="0"/>
    <n v="2"/>
    <n v="3"/>
    <n v="1"/>
    <n v="5"/>
    <n v="0"/>
    <n v="32"/>
    <n v="3"/>
    <n v="2"/>
    <n v="1"/>
    <n v="11438"/>
    <n v="0"/>
    <n v="11438"/>
    <n v="0.81499999999999995"/>
    <n v="4346"/>
    <n v="90"/>
    <n v="0.91500000000000004"/>
    <n v="0"/>
    <s v="6.6728e-05"/>
    <n v="0.99992999999999999"/>
    <s v="2.1548338465807304"/>
    <s v="3.948936222444036"/>
    <s v="80.99752935528744"/>
    <s v="3.024223165347373"/>
    <n v="720547533"/>
    <x v="0"/>
    <n v="6.9517245999999998E-4"/>
    <x v="0"/>
  </r>
  <r>
    <n v="50"/>
    <n v="0"/>
    <n v="2"/>
    <n v="2"/>
    <n v="1"/>
    <n v="4"/>
    <n v="0"/>
    <n v="38"/>
    <n v="2"/>
    <n v="1"/>
    <n v="1"/>
    <n v="9546"/>
    <n v="960"/>
    <n v="8586"/>
    <n v="0.71"/>
    <n v="14211"/>
    <n v="111"/>
    <n v="0.65700000000000003"/>
    <n v="0.10100000000000001"/>
    <s v="3.3214e-05"/>
    <n v="0.99997000000000003"/>
    <s v="2.849084744195094"/>
    <s v="42.665988439754784"/>
    <n v="92.628298598180606"/>
    <s v="6.320812915939518"/>
    <n v="710237283"/>
    <x v="0"/>
    <n v="4.2668387000000001E-4"/>
    <x v="0"/>
  </r>
  <r>
    <n v="39"/>
    <n v="0"/>
    <n v="2"/>
    <n v="2"/>
    <n v="2"/>
    <n v="4"/>
    <n v="0"/>
    <n v="27"/>
    <n v="1"/>
    <n v="3"/>
    <n v="3"/>
    <n v="1438.3"/>
    <n v="811"/>
    <n v="627.29999999999995"/>
    <n v="0.57099999999999995"/>
    <n v="2336"/>
    <n v="46"/>
    <n v="0.27800000000000002"/>
    <n v="0.56399999999999995"/>
    <n v="0.99670999999999998"/>
    <n v="3.29379E-3"/>
    <s v="10.712462517189328"/>
    <s v="57.11103490506128"/>
    <n v="11.467318656559501"/>
    <s v="33.31397681544977"/>
    <n v="708154833"/>
    <x v="1"/>
    <n v="0.99776626000000002"/>
    <x v="1"/>
  </r>
  <r>
    <n v="54"/>
    <n v="0"/>
    <n v="3"/>
    <n v="3"/>
    <n v="1"/>
    <n v="5"/>
    <n v="0"/>
    <n v="38"/>
    <n v="4"/>
    <n v="2"/>
    <n v="4"/>
    <n v="5122"/>
    <n v="1642"/>
    <n v="3480"/>
    <n v="0.93500000000000005"/>
    <n v="1908"/>
    <n v="39"/>
    <n v="0.69599999999999995"/>
    <n v="0.32100000000000001"/>
    <n v="3.2941999999999997E-4"/>
    <n v="0.99966999999999995"/>
    <s v="37.59869246247744"/>
    <s v="41.41319884776375"/>
    <s v="31.532071723726627"/>
    <s v="4.874923749025627"/>
    <n v="779951058"/>
    <x v="0"/>
    <n v="1.1451696999999999E-3"/>
    <x v="0"/>
  </r>
  <r>
    <n v="55"/>
    <n v="1"/>
    <n v="2"/>
    <n v="4"/>
    <n v="2"/>
    <n v="2"/>
    <n v="0"/>
    <n v="37"/>
    <n v="3"/>
    <n v="3"/>
    <n v="1"/>
    <n v="22127"/>
    <n v="1799"/>
    <n v="20328"/>
    <n v="0.75800000000000001"/>
    <n v="3591"/>
    <n v="63"/>
    <n v="0.75"/>
    <n v="8.1000000000000003E-2"/>
    <n v="1.2763999999999999E-4"/>
    <n v="0.99987000000000004"/>
    <n v="23.852349221935899"/>
    <s v="87.49166141861002"/>
    <s v="11.70588379779122"/>
    <s v="1.785154700996184"/>
    <n v="779284833"/>
    <x v="0"/>
    <n v="3.6726240000000001E-4"/>
    <x v="0"/>
  </r>
  <r>
    <n v="46"/>
    <n v="0"/>
    <n v="4"/>
    <n v="6"/>
    <n v="1"/>
    <n v="1"/>
    <n v="0"/>
    <n v="39"/>
    <n v="5"/>
    <n v="3"/>
    <n v="3"/>
    <n v="1438.3"/>
    <n v="819"/>
    <n v="619.29999999999995"/>
    <n v="0.78600000000000003"/>
    <n v="2488"/>
    <n v="44"/>
    <n v="0.69199999999999995"/>
    <n v="0.56899999999999995"/>
    <n v="0.99714000000000003"/>
    <n v="2.8584499999999998E-3"/>
    <s v="20.104435503136404"/>
    <s v="28.025089109145515"/>
    <s v="37.98934617998858"/>
    <s v="5.708861896104112"/>
    <n v="711456108"/>
    <x v="1"/>
    <n v="0.99698275000000003"/>
    <x v="1"/>
  </r>
  <r>
    <n v="30"/>
    <n v="0"/>
    <n v="0"/>
    <n v="2"/>
    <n v="2"/>
    <n v="4"/>
    <n v="0"/>
    <n v="17"/>
    <n v="3"/>
    <n v="2"/>
    <n v="1"/>
    <n v="4868"/>
    <n v="1090"/>
    <n v="3778"/>
    <n v="0.67900000000000005"/>
    <n v="2907"/>
    <n v="69"/>
    <n v="0.81599999999999995"/>
    <n v="0.224"/>
    <s v="5.8902e-05"/>
    <n v="0.99994000000000005"/>
    <s v="36.53510887055537"/>
    <s v="20.260711690444467"/>
    <s v="43.88898682289878"/>
    <s v="13.24625596482751"/>
    <n v="789012633"/>
    <x v="0"/>
    <n v="3.6685002999999999E-4"/>
    <x v="0"/>
  </r>
  <r>
    <n v="70"/>
    <n v="1"/>
    <n v="0"/>
    <n v="3"/>
    <n v="1"/>
    <n v="4"/>
    <n v="0"/>
    <n v="56"/>
    <n v="3"/>
    <n v="2"/>
    <n v="3"/>
    <n v="3252"/>
    <n v="1495"/>
    <n v="1757"/>
    <n v="0.58099999999999996"/>
    <n v="1227"/>
    <n v="15"/>
    <n v="0.875"/>
    <n v="0.46"/>
    <n v="1.5970000000000001E-4"/>
    <n v="0.99983999999999995"/>
    <s v="40.41876450450812"/>
    <n v="37.819112628544602"/>
    <s v="46.29463097868791"/>
    <s v="26.83506891084875"/>
    <n v="787348608"/>
    <x v="0"/>
    <n v="1.0249399E-3"/>
    <x v="0"/>
  </r>
  <r>
    <n v="39"/>
    <n v="0"/>
    <n v="1"/>
    <n v="2"/>
    <n v="1"/>
    <n v="4"/>
    <n v="0"/>
    <n v="36"/>
    <n v="3"/>
    <n v="3"/>
    <n v="1"/>
    <n v="2490"/>
    <n v="1281"/>
    <n v="1209"/>
    <n v="0.55100000000000005"/>
    <n v="1902"/>
    <n v="34"/>
    <n v="0.61899999999999999"/>
    <n v="0.51400000000000001"/>
    <n v="1.0182E-4"/>
    <n v="0.99990000000000001"/>
    <s v="1.6831306904093333"/>
    <n v="29.6733153451822"/>
    <s v="11.587405545837672"/>
    <s v="1.5958724734023255"/>
    <n v="719488008"/>
    <x v="0"/>
    <n v="1.1728582E-3"/>
    <x v="0"/>
  </r>
  <r>
    <n v="53"/>
    <n v="1"/>
    <n v="3"/>
    <n v="2"/>
    <n v="2"/>
    <n v="0"/>
    <n v="0"/>
    <n v="45"/>
    <n v="4"/>
    <n v="3"/>
    <n v="1"/>
    <n v="3378"/>
    <n v="1852"/>
    <n v="1526"/>
    <n v="0.48299999999999998"/>
    <n v="4437"/>
    <n v="50"/>
    <n v="1"/>
    <n v="0.54800000000000004"/>
    <n v="1.1256000000000001E-4"/>
    <n v="0.99988999999999995"/>
    <n v="15.111686411810799"/>
    <s v="36.32231993800927"/>
    <s v="7.007312921061922"/>
    <s v="1.3792165118682227"/>
    <n v="720865383"/>
    <x v="0"/>
    <n v="8.2981254999999995E-4"/>
    <x v="0"/>
  </r>
  <r>
    <n v="42"/>
    <n v="0"/>
    <n v="5"/>
    <n v="2"/>
    <n v="1"/>
    <n v="4"/>
    <n v="0"/>
    <n v="18"/>
    <n v="6"/>
    <n v="1"/>
    <n v="1"/>
    <n v="1694"/>
    <n v="1074"/>
    <n v="620"/>
    <n v="0.78"/>
    <n v="3857"/>
    <n v="70"/>
    <n v="0.75"/>
    <n v="0.63400000000000001"/>
    <s v="3.429e-05"/>
    <n v="0.99997000000000003"/>
    <s v="18.25401810257717"/>
    <s v="13.815836198952196"/>
    <s v="26.149419143038727"/>
    <s v="4.756439551288743"/>
    <n v="721254858"/>
    <x v="0"/>
    <n v="3.2101269999999999E-4"/>
    <x v="0"/>
  </r>
  <r>
    <n v="50"/>
    <n v="0"/>
    <n v="3"/>
    <n v="3"/>
    <n v="1"/>
    <n v="4"/>
    <n v="0"/>
    <n v="38"/>
    <n v="4"/>
    <n v="3"/>
    <n v="4"/>
    <n v="1438.3"/>
    <n v="0"/>
    <n v="1438.3"/>
    <n v="1.0840000000000001"/>
    <n v="4740"/>
    <n v="81"/>
    <n v="0.65300000000000002"/>
    <n v="0"/>
    <n v="5.2052000000000001E-4"/>
    <n v="0.99948000000000004"/>
    <s v="4.187742265736545"/>
    <s v="5.167556700203997"/>
    <s v="75.55023127679408"/>
    <s v="12.649840845411822"/>
    <n v="710760258"/>
    <x v="0"/>
    <n v="7.1297199999999998E-4"/>
    <x v="0"/>
  </r>
  <r>
    <n v="51"/>
    <n v="1"/>
    <n v="0"/>
    <n v="3"/>
    <n v="2"/>
    <n v="3"/>
    <n v="0"/>
    <n v="45"/>
    <n v="3"/>
    <n v="2"/>
    <n v="3"/>
    <n v="10648"/>
    <n v="2517"/>
    <n v="8131"/>
    <n v="0.70799999999999996"/>
    <n v="4930"/>
    <n v="89"/>
    <n v="0.97799999999999998"/>
    <n v="0.23599999999999999"/>
    <n v="1.5970000000000001E-4"/>
    <n v="0.99983999999999995"/>
    <s v="27.86205037218768"/>
    <s v="24.43533810247086"/>
    <n v="14.756227076448599"/>
    <s v="33.44799280899379"/>
    <n v="801786483"/>
    <x v="0"/>
    <n v="3.4692350000000002E-4"/>
    <x v="0"/>
  </r>
  <r>
    <n v="41"/>
    <n v="0"/>
    <n v="2"/>
    <n v="0"/>
    <n v="0"/>
    <n v="4"/>
    <n v="0"/>
    <n v="36"/>
    <n v="3"/>
    <n v="3"/>
    <n v="4"/>
    <n v="1569"/>
    <n v="257"/>
    <n v="1312"/>
    <n v="0.40799999999999997"/>
    <n v="2288"/>
    <n v="45"/>
    <n v="0.66700000000000004"/>
    <n v="0.16400000000000001"/>
    <n v="0.99800999999999995"/>
    <n v="1.9883499999999998E-3"/>
    <n v="37.156524642061598"/>
    <s v="31.27505735428698"/>
    <s v="89.76433773533185"/>
    <s v="3.470548386926905"/>
    <n v="712843983"/>
    <x v="1"/>
    <n v="0.99775826999999995"/>
    <x v="1"/>
  </r>
  <r>
    <n v="44"/>
    <n v="1"/>
    <n v="4"/>
    <n v="1"/>
    <n v="1"/>
    <n v="3"/>
    <n v="0"/>
    <n v="33"/>
    <n v="3"/>
    <n v="1"/>
    <n v="3"/>
    <n v="4552"/>
    <n v="1144"/>
    <n v="3408"/>
    <n v="0.70899999999999996"/>
    <n v="14418"/>
    <n v="104"/>
    <n v="0.67700000000000005"/>
    <n v="0.251"/>
    <n v="1.4059000000000001E-4"/>
    <n v="0.99985999999999997"/>
    <s v="13.334058517877038"/>
    <s v="6.276314441390596"/>
    <s v="21.698525285749284"/>
    <s v="2.6475528264420896"/>
    <n v="771982083"/>
    <x v="0"/>
    <n v="3.4656386999999997E-4"/>
    <x v="0"/>
  </r>
  <r>
    <n v="45"/>
    <n v="1"/>
    <n v="2"/>
    <n v="2"/>
    <n v="1"/>
    <n v="1"/>
    <n v="0"/>
    <n v="34"/>
    <n v="5"/>
    <n v="1"/>
    <n v="3"/>
    <n v="13129"/>
    <n v="901"/>
    <n v="12228"/>
    <n v="0.82499999999999996"/>
    <n v="2564"/>
    <n v="56"/>
    <n v="0.47399999999999998"/>
    <n v="6.9000000000000006E-2"/>
    <s v="9.2637e-05"/>
    <n v="0.99990999999999997"/>
    <s v="3.1107092014352817"/>
    <s v="23.584185120724836"/>
    <s v="44.35438781740908"/>
    <s v="21.55455971851197"/>
    <n v="779783508"/>
    <x v="0"/>
    <n v="8.9876370000000004E-4"/>
    <x v="0"/>
  </r>
  <r>
    <n v="38"/>
    <n v="1"/>
    <n v="1"/>
    <n v="2"/>
    <n v="2"/>
    <n v="3"/>
    <n v="0"/>
    <n v="27"/>
    <n v="6"/>
    <n v="2"/>
    <n v="5"/>
    <n v="26372"/>
    <n v="1365"/>
    <n v="25007"/>
    <n v="1.3939999999999999"/>
    <n v="2291"/>
    <n v="56"/>
    <n v="1"/>
    <n v="5.1999999999999998E-2"/>
    <n v="5.3032999999999997E-4"/>
    <n v="0.99946999999999997"/>
    <s v="10.894844302444405"/>
    <s v="14.51716563931782"/>
    <s v="8.268680484699466"/>
    <s v="3.6126832602048182"/>
    <n v="787523283"/>
    <x v="0"/>
    <n v="5.3570699999999996E-4"/>
    <x v="0"/>
  </r>
  <r>
    <n v="47"/>
    <n v="0"/>
    <n v="4"/>
    <n v="2"/>
    <n v="1"/>
    <n v="5"/>
    <n v="0"/>
    <n v="33"/>
    <n v="6"/>
    <n v="3"/>
    <n v="1"/>
    <n v="10714"/>
    <n v="2407"/>
    <n v="8307"/>
    <n v="0.378"/>
    <n v="4328"/>
    <n v="71"/>
    <n v="0.54300000000000004"/>
    <n v="0.22500000000000001"/>
    <n v="1.1377E-4"/>
    <n v="0.99988999999999995"/>
    <s v="22.94911607601976"/>
    <s v="49.07475107117004"/>
    <s v="7.624244381794881"/>
    <s v="3.415803549811608"/>
    <n v="711587433"/>
    <x v="0"/>
    <n v="3.2914013999999999E-4"/>
    <x v="0"/>
  </r>
  <r>
    <n v="49"/>
    <n v="1"/>
    <n v="1"/>
    <n v="5"/>
    <n v="2"/>
    <n v="0"/>
    <n v="0"/>
    <n v="38"/>
    <n v="2"/>
    <n v="2"/>
    <n v="3"/>
    <n v="12055"/>
    <n v="1858"/>
    <n v="10197"/>
    <n v="0.64500000000000002"/>
    <n v="7222"/>
    <n v="93"/>
    <n v="0.5"/>
    <n v="0.154"/>
    <n v="1.8474999999999999E-4"/>
    <n v="0.99982000000000004"/>
    <s v="25.691887391197916"/>
    <s v="1.6686910640790549"/>
    <s v="44.48499130073286"/>
    <s v="17.234816528603734"/>
    <n v="716871633"/>
    <x v="0"/>
    <n v="3.9225167999999998E-4"/>
    <x v="0"/>
  </r>
  <r>
    <n v="33"/>
    <n v="0"/>
    <n v="2"/>
    <n v="1"/>
    <n v="1"/>
    <n v="1"/>
    <n v="0"/>
    <n v="36"/>
    <n v="4"/>
    <n v="2"/>
    <n v="1"/>
    <n v="2748"/>
    <n v="1867"/>
    <n v="881"/>
    <n v="0.81599999999999995"/>
    <n v="4314"/>
    <n v="75"/>
    <n v="1.0269999999999999"/>
    <n v="0.67900000000000005"/>
    <s v="9.933e-05"/>
    <n v="0.99990000000000001"/>
    <s v="26.830849503203275"/>
    <s v="1.5274484884393755"/>
    <s v="18.00052972751326"/>
    <s v="3.864656432667274"/>
    <n v="715321983"/>
    <x v="0"/>
    <n v="3.2101269999999999E-4"/>
    <x v="0"/>
  </r>
  <r>
    <n v="53"/>
    <n v="1"/>
    <n v="1"/>
    <n v="2"/>
    <n v="1"/>
    <n v="2"/>
    <n v="0"/>
    <n v="45"/>
    <n v="6"/>
    <n v="2"/>
    <n v="2"/>
    <n v="3380"/>
    <n v="1701"/>
    <n v="1679"/>
    <n v="0.747"/>
    <n v="1502"/>
    <n v="25"/>
    <n v="1.2729999999999999"/>
    <n v="0.503"/>
    <n v="1.0684E-4"/>
    <n v="0.99988999999999995"/>
    <s v="21.15170834657162"/>
    <s v="2.316343812924796"/>
    <n v="96.373291256011598"/>
    <s v="6.227690366604976"/>
    <n v="719360583"/>
    <x v="0"/>
    <n v="9.8706899999999992E-4"/>
    <x v="0"/>
  </r>
  <r>
    <n v="52"/>
    <n v="0"/>
    <n v="3"/>
    <n v="2"/>
    <n v="2"/>
    <n v="4"/>
    <n v="0"/>
    <n v="36"/>
    <n v="2"/>
    <n v="1"/>
    <n v="2"/>
    <n v="2166"/>
    <n v="1458"/>
    <n v="708"/>
    <n v="0.71199999999999997"/>
    <n v="8215"/>
    <n v="109"/>
    <n v="0.53500000000000003"/>
    <n v="0.67300000000000004"/>
    <s v="5.7151e-05"/>
    <n v="0.99994000000000005"/>
    <n v="13.063029346430801"/>
    <s v="38.301132897648834"/>
    <s v="18.084905673428675"/>
    <s v="7.200875868942363"/>
    <n v="721029858"/>
    <x v="0"/>
    <n v="3.7789578000000003E-4"/>
    <x v="0"/>
  </r>
  <r>
    <n v="65"/>
    <n v="0"/>
    <n v="0"/>
    <n v="3"/>
    <n v="1"/>
    <n v="5"/>
    <n v="0"/>
    <n v="36"/>
    <n v="4"/>
    <n v="3"/>
    <n v="2"/>
    <n v="8138"/>
    <n v="2104"/>
    <n v="6034"/>
    <n v="0.83699999999999997"/>
    <n v="1299"/>
    <n v="29"/>
    <n v="0.81200000000000006"/>
    <n v="0.25900000000000001"/>
    <n v="1.5004999999999999E-4"/>
    <n v="0.99985000000000002"/>
    <s v="23.91753900616932"/>
    <s v="32.34248906013997"/>
    <s v="15.02720249309971"/>
    <s v="33.12947025034197"/>
    <n v="713220258"/>
    <x v="0"/>
    <n v="9.8706899999999992E-4"/>
    <x v="0"/>
  </r>
  <r>
    <n v="49"/>
    <n v="0"/>
    <n v="3"/>
    <n v="3"/>
    <n v="1"/>
    <n v="4"/>
    <n v="0"/>
    <n v="36"/>
    <n v="4"/>
    <n v="2"/>
    <n v="2"/>
    <n v="1763"/>
    <n v="0"/>
    <n v="1763"/>
    <n v="0.89600000000000002"/>
    <n v="2813"/>
    <n v="43"/>
    <n v="0.53600000000000003"/>
    <n v="0"/>
    <n v="0.99136999999999997"/>
    <n v="8.6300000000000005E-3"/>
    <s v="13.904772793319204"/>
    <s v="6.0626506132095095"/>
    <s v="103.1684807014855"/>
    <s v="0.4938519805369447"/>
    <n v="710727333"/>
    <x v="1"/>
    <n v="0.99869054999999995"/>
    <x v="1"/>
  </r>
  <r>
    <n v="56"/>
    <n v="1"/>
    <n v="3"/>
    <n v="2"/>
    <n v="1"/>
    <n v="3"/>
    <n v="0"/>
    <n v="47"/>
    <n v="6"/>
    <n v="3"/>
    <n v="3"/>
    <n v="10230"/>
    <n v="1082"/>
    <n v="9148"/>
    <n v="0.65800000000000003"/>
    <n v="1484"/>
    <n v="34"/>
    <n v="0.54500000000000004"/>
    <n v="0.106"/>
    <n v="3.1389999999999999E-4"/>
    <n v="0.99968999999999997"/>
    <s v="1.2597677323532688"/>
    <s v="44.170250003776886"/>
    <s v="38.75421127261324"/>
    <s v="1.8252698946243864"/>
    <n v="718772133"/>
    <x v="0"/>
    <n v="1.0598798E-3"/>
    <x v="0"/>
  </r>
  <r>
    <n v="48"/>
    <n v="1"/>
    <n v="4"/>
    <n v="4"/>
    <n v="2"/>
    <n v="3"/>
    <n v="0"/>
    <n v="36"/>
    <n v="6"/>
    <n v="2"/>
    <n v="3"/>
    <n v="30367"/>
    <n v="2362"/>
    <n v="28005"/>
    <n v="1.708"/>
    <n v="1671"/>
    <n v="27"/>
    <n v="0.92900000000000005"/>
    <n v="7.8E-2"/>
    <n v="2.3623000000000001E-4"/>
    <n v="0.99975999999999998"/>
    <s v="12.423702235489072"/>
    <s v="11.843852415500258"/>
    <s v="73.54554339569633"/>
    <s v="25.65079664476632"/>
    <n v="709967358"/>
    <x v="0"/>
    <n v="1.041906E-3"/>
    <x v="0"/>
  </r>
  <r>
    <n v="40"/>
    <n v="0"/>
    <n v="4"/>
    <n v="2"/>
    <n v="2"/>
    <n v="4"/>
    <n v="0"/>
    <n v="27"/>
    <n v="6"/>
    <n v="2"/>
    <n v="3"/>
    <n v="3751"/>
    <n v="1521"/>
    <n v="2230"/>
    <n v="0.97399999999999998"/>
    <n v="1060"/>
    <n v="30"/>
    <n v="1.3080000000000001"/>
    <n v="0.40500000000000003"/>
    <n v="2.0076999999999999E-4"/>
    <n v="0.99980000000000002"/>
    <s v="54.850705224261965"/>
    <s v="11.941043893824205"/>
    <s v="9.783748837155429"/>
    <s v="6.351585376195066"/>
    <n v="714914583"/>
    <x v="0"/>
    <n v="1.0667827000000001E-3"/>
    <x v="0"/>
  </r>
  <r>
    <n v="51"/>
    <n v="0"/>
    <n v="2"/>
    <n v="1"/>
    <n v="2"/>
    <n v="4"/>
    <n v="0"/>
    <n v="40"/>
    <n v="3"/>
    <n v="3"/>
    <n v="3"/>
    <n v="1438.3"/>
    <n v="1153"/>
    <n v="285.3"/>
    <n v="0.86599999999999999"/>
    <n v="4263"/>
    <n v="84"/>
    <n v="0.90900000000000003"/>
    <n v="0.80200000000000005"/>
    <n v="4.3772E-4"/>
    <n v="0.99956"/>
    <s v="6.962193556050474"/>
    <s v="2.3583683720142656"/>
    <s v="13.608865013099004"/>
    <s v="8.430958754314966"/>
    <n v="712987608"/>
    <x v="0"/>
    <n v="3.2101269999999999E-4"/>
    <x v="0"/>
  </r>
  <r>
    <n v="44"/>
    <n v="1"/>
    <n v="3"/>
    <n v="2"/>
    <n v="3"/>
    <n v="2"/>
    <n v="1"/>
    <n v="29"/>
    <n v="2"/>
    <n v="3"/>
    <n v="2"/>
    <n v="34516"/>
    <n v="2517"/>
    <n v="31999"/>
    <n v="0.57899999999999996"/>
    <n v="6782"/>
    <n v="67"/>
    <n v="0.76300000000000001"/>
    <n v="7.2999999999999995E-2"/>
    <n v="0.99536999999999998"/>
    <n v="4.6279199999999998E-3"/>
    <s v="4.219341047338413"/>
    <s v="7.616110308183797"/>
    <s v="166.2822021806257"/>
    <s v="6.799203103710254"/>
    <n v="713390433"/>
    <x v="1"/>
    <n v="0.99051089999999997"/>
    <x v="1"/>
  </r>
  <r>
    <n v="52"/>
    <n v="1"/>
    <n v="1"/>
    <n v="3"/>
    <n v="1"/>
    <n v="0"/>
    <n v="0"/>
    <n v="34"/>
    <n v="2"/>
    <n v="3"/>
    <n v="1"/>
    <n v="34516"/>
    <n v="0"/>
    <n v="34516"/>
    <n v="1.038"/>
    <n v="4863"/>
    <n v="56"/>
    <n v="0.47399999999999998"/>
    <n v="0"/>
    <n v="0.99"/>
    <n v="0.01"/>
    <s v="8.956795624666878"/>
    <s v="60.53534785775619"/>
    <s v="63.107548639958765"/>
    <s v="1.9561408691051607"/>
    <n v="714342033"/>
    <x v="1"/>
    <n v="0.99592409999999998"/>
    <x v="1"/>
  </r>
  <r>
    <n v="61"/>
    <n v="1"/>
    <n v="0"/>
    <n v="2"/>
    <n v="1"/>
    <n v="2"/>
    <n v="0"/>
    <n v="48"/>
    <n v="1"/>
    <n v="3"/>
    <n v="1"/>
    <n v="15483"/>
    <n v="2148"/>
    <n v="13335"/>
    <n v="0.73799999999999999"/>
    <n v="14463"/>
    <n v="94"/>
    <n v="0.77400000000000002"/>
    <n v="0.13900000000000001"/>
    <s v="9.3087e-05"/>
    <n v="0.99990999999999997"/>
    <s v="3.8803191851196814"/>
    <s v="26.852135549878614"/>
    <s v="182.47417725182032"/>
    <s v="4.343385950533635"/>
    <n v="716816583"/>
    <x v="0"/>
    <n v="3.4656386999999997E-4"/>
    <x v="0"/>
  </r>
  <r>
    <n v="55"/>
    <n v="0"/>
    <n v="3"/>
    <n v="2"/>
    <n v="1"/>
    <n v="5"/>
    <n v="0"/>
    <n v="45"/>
    <n v="1"/>
    <n v="3"/>
    <n v="1"/>
    <n v="2815"/>
    <n v="1848"/>
    <n v="967"/>
    <n v="0.56299999999999994"/>
    <n v="2618"/>
    <n v="29"/>
    <n v="0.45"/>
    <n v="0.65600000000000003"/>
    <n v="0.99119999999999997"/>
    <n v="8.8000000000000005E-3"/>
    <n v="0.145419603131934"/>
    <s v="11.96046414258097"/>
    <s v="97.03278838523856"/>
    <s v="0.3991954439201929"/>
    <n v="711144183"/>
    <x v="1"/>
    <n v="0.99633706"/>
    <x v="1"/>
  </r>
  <r>
    <n v="61"/>
    <n v="0"/>
    <n v="1"/>
    <n v="3"/>
    <n v="1"/>
    <n v="4"/>
    <n v="0"/>
    <n v="51"/>
    <n v="3"/>
    <n v="3"/>
    <n v="3"/>
    <n v="1795"/>
    <n v="794"/>
    <n v="1001"/>
    <n v="0.95299999999999996"/>
    <n v="1834"/>
    <n v="59"/>
    <n v="1.107"/>
    <n v="0.442"/>
    <n v="2.7604000000000002E-4"/>
    <n v="0.99972000000000005"/>
    <s v="10.561496350514004"/>
    <s v="87.16147481366116"/>
    <s v="144.86694952288047"/>
    <s v="5.612550352326867"/>
    <n v="716615583"/>
    <x v="0"/>
    <n v="7.0012703999999999E-4"/>
    <x v="0"/>
  </r>
  <r>
    <n v="38"/>
    <n v="1"/>
    <n v="1"/>
    <n v="3"/>
    <n v="2"/>
    <n v="2"/>
    <n v="0"/>
    <n v="28"/>
    <n v="2"/>
    <n v="2"/>
    <n v="2"/>
    <n v="21906"/>
    <n v="0"/>
    <n v="21906"/>
    <n v="0.69599999999999995"/>
    <n v="15349"/>
    <n v="119"/>
    <n v="0.7"/>
    <n v="0"/>
    <n v="1.0386E-4"/>
    <n v="0.99990000000000001"/>
    <s v="39.808093734102094"/>
    <s v="19.80797891131811"/>
    <s v="4.8566577048236885"/>
    <s v="6.269401991984377"/>
    <n v="719574033"/>
    <x v="0"/>
    <n v="7.5047980000000002E-4"/>
    <x v="0"/>
  </r>
  <r>
    <n v="33"/>
    <n v="0"/>
    <n v="2"/>
    <n v="2"/>
    <n v="2"/>
    <n v="4"/>
    <n v="0"/>
    <n v="24"/>
    <n v="6"/>
    <n v="2"/>
    <n v="3"/>
    <n v="1806"/>
    <n v="0"/>
    <n v="1806"/>
    <n v="0.98299999999999998"/>
    <n v="2833"/>
    <n v="43"/>
    <n v="0.65400000000000003"/>
    <n v="0"/>
    <n v="0.99480000000000002"/>
    <n v="5.1999999999999998E-3"/>
    <s v="2.091498331910316"/>
    <s v="33.503152414870485"/>
    <s v="143.51385095101142"/>
    <s v="8.135132008780586"/>
    <n v="710136258"/>
    <x v="1"/>
    <n v="0.99845063999999994"/>
    <x v="1"/>
  </r>
  <r>
    <n v="42"/>
    <n v="1"/>
    <n v="4"/>
    <n v="3"/>
    <n v="1"/>
    <n v="0"/>
    <n v="1"/>
    <n v="30"/>
    <n v="6"/>
    <n v="2"/>
    <n v="4"/>
    <n v="34516"/>
    <n v="1045"/>
    <n v="33471"/>
    <n v="0.84799999999999998"/>
    <n v="3574"/>
    <n v="75"/>
    <n v="0.92300000000000004"/>
    <n v="0.03"/>
    <n v="3.8357000000000002E-4"/>
    <n v="0.99961999999999995"/>
    <s v="9.882353647741663"/>
    <s v="13.714767875410905"/>
    <s v="82.16249210176203"/>
    <s v="2.5002669897622507"/>
    <n v="789059958"/>
    <x v="0"/>
    <n v="3.5729867999999997E-4"/>
    <x v="0"/>
  </r>
  <r>
    <n v="47"/>
    <n v="1"/>
    <n v="2"/>
    <n v="3"/>
    <n v="1"/>
    <n v="2"/>
    <n v="0"/>
    <n v="39"/>
    <n v="2"/>
    <n v="3"/>
    <n v="1"/>
    <n v="18660"/>
    <n v="728"/>
    <n v="17932"/>
    <n v="0.40300000000000002"/>
    <n v="1682"/>
    <n v="43"/>
    <n v="0.30299999999999999"/>
    <n v="3.9E-2"/>
    <n v="0.99060999999999999"/>
    <n v="9.3900000000000008E-3"/>
    <s v="22.065044821088524"/>
    <s v="3.010676175975606"/>
    <s v="137.89369866302178"/>
    <s v="6.017252277196033"/>
    <n v="713886333"/>
    <x v="1"/>
    <n v="0.99777439999999995"/>
    <x v="1"/>
  </r>
  <r>
    <n v="34"/>
    <n v="0"/>
    <n v="4"/>
    <n v="2"/>
    <n v="2"/>
    <n v="5"/>
    <n v="3"/>
    <n v="29"/>
    <n v="6"/>
    <n v="2"/>
    <n v="2"/>
    <n v="30702"/>
    <n v="673"/>
    <n v="30029"/>
    <n v="0.72099999999999997"/>
    <n v="2652"/>
    <n v="64"/>
    <n v="0.52400000000000002"/>
    <n v="2.1999999999999999E-2"/>
    <n v="1.0786E-4"/>
    <n v="0.99988999999999995"/>
    <s v="10.08501480661574"/>
    <s v="31.95961434976441"/>
    <s v="14.557083487530994"/>
    <s v="13.67341732831468"/>
    <n v="816834933"/>
    <x v="0"/>
    <n v="8.1918659999999995E-4"/>
    <x v="0"/>
  </r>
  <r>
    <n v="57"/>
    <n v="0"/>
    <n v="1"/>
    <n v="6"/>
    <n v="2"/>
    <n v="4"/>
    <n v="0"/>
    <n v="44"/>
    <n v="4"/>
    <n v="3"/>
    <n v="2"/>
    <n v="2564"/>
    <n v="1258"/>
    <n v="1306"/>
    <n v="1.1559999999999999"/>
    <n v="2673"/>
    <n v="43"/>
    <n v="0.87"/>
    <n v="0.49099999999999999"/>
    <n v="1.8558E-4"/>
    <n v="0.99980999999999998"/>
    <s v="45.87094315991207"/>
    <s v="30.36759201125695"/>
    <s v="40.63966732721157"/>
    <s v="15.92370739997594"/>
    <n v="721026033"/>
    <x v="0"/>
    <n v="1.0147218E-3"/>
    <x v="0"/>
  </r>
  <r>
    <n v="33"/>
    <n v="1"/>
    <n v="1"/>
    <n v="6"/>
    <n v="1"/>
    <n v="2"/>
    <n v="0"/>
    <n v="36"/>
    <n v="1"/>
    <n v="3"/>
    <n v="4"/>
    <n v="8925"/>
    <n v="168"/>
    <n v="8757"/>
    <n v="0.44700000000000001"/>
    <n v="741"/>
    <n v="10"/>
    <n v="0.42899999999999999"/>
    <n v="1.9E-2"/>
    <n v="0.99812999999999996"/>
    <n v="1.8738699999999999E-3"/>
    <s v="49.22134623002229"/>
    <n v="34.010348342281503"/>
    <s v="33.456264632371294"/>
    <s v="17.22980225119022"/>
    <n v="720693033"/>
    <x v="1"/>
    <n v="0.99843305000000004"/>
    <x v="1"/>
  </r>
  <r>
    <n v="45"/>
    <n v="0"/>
    <n v="5"/>
    <n v="6"/>
    <n v="3"/>
    <n v="4"/>
    <n v="0"/>
    <n v="37"/>
    <n v="2"/>
    <n v="2"/>
    <n v="2"/>
    <n v="5465"/>
    <n v="1967"/>
    <n v="3498"/>
    <n v="0.64400000000000002"/>
    <n v="14192"/>
    <n v="115"/>
    <n v="0.66700000000000004"/>
    <n v="0.36"/>
    <n v="1.2915999999999999E-4"/>
    <n v="0.99987000000000004"/>
    <s v="21.630260329323725"/>
    <s v="61.184372129254605"/>
    <s v="35.32316218116856"/>
    <s v="10.936471046982078"/>
    <n v="721107258"/>
    <x v="0"/>
    <n v="3.4656386999999997E-4"/>
    <x v="0"/>
  </r>
  <r>
    <n v="48"/>
    <n v="1"/>
    <n v="3"/>
    <n v="2"/>
    <n v="1"/>
    <n v="0"/>
    <n v="1"/>
    <n v="36"/>
    <n v="1"/>
    <n v="4"/>
    <n v="2"/>
    <n v="34516"/>
    <n v="1823"/>
    <n v="32693"/>
    <n v="1.0620000000000001"/>
    <n v="15552"/>
    <n v="108"/>
    <n v="0.83099999999999996"/>
    <n v="5.2999999999999999E-2"/>
    <n v="2.5986999999999999E-4"/>
    <n v="0.99973999999999996"/>
    <s v="41.004985451320216"/>
    <s v="25.817821853523657"/>
    <s v="30.122491857344357"/>
    <n v="12.2102167875454"/>
    <n v="712544358"/>
    <x v="0"/>
    <n v="4.0555582000000002E-4"/>
    <x v="0"/>
  </r>
  <r>
    <n v="30"/>
    <n v="0"/>
    <n v="1"/>
    <n v="2"/>
    <n v="2"/>
    <n v="4"/>
    <n v="0"/>
    <n v="20"/>
    <n v="5"/>
    <n v="2"/>
    <n v="3"/>
    <n v="5030"/>
    <n v="1327"/>
    <n v="3703"/>
    <n v="0.80300000000000005"/>
    <n v="2523"/>
    <n v="71"/>
    <n v="0.77500000000000002"/>
    <n v="0.26400000000000001"/>
    <n v="1.7969000000000001E-4"/>
    <n v="0.99982000000000004"/>
    <s v="10.939087923960033"/>
    <s v="44.12553795802531"/>
    <s v="49.336987053507215"/>
    <s v="0.6661096378821574"/>
    <n v="717670758"/>
    <x v="0"/>
    <n v="3.9451056999999999E-4"/>
    <x v="0"/>
  </r>
  <r>
    <n v="64"/>
    <n v="1"/>
    <n v="1"/>
    <n v="2"/>
    <n v="2"/>
    <n v="4"/>
    <n v="0"/>
    <n v="52"/>
    <n v="5"/>
    <n v="3"/>
    <n v="2"/>
    <n v="2563"/>
    <n v="2242"/>
    <n v="321"/>
    <n v="1.1140000000000001"/>
    <n v="3942"/>
    <n v="84"/>
    <n v="0.82599999999999996"/>
    <n v="0.875"/>
    <n v="1.6882999999999999E-4"/>
    <n v="0.99983"/>
    <n v="34.749315068067503"/>
    <s v="40.38075855905935"/>
    <s v="156.27447145682532"/>
    <s v="7.991766157282673"/>
    <n v="771486933"/>
    <x v="0"/>
    <n v="3.221314E-4"/>
    <x v="0"/>
  </r>
  <r>
    <n v="53"/>
    <n v="0"/>
    <n v="2"/>
    <n v="6"/>
    <n v="2"/>
    <n v="4"/>
    <n v="0"/>
    <n v="36"/>
    <n v="5"/>
    <n v="2"/>
    <n v="2"/>
    <n v="1820"/>
    <n v="909"/>
    <n v="911"/>
    <n v="0.73699999999999999"/>
    <n v="4665"/>
    <n v="67"/>
    <n v="0.76300000000000001"/>
    <n v="0.499"/>
    <n v="1.2511E-4"/>
    <n v="0.99987000000000004"/>
    <s v="11.452206212656291"/>
    <s v="28.418233448487985"/>
    <s v="2.4431221767996973"/>
    <s v="17.280270902678403"/>
    <n v="710142258"/>
    <x v="0"/>
    <n v="4.0989029999999999E-4"/>
    <x v="0"/>
  </r>
  <r>
    <n v="49"/>
    <n v="0"/>
    <n v="2"/>
    <n v="5"/>
    <n v="1"/>
    <n v="5"/>
    <n v="0"/>
    <n v="36"/>
    <n v="4"/>
    <n v="3"/>
    <n v="2"/>
    <n v="5099"/>
    <n v="1178"/>
    <n v="3921"/>
    <n v="0.91200000000000003"/>
    <n v="3819"/>
    <n v="82"/>
    <n v="0.86399999999999999"/>
    <n v="0.23100000000000001"/>
    <n v="1.8494E-4"/>
    <n v="0.99982000000000004"/>
    <s v="3.9933450820840153"/>
    <s v="37.96243168939044"/>
    <s v="24.66595864867785"/>
    <s v="15.238787388804962"/>
    <n v="709766808"/>
    <x v="0"/>
    <n v="3.3750932000000002E-4"/>
    <x v="0"/>
  </r>
  <r>
    <n v="46"/>
    <n v="1"/>
    <n v="3"/>
    <n v="1"/>
    <n v="1"/>
    <n v="3"/>
    <n v="0"/>
    <n v="38"/>
    <n v="6"/>
    <n v="1"/>
    <n v="2"/>
    <n v="12935"/>
    <n v="1417"/>
    <n v="11518"/>
    <n v="0.73799999999999999"/>
    <n v="3528"/>
    <n v="61"/>
    <n v="0.74299999999999999"/>
    <n v="0.11"/>
    <s v="8.2704e-05"/>
    <n v="0.99992000000000003"/>
    <s v="13.75485518789158"/>
    <s v="39.19043486398581"/>
    <s v="84.91233128046308"/>
    <n v="3.4389993453491599"/>
    <n v="721012983"/>
    <x v="0"/>
    <n v="3.479205E-4"/>
    <x v="0"/>
  </r>
  <r>
    <n v="33"/>
    <n v="0"/>
    <n v="2"/>
    <n v="2"/>
    <n v="1"/>
    <n v="4"/>
    <n v="0"/>
    <n v="20"/>
    <n v="3"/>
    <n v="2"/>
    <n v="5"/>
    <n v="3202"/>
    <n v="0"/>
    <n v="3202"/>
    <n v="1.012"/>
    <n v="2917"/>
    <n v="37"/>
    <n v="0.68200000000000005"/>
    <n v="0"/>
    <n v="0.99822999999999995"/>
    <n v="1.7658400000000001E-3"/>
    <s v="40.43120626371061"/>
    <s v="22.61166869106936"/>
    <s v="10.549000475966391"/>
    <n v="9.0748744859243207"/>
    <n v="709850508"/>
    <x v="1"/>
    <n v="0.99751520000000005"/>
    <x v="1"/>
  </r>
  <r>
    <n v="46"/>
    <n v="1"/>
    <n v="2"/>
    <n v="6"/>
    <n v="0"/>
    <n v="3"/>
    <n v="0"/>
    <n v="30"/>
    <n v="3"/>
    <n v="3"/>
    <n v="3"/>
    <n v="2770"/>
    <n v="1286"/>
    <n v="1484"/>
    <n v="1.0680000000000001"/>
    <n v="2920"/>
    <n v="74"/>
    <n v="0.72099999999999997"/>
    <n v="0.46400000000000002"/>
    <n v="3.3251E-4"/>
    <n v="0.99966999999999995"/>
    <n v="11.039526036783499"/>
    <s v="17.93298169045357"/>
    <s v="65.47110282700962"/>
    <s v="14.184899770285096"/>
    <n v="779715108"/>
    <x v="0"/>
    <n v="3.4569670000000001E-4"/>
    <x v="0"/>
  </r>
  <r>
    <n v="47"/>
    <n v="1"/>
    <n v="2"/>
    <n v="1"/>
    <n v="0"/>
    <n v="3"/>
    <n v="0"/>
    <n v="32"/>
    <n v="1"/>
    <n v="3"/>
    <n v="3"/>
    <n v="1438.3"/>
    <n v="0"/>
    <n v="1438.3"/>
    <n v="0.45400000000000001"/>
    <n v="2388"/>
    <n v="42"/>
    <n v="0.5"/>
    <n v="0"/>
    <n v="0.99772000000000005"/>
    <n v="2.27837E-3"/>
    <s v="57.09328353574417"/>
    <s v="17.056668019566068"/>
    <s v="131.22534736845273"/>
    <s v="3.765300859088427"/>
    <n v="712982808"/>
    <x v="1"/>
    <n v="0.99876772999999996"/>
    <x v="1"/>
  </r>
  <r>
    <n v="42"/>
    <n v="0"/>
    <n v="3"/>
    <n v="3"/>
    <n v="2"/>
    <n v="4"/>
    <n v="0"/>
    <n v="32"/>
    <n v="5"/>
    <n v="3"/>
    <n v="3"/>
    <n v="1931"/>
    <n v="1297"/>
    <n v="634"/>
    <n v="1.0369999999999999"/>
    <n v="4693"/>
    <n v="66"/>
    <n v="0.83299999999999996"/>
    <n v="0.67200000000000004"/>
    <n v="3.0516000000000001E-4"/>
    <n v="0.99968999999999997"/>
    <s v="1.3397924719098036"/>
    <s v="2.151099398860364"/>
    <s v="45.14580925181652"/>
    <s v="13.21311115564917"/>
    <n v="715343883"/>
    <x v="0"/>
    <n v="3.221314E-4"/>
    <x v="0"/>
  </r>
  <r>
    <n v="40"/>
    <n v="0"/>
    <n v="2"/>
    <n v="3"/>
    <n v="2"/>
    <n v="1"/>
    <n v="0"/>
    <n v="35"/>
    <n v="2"/>
    <n v="1"/>
    <n v="2"/>
    <n v="2544"/>
    <n v="1713"/>
    <n v="831"/>
    <n v="0.69599999999999995"/>
    <n v="8006"/>
    <n v="88"/>
    <n v="0.57099999999999995"/>
    <n v="0.67300000000000004"/>
    <s v="5.3542e-05"/>
    <n v="0.99995000000000001"/>
    <s v="62.60054932693173"/>
    <s v="3.390954016812556"/>
    <s v="80.51692003088904"/>
    <s v="18.08000368553726"/>
    <n v="806432433"/>
    <x v="0"/>
    <n v="3.7789578000000003E-4"/>
    <x v="0"/>
  </r>
  <r>
    <n v="46"/>
    <n v="0"/>
    <n v="1"/>
    <n v="5"/>
    <n v="0"/>
    <n v="4"/>
    <n v="0"/>
    <n v="36"/>
    <n v="5"/>
    <n v="3"/>
    <n v="3"/>
    <n v="2483"/>
    <n v="2049"/>
    <n v="434"/>
    <n v="0.69"/>
    <n v="4421"/>
    <n v="74"/>
    <n v="0.51"/>
    <n v="0.82499999999999996"/>
    <n v="2.9196000000000002E-4"/>
    <n v="0.99970999999999999"/>
    <s v="37.43896117165845"/>
    <s v="35.62555872255065"/>
    <s v="6.341022640615511"/>
    <s v="5.280895486502958"/>
    <n v="714567708"/>
    <x v="0"/>
    <n v="3.4439339999999999E-4"/>
    <x v="0"/>
  </r>
  <r>
    <n v="33"/>
    <n v="0"/>
    <n v="0"/>
    <n v="6"/>
    <n v="2"/>
    <n v="5"/>
    <n v="0"/>
    <n v="36"/>
    <n v="6"/>
    <n v="1"/>
    <n v="3"/>
    <n v="2735"/>
    <n v="1769"/>
    <n v="966"/>
    <n v="1.4650000000000001"/>
    <n v="3306"/>
    <n v="71"/>
    <n v="0.97199999999999998"/>
    <n v="0.64700000000000002"/>
    <s v="8.7379e-05"/>
    <n v="0.99990999999999997"/>
    <s v="34.813122586264626"/>
    <s v="7.443722816481549"/>
    <s v="30.57498706349747"/>
    <s v="6.475526850689548"/>
    <n v="711285633"/>
    <x v="0"/>
    <n v="3.221314E-4"/>
    <x v="0"/>
  </r>
  <r>
    <n v="44"/>
    <n v="0"/>
    <n v="3"/>
    <n v="3"/>
    <n v="1"/>
    <n v="5"/>
    <n v="0"/>
    <n v="36"/>
    <n v="3"/>
    <n v="3"/>
    <n v="4"/>
    <n v="7772"/>
    <n v="0"/>
    <n v="7772"/>
    <n v="0.89600000000000002"/>
    <n v="2618"/>
    <n v="52"/>
    <n v="0.57599999999999996"/>
    <n v="0"/>
    <n v="0.99807999999999997"/>
    <n v="1.91647E-3"/>
    <n v="40.952678297589998"/>
    <n v="19.4443199426718"/>
    <s v="27.644270486555733"/>
    <s v="16.664664164912228"/>
    <n v="710292333"/>
    <x v="1"/>
    <n v="0.99782466999999997"/>
    <x v="1"/>
  </r>
  <r>
    <n v="54"/>
    <n v="0"/>
    <n v="2"/>
    <n v="6"/>
    <n v="2"/>
    <n v="4"/>
    <n v="0"/>
    <n v="47"/>
    <n v="3"/>
    <n v="2"/>
    <n v="3"/>
    <n v="2341"/>
    <n v="1550"/>
    <n v="791"/>
    <n v="0.65600000000000003"/>
    <n v="3406"/>
    <n v="57"/>
    <n v="1.478"/>
    <n v="0.66200000000000003"/>
    <n v="2.1042000000000001E-4"/>
    <n v="0.99978999999999996"/>
    <s v="14.030126130507751"/>
    <s v="46.41854592820925"/>
    <s v="98.51563464669714"/>
    <s v="7.781232403999116"/>
    <n v="741778458"/>
    <x v="0"/>
    <n v="4.4311178000000002E-4"/>
    <x v="0"/>
  </r>
  <r>
    <n v="46"/>
    <n v="0"/>
    <n v="3"/>
    <n v="5"/>
    <n v="1"/>
    <n v="1"/>
    <n v="0"/>
    <n v="36"/>
    <n v="6"/>
    <n v="3"/>
    <n v="2"/>
    <n v="13387"/>
    <n v="0"/>
    <n v="13387"/>
    <n v="0.746"/>
    <n v="3706"/>
    <n v="81"/>
    <n v="0.62"/>
    <n v="0"/>
    <n v="1.9191E-4"/>
    <n v="0.99980999999999998"/>
    <s v="2.2462816481208177"/>
    <s v="5.319893650422763"/>
    <s v="26.90914383799252"/>
    <n v="3.4980625196555599"/>
    <n v="714305508"/>
    <x v="0"/>
    <n v="7.1276520000000004E-4"/>
    <x v="0"/>
  </r>
  <r>
    <n v="40"/>
    <n v="0"/>
    <n v="2"/>
    <n v="2"/>
    <n v="1"/>
    <n v="5"/>
    <n v="0"/>
    <n v="29"/>
    <n v="5"/>
    <n v="2"/>
    <n v="2"/>
    <n v="18862"/>
    <n v="2105"/>
    <n v="16757"/>
    <n v="0.83199999999999996"/>
    <n v="4449"/>
    <n v="86"/>
    <n v="0.68600000000000005"/>
    <n v="0.112"/>
    <n v="1.1382E-4"/>
    <n v="0.99988999999999995"/>
    <s v="19.92405791325949"/>
    <s v="7.839331504989554"/>
    <s v="19.74860546250301"/>
    <s v="21.435290000303716"/>
    <n v="715445883"/>
    <x v="0"/>
    <n v="3.2101269999999999E-4"/>
    <x v="0"/>
  </r>
  <r>
    <n v="65"/>
    <n v="1"/>
    <n v="1"/>
    <n v="2"/>
    <n v="2"/>
    <n v="5"/>
    <n v="0"/>
    <n v="53"/>
    <n v="6"/>
    <n v="2"/>
    <n v="3"/>
    <n v="10775"/>
    <n v="1787"/>
    <n v="8988"/>
    <n v="0.64800000000000002"/>
    <n v="3432"/>
    <n v="70"/>
    <n v="0.75"/>
    <n v="0.16600000000000001"/>
    <n v="1.7969000000000001E-4"/>
    <n v="0.99982000000000004"/>
    <s v="45.50875796148477"/>
    <s v="21.560190341254017"/>
    <s v="47.66878748491491"/>
    <s v="1.5809799927245298"/>
    <n v="720695583"/>
    <x v="0"/>
    <n v="3.2101269999999999E-4"/>
    <x v="0"/>
  </r>
  <r>
    <n v="55"/>
    <n v="0"/>
    <n v="2"/>
    <n v="2"/>
    <n v="2"/>
    <n v="5"/>
    <n v="0"/>
    <n v="42"/>
    <n v="2"/>
    <n v="3"/>
    <n v="2"/>
    <n v="21046"/>
    <n v="1631"/>
    <n v="19415"/>
    <n v="0.73099999999999998"/>
    <n v="7653"/>
    <n v="95"/>
    <n v="0.63800000000000001"/>
    <n v="7.6999999999999999E-2"/>
    <n v="1.7987E-4"/>
    <n v="0.99982000000000004"/>
    <s v="30.70247274036238"/>
    <s v="44.62680742055865"/>
    <s v="41.06582542703487"/>
    <s v="2.844607269554847"/>
    <n v="719607183"/>
    <x v="0"/>
    <n v="3.9890344000000002E-4"/>
    <x v="0"/>
  </r>
  <r>
    <n v="49"/>
    <n v="0"/>
    <n v="3"/>
    <n v="4"/>
    <n v="1"/>
    <n v="4"/>
    <n v="0"/>
    <n v="35"/>
    <n v="3"/>
    <n v="3"/>
    <n v="2"/>
    <n v="1914"/>
    <n v="0"/>
    <n v="1914"/>
    <n v="0.67700000000000005"/>
    <n v="2687"/>
    <n v="41"/>
    <n v="0.41399999999999998"/>
    <n v="0"/>
    <n v="0.99546999999999997"/>
    <n v="4.5317400000000002E-3"/>
    <s v="0.8249852468706935"/>
    <s v="14.733947063584436"/>
    <s v="15.87102610572694"/>
    <s v="2.163476638687408"/>
    <n v="718352358"/>
    <x v="1"/>
    <n v="0.99872713999999996"/>
    <x v="1"/>
  </r>
  <r>
    <n v="35"/>
    <n v="1"/>
    <n v="0"/>
    <n v="6"/>
    <n v="1"/>
    <n v="0"/>
    <n v="0"/>
    <n v="36"/>
    <n v="5"/>
    <n v="2"/>
    <n v="1"/>
    <n v="3176"/>
    <n v="1510"/>
    <n v="1666"/>
    <n v="0.88500000000000001"/>
    <n v="2074"/>
    <n v="48"/>
    <n v="0.92"/>
    <n v="0.47499999999999998"/>
    <s v="6.4745e-05"/>
    <n v="0.99994000000000005"/>
    <s v="7.054451649450642"/>
    <s v="27.28224807152575"/>
    <n v="98.401136955198794"/>
    <s v="6.865383867723103"/>
    <n v="709757583"/>
    <x v="0"/>
    <n v="1.2356120000000001E-3"/>
    <x v="0"/>
  </r>
  <r>
    <n v="50"/>
    <n v="0"/>
    <n v="0"/>
    <n v="4"/>
    <n v="0"/>
    <n v="4"/>
    <n v="0"/>
    <n v="36"/>
    <n v="3"/>
    <n v="4"/>
    <n v="1"/>
    <n v="3468"/>
    <n v="2221"/>
    <n v="1247"/>
    <n v="0.78300000000000003"/>
    <n v="14222"/>
    <n v="122"/>
    <n v="0.627"/>
    <n v="0.64"/>
    <n v="1.3237000000000001E-4"/>
    <n v="0.99987000000000004"/>
    <s v="68.19577214737221"/>
    <s v="43.88007934185911"/>
    <s v="112.14529382629875"/>
    <s v="4.715352420391694"/>
    <n v="712912233"/>
    <x v="0"/>
    <n v="3.5533762999999998E-4"/>
    <x v="0"/>
  </r>
  <r>
    <n v="44"/>
    <n v="0"/>
    <n v="2"/>
    <n v="3"/>
    <n v="1"/>
    <n v="1"/>
    <n v="0"/>
    <n v="28"/>
    <n v="2"/>
    <n v="3"/>
    <n v="3"/>
    <n v="1438.3"/>
    <n v="0"/>
    <n v="1438.3"/>
    <n v="0.92600000000000005"/>
    <n v="4445"/>
    <n v="78"/>
    <n v="0.77300000000000002"/>
    <n v="0"/>
    <n v="2.9408E-4"/>
    <n v="0.99970999999999999"/>
    <s v="45.443688498260165"/>
    <s v="29.762802223100987"/>
    <s v="23.25760154958392"/>
    <s v="5.997891808304735"/>
    <n v="710487033"/>
    <x v="0"/>
    <n v="7.1297199999999998E-4"/>
    <x v="0"/>
  </r>
  <r>
    <n v="55"/>
    <n v="0"/>
    <n v="1"/>
    <n v="0"/>
    <n v="3"/>
    <n v="4"/>
    <n v="0"/>
    <n v="36"/>
    <n v="4"/>
    <n v="2"/>
    <n v="4"/>
    <n v="1928"/>
    <n v="1125"/>
    <n v="803"/>
    <n v="0.91100000000000003"/>
    <n v="2190"/>
    <n v="30"/>
    <n v="0.66700000000000004"/>
    <n v="0.58399999999999996"/>
    <n v="2.9800999999999997E-4"/>
    <n v="0.99970000000000003"/>
    <s v="23.98275698058464"/>
    <s v="10.444533134018512"/>
    <s v="72.14571653657808"/>
    <n v="6.8887838438215896"/>
    <n v="713750583"/>
    <x v="0"/>
    <n v="1.294005E-3"/>
    <x v="0"/>
  </r>
  <r>
    <n v="52"/>
    <n v="0"/>
    <n v="2"/>
    <n v="3"/>
    <n v="2"/>
    <n v="4"/>
    <n v="0"/>
    <n v="45"/>
    <n v="1"/>
    <n v="1"/>
    <n v="1"/>
    <n v="4209"/>
    <n v="0"/>
    <n v="4209"/>
    <n v="0.85599999999999998"/>
    <n v="5938"/>
    <n v="83"/>
    <n v="0.69399999999999995"/>
    <n v="0"/>
    <s v="3.2288e-05"/>
    <n v="0.99997000000000003"/>
    <s v="47.10718243612578"/>
    <s v="25.98334128708675"/>
    <s v="51.45090773361377"/>
    <s v="5.103085065347338"/>
    <n v="767197983"/>
    <x v="0"/>
    <n v="8.1569749999999995E-4"/>
    <x v="0"/>
  </r>
  <r>
    <n v="47"/>
    <n v="1"/>
    <n v="5"/>
    <n v="1"/>
    <n v="2"/>
    <n v="4"/>
    <n v="0"/>
    <n v="36"/>
    <n v="3"/>
    <n v="1"/>
    <n v="2"/>
    <n v="8896"/>
    <n v="1338"/>
    <n v="7558"/>
    <n v="0.74099999999999999"/>
    <n v="4252"/>
    <n v="70"/>
    <n v="0.59099999999999997"/>
    <n v="0.15"/>
    <s v="8.2285e-05"/>
    <n v="0.99992000000000003"/>
    <s v="5.044440247542592"/>
    <s v="2.7388299826284954"/>
    <s v="91.20528044459894"/>
    <s v="8.318874035815918"/>
    <n v="717569283"/>
    <x v="0"/>
    <n v="3.2914013999999999E-4"/>
    <x v="0"/>
  </r>
  <r>
    <n v="47"/>
    <n v="0"/>
    <n v="1"/>
    <n v="6"/>
    <n v="2"/>
    <n v="4"/>
    <n v="0"/>
    <n v="37"/>
    <n v="4"/>
    <n v="2"/>
    <n v="1"/>
    <n v="2173"/>
    <n v="596"/>
    <n v="1577"/>
    <n v="0.81"/>
    <n v="2738"/>
    <n v="45"/>
    <n v="0.40600000000000003"/>
    <n v="0.27400000000000002"/>
    <n v="0.98607999999999996"/>
    <n v="1.392E-2"/>
    <s v="17.465218039048725"/>
    <s v="45.340931622031846"/>
    <s v="24.10891946375121"/>
    <s v="31.407819604320935"/>
    <n v="715406658"/>
    <x v="1"/>
    <n v="0.99829274000000001"/>
    <x v="1"/>
  </r>
  <r>
    <n v="49"/>
    <n v="1"/>
    <n v="2"/>
    <n v="6"/>
    <n v="1"/>
    <n v="0"/>
    <n v="0"/>
    <n v="38"/>
    <n v="3"/>
    <n v="6"/>
    <n v="3"/>
    <n v="16494"/>
    <n v="1158"/>
    <n v="15336"/>
    <n v="0.69199999999999995"/>
    <n v="7761"/>
    <n v="84"/>
    <n v="0.64700000000000002"/>
    <n v="7.0000000000000007E-2"/>
    <n v="2.6248999999999999E-4"/>
    <n v="0.99973999999999996"/>
    <s v="27.131223287927966"/>
    <s v="13.581713775863932"/>
    <s v="25.115885023955485"/>
    <s v="8.615267716768614"/>
    <n v="717756258"/>
    <x v="0"/>
    <n v="4.2060707000000003E-4"/>
    <x v="0"/>
  </r>
  <r>
    <n v="51"/>
    <n v="1"/>
    <n v="2"/>
    <n v="0"/>
    <n v="1"/>
    <n v="3"/>
    <n v="0"/>
    <n v="33"/>
    <n v="3"/>
    <n v="1"/>
    <n v="2"/>
    <n v="3558"/>
    <n v="0"/>
    <n v="3558"/>
    <n v="0.56999999999999995"/>
    <n v="4136"/>
    <n v="65"/>
    <n v="0.91200000000000003"/>
    <n v="0"/>
    <s v="5.3547e-05"/>
    <n v="0.99995000000000001"/>
    <s v="7.119947425349095"/>
    <s v="23.63524971172816"/>
    <s v="103.02408815487225"/>
    <s v="7.187061311132688"/>
    <n v="778447908"/>
    <x v="0"/>
    <n v="7.6807226000000001E-4"/>
    <x v="0"/>
  </r>
  <r>
    <n v="35"/>
    <n v="0"/>
    <n v="1"/>
    <n v="3"/>
    <n v="3"/>
    <n v="5"/>
    <n v="0"/>
    <n v="36"/>
    <n v="2"/>
    <n v="3"/>
    <n v="2"/>
    <n v="4460"/>
    <n v="0"/>
    <n v="4460"/>
    <n v="0.91600000000000004"/>
    <n v="5473"/>
    <n v="79"/>
    <n v="0.75600000000000001"/>
    <n v="0"/>
    <n v="1.6412999999999999E-4"/>
    <n v="0.99983999999999995"/>
    <s v="7.773322667366332"/>
    <s v="47.14331725371044"/>
    <n v="29.094933969446"/>
    <s v="6.117124273972948"/>
    <n v="713146683"/>
    <x v="0"/>
    <n v="1.1747081E-3"/>
    <x v="0"/>
  </r>
  <r>
    <n v="53"/>
    <n v="0"/>
    <n v="1"/>
    <n v="5"/>
    <n v="2"/>
    <n v="4"/>
    <n v="0"/>
    <n v="39"/>
    <n v="3"/>
    <n v="2"/>
    <n v="3"/>
    <n v="1982"/>
    <n v="1276"/>
    <n v="706"/>
    <n v="0.89700000000000002"/>
    <n v="5136"/>
    <n v="76"/>
    <n v="0.94899999999999995"/>
    <n v="0.64400000000000002"/>
    <n v="1.8474999999999999E-4"/>
    <n v="0.99982000000000004"/>
    <n v="28.5840297789257"/>
    <s v="71.06319537647991"/>
    <s v="108.09262873913364"/>
    <s v="12.707208539937335"/>
    <n v="720315933"/>
    <x v="0"/>
    <n v="3.221314E-4"/>
    <x v="0"/>
  </r>
  <r>
    <n v="43"/>
    <n v="0"/>
    <n v="4"/>
    <n v="2"/>
    <n v="3"/>
    <n v="5"/>
    <n v="0"/>
    <n v="36"/>
    <n v="6"/>
    <n v="5"/>
    <n v="1"/>
    <n v="2778"/>
    <n v="2517"/>
    <n v="261"/>
    <n v="0.79600000000000004"/>
    <n v="4575"/>
    <n v="60"/>
    <n v="0.71399999999999997"/>
    <n v="0.90600000000000003"/>
    <n v="1.2706999999999999E-4"/>
    <n v="0.99987000000000004"/>
    <s v="4.805363171106171"/>
    <s v="62.91810223007591"/>
    <s v="39.08087653120045"/>
    <s v="6.013568841898442"/>
    <n v="711452583"/>
    <x v="0"/>
    <n v="3.9173545999999999E-4"/>
    <x v="0"/>
  </r>
  <r>
    <n v="36"/>
    <n v="1"/>
    <n v="2"/>
    <n v="4"/>
    <n v="2"/>
    <n v="1"/>
    <n v="0"/>
    <n v="31"/>
    <n v="3"/>
    <n v="2"/>
    <n v="5"/>
    <n v="11862"/>
    <n v="2282"/>
    <n v="9580"/>
    <n v="0.83699999999999997"/>
    <n v="2576"/>
    <n v="74"/>
    <n v="0.85"/>
    <n v="0.192"/>
    <n v="6.6474000000000004E-4"/>
    <n v="0.99934000000000001"/>
    <s v="29.66286370084737"/>
    <s v="2.3127435697987506"/>
    <s v="89.32835065564578"/>
    <s v="23.56116927873564"/>
    <n v="815510883"/>
    <x v="0"/>
    <n v="5.0037309999999995E-4"/>
    <x v="0"/>
  </r>
  <r>
    <n v="26"/>
    <n v="0"/>
    <n v="0"/>
    <n v="4"/>
    <n v="2"/>
    <n v="4"/>
    <n v="0"/>
    <n v="15"/>
    <n v="3"/>
    <n v="2"/>
    <n v="3"/>
    <n v="1442"/>
    <n v="1428"/>
    <n v="14"/>
    <n v="0.496"/>
    <n v="1134"/>
    <n v="26"/>
    <n v="0.23799999999999999"/>
    <n v="0.99"/>
    <n v="0.99485000000000001"/>
    <n v="5.1500000000000001E-3"/>
    <s v="15.351543102303047"/>
    <s v="52.645131398577966"/>
    <s v="89.74394385084611"/>
    <s v="20.928196474890804"/>
    <n v="789777408"/>
    <x v="1"/>
    <n v="0.99480959999999996"/>
    <x v="1"/>
  </r>
  <r>
    <n v="46"/>
    <n v="1"/>
    <n v="2"/>
    <n v="2"/>
    <n v="2"/>
    <n v="2"/>
    <n v="0"/>
    <n v="34"/>
    <n v="1"/>
    <n v="3"/>
    <n v="2"/>
    <n v="6272"/>
    <n v="1434"/>
    <n v="4838"/>
    <n v="1.1719999999999999"/>
    <n v="4514"/>
    <n v="66"/>
    <n v="1.2"/>
    <n v="0.22900000000000001"/>
    <n v="1.7987E-4"/>
    <n v="0.99982000000000004"/>
    <s v="42.46213134828796"/>
    <s v="19.121793592934985"/>
    <s v="109.5499038883433"/>
    <s v="1.0786983118489322"/>
    <n v="716033508"/>
    <x v="0"/>
    <n v="3.3750932000000002E-4"/>
    <x v="0"/>
  </r>
  <r>
    <n v="49"/>
    <n v="0"/>
    <n v="2"/>
    <n v="3"/>
    <n v="1"/>
    <n v="4"/>
    <n v="0"/>
    <n v="39"/>
    <n v="5"/>
    <n v="3"/>
    <n v="1"/>
    <n v="2992"/>
    <n v="1845"/>
    <n v="1147"/>
    <n v="0.70699999999999996"/>
    <n v="4339"/>
    <n v="84"/>
    <n v="0.75"/>
    <n v="0.61699999999999999"/>
    <n v="1.0545E-4"/>
    <n v="0.99988999999999995"/>
    <s v="34.760448648513695"/>
    <s v="15.696185847265294"/>
    <s v="124.52779717240392"/>
    <s v="8.552770931436463"/>
    <n v="715004808"/>
    <x v="0"/>
    <n v="3.2101269999999999E-4"/>
    <x v="0"/>
  </r>
  <r>
    <n v="39"/>
    <n v="1"/>
    <n v="1"/>
    <n v="5"/>
    <n v="2"/>
    <n v="3"/>
    <n v="0"/>
    <n v="30"/>
    <n v="3"/>
    <n v="1"/>
    <n v="4"/>
    <n v="34516"/>
    <n v="2055"/>
    <n v="32461"/>
    <n v="0.58899999999999997"/>
    <n v="4048"/>
    <n v="74"/>
    <n v="0.51"/>
    <n v="0.06"/>
    <n v="1.5252000000000001E-4"/>
    <n v="0.99985000000000002"/>
    <s v="10.823082620620452"/>
    <s v="45.74881529505481"/>
    <s v="88.91432264117667"/>
    <s v="4.6088474414858975"/>
    <n v="712287333"/>
    <x v="0"/>
    <n v="3.8331957000000002E-4"/>
    <x v="0"/>
  </r>
  <r>
    <n v="43"/>
    <n v="1"/>
    <n v="2"/>
    <n v="0"/>
    <n v="1"/>
    <n v="2"/>
    <n v="0"/>
    <n v="28"/>
    <n v="4"/>
    <n v="2"/>
    <n v="3"/>
    <n v="22157"/>
    <n v="1355"/>
    <n v="20802"/>
    <n v="0.69"/>
    <n v="1911"/>
    <n v="55"/>
    <n v="0.57099999999999995"/>
    <n v="6.0999999999999999E-2"/>
    <n v="1.8611999999999999E-4"/>
    <n v="0.99980999999999998"/>
    <s v="76.07304425554204"/>
    <s v="11.418561755871224"/>
    <s v="8.586964321459414"/>
    <s v="12.675652536380404"/>
    <n v="708557358"/>
    <x v="0"/>
    <n v="6.0015445000000003E-4"/>
    <x v="0"/>
  </r>
  <r>
    <n v="51"/>
    <n v="1"/>
    <n v="1"/>
    <n v="6"/>
    <n v="2"/>
    <n v="2"/>
    <n v="0"/>
    <n v="22"/>
    <n v="2"/>
    <n v="3"/>
    <n v="3"/>
    <n v="4248"/>
    <n v="1177"/>
    <n v="3071"/>
    <n v="0.82099999999999995"/>
    <n v="13958"/>
    <n v="116"/>
    <n v="0.78500000000000003"/>
    <n v="0.27700000000000002"/>
    <n v="3.1210999999999999E-4"/>
    <n v="0.99968999999999997"/>
    <s v="42.273671848659376"/>
    <s v="100.74305757732822"/>
    <s v="193.94391246199032"/>
    <s v="19.28589175883053"/>
    <n v="715694433"/>
    <x v="0"/>
    <n v="3.4656386999999997E-4"/>
    <x v="0"/>
  </r>
  <r>
    <n v="58"/>
    <n v="0"/>
    <n v="3"/>
    <n v="6"/>
    <n v="2"/>
    <n v="1"/>
    <n v="0"/>
    <n v="52"/>
    <n v="4"/>
    <n v="1"/>
    <n v="1"/>
    <n v="1454"/>
    <n v="888"/>
    <n v="566"/>
    <n v="1.19"/>
    <n v="3060"/>
    <n v="56"/>
    <n v="0.64700000000000002"/>
    <n v="0.61099999999999999"/>
    <s v="3.7884e-05"/>
    <n v="0.99995999999999996"/>
    <s v="51.47208233769998"/>
    <s v="47.42828584910145"/>
    <s v="49.13695048953522"/>
    <s v="24.803536734671443"/>
    <n v="710416533"/>
    <x v="0"/>
    <n v="6.008748E-4"/>
    <x v="0"/>
  </r>
  <r>
    <n v="43"/>
    <n v="1"/>
    <n v="4"/>
    <n v="3"/>
    <n v="1"/>
    <n v="1"/>
    <n v="0"/>
    <n v="32"/>
    <n v="6"/>
    <n v="2"/>
    <n v="2"/>
    <n v="1539"/>
    <n v="989"/>
    <n v="550"/>
    <n v="0.86"/>
    <n v="1987"/>
    <n v="47"/>
    <n v="0.80800000000000005"/>
    <n v="0.64300000000000002"/>
    <n v="1.1603999999999999E-4"/>
    <n v="0.99987999999999999"/>
    <n v="25.092993678227799"/>
    <s v="117.97540887453616"/>
    <s v="46.15848407065265"/>
    <n v="16.039769017835301"/>
    <n v="717413658"/>
    <x v="0"/>
    <n v="1.0934846E-3"/>
    <x v="0"/>
  </r>
  <r>
    <n v="32"/>
    <n v="0"/>
    <n v="0"/>
    <n v="5"/>
    <n v="1"/>
    <n v="5"/>
    <n v="0"/>
    <n v="36"/>
    <n v="6"/>
    <n v="3"/>
    <n v="2"/>
    <n v="8791"/>
    <n v="0"/>
    <n v="8791"/>
    <n v="0.89400000000000002"/>
    <n v="2579"/>
    <n v="51"/>
    <n v="0.59399999999999997"/>
    <n v="0"/>
    <n v="0.99373999999999996"/>
    <n v="6.2599999999999999E-3"/>
    <s v="22.17037647858953"/>
    <s v="2.056602705263391"/>
    <s v="169.46299577206273"/>
    <s v="6.853288555376697"/>
    <n v="715014633"/>
    <x v="1"/>
    <n v="0.99846387000000003"/>
    <x v="1"/>
  </r>
  <r>
    <n v="53"/>
    <n v="0"/>
    <n v="1"/>
    <n v="2"/>
    <n v="1"/>
    <n v="1"/>
    <n v="0"/>
    <n v="47"/>
    <n v="6"/>
    <n v="2"/>
    <n v="2"/>
    <n v="2799"/>
    <n v="0"/>
    <n v="2799"/>
    <n v="0.68899999999999995"/>
    <n v="4116"/>
    <n v="88"/>
    <n v="0.57099999999999995"/>
    <n v="0"/>
    <n v="1.0684E-4"/>
    <n v="0.99988999999999995"/>
    <s v="3.302845221854069"/>
    <s v="3.733969174053717"/>
    <n v="49.918871924511897"/>
    <s v="9.271596051042977"/>
    <n v="802878408"/>
    <x v="0"/>
    <n v="7.387203E-4"/>
    <x v="0"/>
  </r>
  <r>
    <n v="42"/>
    <n v="1"/>
    <n v="4"/>
    <n v="2"/>
    <n v="1"/>
    <n v="1"/>
    <n v="0"/>
    <n v="19"/>
    <n v="5"/>
    <n v="3"/>
    <n v="2"/>
    <n v="8374"/>
    <n v="0"/>
    <n v="8374"/>
    <n v="0.88500000000000001"/>
    <n v="4493"/>
    <n v="59"/>
    <n v="1.034"/>
    <n v="0"/>
    <n v="1.8864000000000001E-4"/>
    <n v="0.99980999999999998"/>
    <s v="24.098708146727503"/>
    <s v="1.0515904848606632"/>
    <s v="76.64924791578147"/>
    <s v="5.769406304024921"/>
    <n v="788734158"/>
    <x v="0"/>
    <n v="9.9864700000000008E-4"/>
    <x v="0"/>
  </r>
  <r>
    <n v="45"/>
    <n v="0"/>
    <n v="3"/>
    <n v="3"/>
    <n v="1"/>
    <n v="1"/>
    <n v="0"/>
    <n v="30"/>
    <n v="5"/>
    <n v="2"/>
    <n v="2"/>
    <n v="12355"/>
    <n v="0"/>
    <n v="12355"/>
    <n v="0.91200000000000003"/>
    <n v="1044"/>
    <n v="28"/>
    <n v="0.27300000000000002"/>
    <n v="0"/>
    <n v="0.99136999999999997"/>
    <n v="8.6300000000000005E-3"/>
    <s v="47.237600630584616"/>
    <s v="59.761633202073874"/>
    <s v="26.809220381519616"/>
    <s v="18.066269162438967"/>
    <n v="779722308"/>
    <x v="1"/>
    <n v="0.99867176999999996"/>
    <x v="1"/>
  </r>
  <r>
    <n v="33"/>
    <n v="1"/>
    <n v="3"/>
    <n v="3"/>
    <n v="1"/>
    <n v="3"/>
    <n v="0"/>
    <n v="22"/>
    <n v="5"/>
    <n v="3"/>
    <n v="2"/>
    <n v="9094"/>
    <n v="0"/>
    <n v="9094"/>
    <n v="0.63100000000000001"/>
    <n v="4203"/>
    <n v="76"/>
    <n v="0.72699999999999998"/>
    <n v="0"/>
    <n v="1.8144999999999999E-4"/>
    <n v="0.99982000000000004"/>
    <s v="22.248290381036927"/>
    <s v="25.777676777942837"/>
    <n v="34.8523701388295"/>
    <s v="19.024060979336667"/>
    <n v="784998108"/>
    <x v="0"/>
    <n v="6.9517245999999998E-4"/>
    <x v="0"/>
  </r>
  <r>
    <n v="44"/>
    <n v="0"/>
    <n v="5"/>
    <n v="3"/>
    <n v="2"/>
    <n v="4"/>
    <n v="0"/>
    <n v="30"/>
    <n v="3"/>
    <n v="3"/>
    <n v="1"/>
    <n v="2709"/>
    <n v="1726"/>
    <n v="983"/>
    <n v="0.69799999999999995"/>
    <n v="5056"/>
    <n v="89"/>
    <n v="0.78"/>
    <n v="0.63700000000000001"/>
    <n v="1.0887000000000001E-4"/>
    <n v="0.99988999999999995"/>
    <s v="0.5477017141654732"/>
    <n v="93.104613577934401"/>
    <s v="73.50164859836747"/>
    <s v="19.30767973802489"/>
    <n v="720114633"/>
    <x v="0"/>
    <n v="3.2101269999999999E-4"/>
    <x v="0"/>
  </r>
  <r>
    <n v="52"/>
    <n v="0"/>
    <n v="4"/>
    <n v="5"/>
    <n v="0"/>
    <n v="5"/>
    <n v="0"/>
    <n v="42"/>
    <n v="4"/>
    <n v="4"/>
    <n v="1"/>
    <n v="12091"/>
    <n v="0"/>
    <n v="12091"/>
    <n v="0.89800000000000002"/>
    <n v="8127"/>
    <n v="74"/>
    <n v="0.80500000000000005"/>
    <n v="0"/>
    <n v="0.99297999999999997"/>
    <n v="7.0200000000000002E-3"/>
    <s v="13.468423784194409"/>
    <s v="20.446652139342117"/>
    <s v="49.100890950306926"/>
    <s v="2.290905953423211"/>
    <n v="719612583"/>
    <x v="1"/>
    <n v="0.99507409999999996"/>
    <x v="1"/>
  </r>
  <r>
    <n v="48"/>
    <n v="1"/>
    <n v="5"/>
    <n v="6"/>
    <n v="1"/>
    <n v="1"/>
    <n v="0"/>
    <n v="38"/>
    <n v="4"/>
    <n v="4"/>
    <n v="1"/>
    <n v="5219"/>
    <n v="1081"/>
    <n v="4138"/>
    <n v="0.56799999999999995"/>
    <n v="3481"/>
    <n v="78"/>
    <n v="0.625"/>
    <n v="0.20699999999999999"/>
    <n v="1.4877E-4"/>
    <n v="0.99985000000000002"/>
    <s v="24.34704655499054"/>
    <s v="4.616888055657145"/>
    <s v="4.414595195110019"/>
    <s v="10.376554093523056"/>
    <n v="772329183"/>
    <x v="0"/>
    <n v="3.2914013999999999E-4"/>
    <x v="0"/>
  </r>
  <r>
    <n v="45"/>
    <n v="0"/>
    <n v="3"/>
    <n v="3"/>
    <n v="0"/>
    <n v="4"/>
    <n v="0"/>
    <n v="37"/>
    <n v="2"/>
    <n v="1"/>
    <n v="2"/>
    <n v="2052"/>
    <n v="0"/>
    <n v="2052"/>
    <n v="0.77"/>
    <n v="4289"/>
    <n v="72"/>
    <n v="0.67400000000000004"/>
    <n v="0"/>
    <s v="5.5559e-05"/>
    <n v="0.99994000000000005"/>
    <s v="8.307133663308605"/>
    <s v="69.61251368328877"/>
    <s v="69.97406874157339"/>
    <s v="30.403573647658583"/>
    <n v="790069233"/>
    <x v="0"/>
    <n v="6.9517245999999998E-4"/>
    <x v="0"/>
  </r>
  <r>
    <n v="46"/>
    <n v="0"/>
    <n v="1"/>
    <n v="5"/>
    <n v="3"/>
    <n v="5"/>
    <n v="0"/>
    <n v="28"/>
    <n v="5"/>
    <n v="2"/>
    <n v="6"/>
    <n v="2069"/>
    <n v="0"/>
    <n v="2069"/>
    <n v="0.65600000000000003"/>
    <n v="2754"/>
    <n v="55"/>
    <n v="0.66700000000000004"/>
    <n v="0"/>
    <n v="0.99895999999999996"/>
    <n v="1.0431399999999999E-3"/>
    <s v="48.409887176130525"/>
    <s v="62.61717981045928"/>
    <s v="128.5740298833897"/>
    <s v="1.3443799065935025"/>
    <n v="779247483"/>
    <x v="1"/>
    <n v="0.99409159999999996"/>
    <x v="1"/>
  </r>
  <r>
    <n v="44"/>
    <n v="1"/>
    <n v="3"/>
    <n v="6"/>
    <n v="2"/>
    <n v="1"/>
    <n v="0"/>
    <n v="38"/>
    <n v="5"/>
    <n v="2"/>
    <n v="2"/>
    <n v="1643"/>
    <n v="0"/>
    <n v="1643"/>
    <n v="0.6"/>
    <n v="1754"/>
    <n v="39"/>
    <n v="0.56000000000000005"/>
    <n v="0"/>
    <n v="0.99236000000000002"/>
    <n v="7.6400000000000001E-3"/>
    <s v="42.28171800099658"/>
    <s v="28.204200808230546"/>
    <s v="138.6675800218768"/>
    <s v="5.343605897550203"/>
    <n v="797150733"/>
    <x v="1"/>
    <n v="0.99856453999999994"/>
    <x v="1"/>
  </r>
  <r>
    <n v="54"/>
    <n v="0"/>
    <n v="2"/>
    <n v="4"/>
    <n v="1"/>
    <n v="4"/>
    <n v="0"/>
    <n v="47"/>
    <n v="3"/>
    <n v="4"/>
    <n v="3"/>
    <n v="1438.3"/>
    <n v="0"/>
    <n v="1438.3"/>
    <n v="1.0529999999999999"/>
    <n v="1154"/>
    <n v="22"/>
    <n v="0.375"/>
    <n v="0"/>
    <n v="0.99768000000000001"/>
    <n v="2.3184199999999999E-3"/>
    <n v="46.242002181746003"/>
    <s v="18.43242075540652"/>
    <s v="17.836057954146316"/>
    <s v="16.15403509183569"/>
    <n v="711692508"/>
    <x v="1"/>
    <n v="0.99860470000000001"/>
    <x v="1"/>
  </r>
  <r>
    <n v="41"/>
    <n v="0"/>
    <n v="4"/>
    <n v="2"/>
    <n v="2"/>
    <n v="4"/>
    <n v="0"/>
    <n v="35"/>
    <n v="3"/>
    <n v="1"/>
    <n v="4"/>
    <n v="2138"/>
    <n v="1283"/>
    <n v="855"/>
    <n v="0.64500000000000002"/>
    <n v="4785"/>
    <n v="85"/>
    <n v="0.51800000000000002"/>
    <n v="0.6"/>
    <n v="1.6574E-4"/>
    <n v="0.99983"/>
    <s v="3.1109336978246374"/>
    <s v="42.104520904136805"/>
    <s v="49.47371056310958"/>
    <s v="7.681995249368497"/>
    <n v="796330983"/>
    <x v="0"/>
    <n v="3.2914013999999999E-4"/>
    <x v="0"/>
  </r>
  <r>
    <n v="38"/>
    <n v="0"/>
    <n v="1"/>
    <n v="6"/>
    <n v="1"/>
    <n v="1"/>
    <n v="0"/>
    <n v="26"/>
    <n v="5"/>
    <n v="3"/>
    <n v="1"/>
    <n v="2346"/>
    <n v="1407"/>
    <n v="939"/>
    <n v="0.77"/>
    <n v="4116"/>
    <n v="79"/>
    <n v="0.97499999999999998"/>
    <n v="0.6"/>
    <n v="1.1192E-4"/>
    <n v="0.99988999999999995"/>
    <s v="18.532879012518425"/>
    <n v="8.0075005556627605"/>
    <s v="21.864905014337623"/>
    <s v="13.59931489543047"/>
    <n v="717463608"/>
    <x v="0"/>
    <n v="3.2101269999999999E-4"/>
    <x v="0"/>
  </r>
  <r>
    <n v="53"/>
    <n v="1"/>
    <n v="3"/>
    <n v="0"/>
    <n v="2"/>
    <n v="2"/>
    <n v="0"/>
    <n v="36"/>
    <n v="5"/>
    <n v="1"/>
    <n v="1"/>
    <n v="19940"/>
    <n v="2018"/>
    <n v="17922"/>
    <n v="0.42"/>
    <n v="4694"/>
    <n v="75"/>
    <n v="0.78600000000000003"/>
    <n v="0.10100000000000001"/>
    <s v="3.3508e-05"/>
    <n v="0.99997000000000003"/>
    <s v="72.17899159765403"/>
    <s v="12.10881573292328"/>
    <s v="186.28952669845168"/>
    <n v="2.4438796220853201"/>
    <n v="715957233"/>
    <x v="0"/>
    <n v="3.2101269999999999E-4"/>
    <x v="0"/>
  </r>
  <r>
    <n v="48"/>
    <n v="1"/>
    <n v="2"/>
    <n v="2"/>
    <n v="0"/>
    <n v="4"/>
    <n v="0"/>
    <n v="36"/>
    <n v="1"/>
    <n v="3"/>
    <n v="2"/>
    <n v="3442"/>
    <n v="1229"/>
    <n v="2213"/>
    <n v="0.81"/>
    <n v="14618"/>
    <n v="100"/>
    <n v="0.72399999999999998"/>
    <n v="0.35699999999999998"/>
    <n v="1.7987E-4"/>
    <n v="0.99982000000000004"/>
    <s v="19.94363779482132"/>
    <s v="57.685117676196526"/>
    <s v="39.44009934214246"/>
    <s v="1.0911771282915994"/>
    <n v="710405808"/>
    <x v="0"/>
    <n v="3.4656386999999997E-4"/>
    <x v="0"/>
  </r>
  <r>
    <n v="42"/>
    <n v="1"/>
    <n v="4"/>
    <n v="1"/>
    <n v="2"/>
    <n v="2"/>
    <n v="0"/>
    <n v="31"/>
    <n v="2"/>
    <n v="2"/>
    <n v="2"/>
    <n v="3322"/>
    <n v="0"/>
    <n v="3322"/>
    <n v="0.75800000000000001"/>
    <n v="13784"/>
    <n v="108"/>
    <n v="0.58799999999999997"/>
    <n v="0"/>
    <n v="1.7274E-4"/>
    <n v="0.99983"/>
    <s v="21.87192371033782"/>
    <s v="12.509338332138055"/>
    <s v="29.525454351326676"/>
    <s v="13.38101872876378"/>
    <n v="721211433"/>
    <x v="0"/>
    <n v="7.9748953999999998E-4"/>
    <x v="0"/>
  </r>
  <r>
    <n v="48"/>
    <n v="1"/>
    <n v="3"/>
    <n v="2"/>
    <n v="1"/>
    <n v="2"/>
    <n v="1"/>
    <n v="37"/>
    <n v="5"/>
    <n v="1"/>
    <n v="2"/>
    <n v="34516"/>
    <n v="2429"/>
    <n v="32087"/>
    <n v="0.74199999999999999"/>
    <n v="3205"/>
    <n v="57"/>
    <n v="0.72699999999999998"/>
    <n v="7.0000000000000007E-2"/>
    <s v="6.5845e-05"/>
    <n v="0.99992999999999999"/>
    <s v="27.15377053356622"/>
    <n v="13.8282040729498"/>
    <s v="53.97350680733073"/>
    <n v="9.2431596848986093"/>
    <n v="715749108"/>
    <x v="0"/>
    <n v="4.9742183E-4"/>
    <x v="0"/>
  </r>
  <r>
    <n v="35"/>
    <n v="0"/>
    <n v="3"/>
    <n v="2"/>
    <n v="2"/>
    <n v="4"/>
    <n v="0"/>
    <n v="22"/>
    <n v="1"/>
    <n v="2"/>
    <n v="1"/>
    <n v="1890"/>
    <n v="666"/>
    <n v="1224"/>
    <n v="0.69099999999999995"/>
    <n v="1483"/>
    <n v="36"/>
    <n v="0.5"/>
    <n v="0.35199999999999998"/>
    <n v="0.98616000000000004"/>
    <n v="1.384E-2"/>
    <s v="14.735134507498216"/>
    <s v="15.937968104395273"/>
    <s v="27.637339285181596"/>
    <s v="1.4339904579712432"/>
    <n v="711772008"/>
    <x v="1"/>
    <n v="0.99752337000000002"/>
    <x v="1"/>
  </r>
  <r>
    <n v="46"/>
    <n v="1"/>
    <n v="3"/>
    <n v="4"/>
    <n v="2"/>
    <n v="1"/>
    <n v="0"/>
    <n v="40"/>
    <n v="3"/>
    <n v="4"/>
    <n v="2"/>
    <n v="2344"/>
    <n v="0"/>
    <n v="2344"/>
    <n v="0.41199999999999998"/>
    <n v="2098"/>
    <n v="31"/>
    <n v="0.40899999999999997"/>
    <n v="0"/>
    <n v="0.99624999999999997"/>
    <n v="3.7526500000000002E-3"/>
    <s v="26.542260846560584"/>
    <n v="9.1660071378015608"/>
    <s v="27.62434089085713"/>
    <s v="2.506126317622916"/>
    <n v="769883733"/>
    <x v="1"/>
    <n v="0.99876772999999996"/>
    <x v="1"/>
  </r>
  <r>
    <n v="63"/>
    <n v="1"/>
    <n v="1"/>
    <n v="6"/>
    <n v="1"/>
    <n v="2"/>
    <n v="0"/>
    <n v="56"/>
    <n v="3"/>
    <n v="3"/>
    <n v="2"/>
    <n v="10215"/>
    <n v="1010"/>
    <n v="9205"/>
    <n v="0.84299999999999997"/>
    <n v="1904"/>
    <n v="40"/>
    <n v="1"/>
    <n v="9.9000000000000005E-2"/>
    <n v="1.8558E-4"/>
    <n v="0.99980999999999998"/>
    <s v="55.98120916093476"/>
    <s v="34.100230987476564"/>
    <s v="21.74454387953919"/>
    <s v="2.1688894578120066"/>
    <n v="804424383"/>
    <x v="0"/>
    <n v="1.1024724000000001E-3"/>
    <x v="0"/>
  </r>
  <r>
    <n v="46"/>
    <n v="0"/>
    <n v="3"/>
    <n v="2"/>
    <n v="1"/>
    <n v="1"/>
    <n v="0"/>
    <n v="38"/>
    <n v="4"/>
    <n v="3"/>
    <n v="3"/>
    <n v="3115"/>
    <n v="1136"/>
    <n v="1979"/>
    <n v="0.499"/>
    <n v="3704"/>
    <n v="70"/>
    <n v="0.45800000000000002"/>
    <n v="0.36499999999999999"/>
    <n v="3.1389999999999999E-4"/>
    <n v="0.99968999999999997"/>
    <s v="63.80489691029726"/>
    <s v="29.37504176024987"/>
    <s v="185.19935891380865"/>
    <s v="6.6843704357564535"/>
    <n v="718917408"/>
    <x v="0"/>
    <n v="3.5747702000000001E-4"/>
    <x v="0"/>
  </r>
  <r>
    <n v="56"/>
    <n v="1"/>
    <n v="3"/>
    <n v="3"/>
    <n v="2"/>
    <n v="3"/>
    <n v="0"/>
    <n v="44"/>
    <n v="5"/>
    <n v="2"/>
    <n v="0"/>
    <n v="19030"/>
    <n v="912"/>
    <n v="18118"/>
    <n v="0.89400000000000002"/>
    <n v="4137"/>
    <n v="72"/>
    <n v="0.53200000000000003"/>
    <n v="4.8000000000000001E-2"/>
    <s v="4.2354e-05"/>
    <n v="0.99995999999999996"/>
    <s v="16.739230612263746"/>
    <s v="8.844678479703843"/>
    <s v="21.112957029203912"/>
    <s v="3.823063536951065"/>
    <n v="789154833"/>
    <x v="0"/>
    <n v="4.9179780000000004E-4"/>
    <x v="0"/>
  </r>
  <r>
    <n v="51"/>
    <n v="1"/>
    <n v="3"/>
    <n v="2"/>
    <n v="2"/>
    <n v="3"/>
    <n v="0"/>
    <n v="43"/>
    <n v="4"/>
    <n v="2"/>
    <n v="3"/>
    <n v="10458"/>
    <n v="0"/>
    <n v="10458"/>
    <n v="0.58699999999999997"/>
    <n v="3481"/>
    <n v="51"/>
    <n v="0.5"/>
    <n v="0"/>
    <n v="1.9864000000000001E-4"/>
    <n v="0.99980000000000002"/>
    <s v="15.149786976309116"/>
    <s v="50.833530551845335"/>
    <s v="121.73809215451786"/>
    <s v="11.573755320796442"/>
    <n v="714387108"/>
    <x v="0"/>
    <n v="3.4823965000000002E-3"/>
    <x v="0"/>
  </r>
  <r>
    <n v="35"/>
    <n v="0"/>
    <n v="3"/>
    <n v="2"/>
    <n v="2"/>
    <n v="1"/>
    <n v="0"/>
    <n v="22"/>
    <n v="3"/>
    <n v="1"/>
    <n v="3"/>
    <n v="2441"/>
    <n v="1670"/>
    <n v="771"/>
    <n v="0.69699999999999995"/>
    <n v="4105"/>
    <n v="73"/>
    <n v="0.55300000000000005"/>
    <n v="0.68400000000000005"/>
    <s v="9.6126e-05"/>
    <n v="0.99990000000000001"/>
    <s v="0.3299217061467916"/>
    <s v="49.758781842676605"/>
    <n v="91.057144414585906"/>
    <s v="0.3926775709274925"/>
    <n v="719524383"/>
    <x v="0"/>
    <n v="3.2914013999999999E-4"/>
    <x v="0"/>
  </r>
  <r>
    <n v="34"/>
    <n v="1"/>
    <n v="2"/>
    <n v="2"/>
    <n v="2"/>
    <n v="4"/>
    <n v="0"/>
    <n v="23"/>
    <n v="1"/>
    <n v="3"/>
    <n v="2"/>
    <n v="8940"/>
    <n v="1518"/>
    <n v="7422"/>
    <n v="0.72599999999999998"/>
    <n v="14459"/>
    <n v="97"/>
    <n v="0.70199999999999996"/>
    <n v="0.17"/>
    <n v="1.7987E-4"/>
    <n v="0.99982000000000004"/>
    <s v="8.243713365652999"/>
    <s v="54.31686867514439"/>
    <s v="72.68696637297535"/>
    <s v="21.259097643591243"/>
    <n v="772207683"/>
    <x v="0"/>
    <n v="3.4656386999999997E-4"/>
    <x v="0"/>
  </r>
  <r>
    <n v="52"/>
    <n v="0"/>
    <n v="1"/>
    <n v="5"/>
    <n v="2"/>
    <n v="5"/>
    <n v="0"/>
    <n v="40"/>
    <n v="5"/>
    <n v="1"/>
    <n v="3"/>
    <n v="2259"/>
    <n v="1721"/>
    <n v="538"/>
    <n v="0.68200000000000005"/>
    <n v="1852"/>
    <n v="38"/>
    <n v="0.81"/>
    <n v="0.76200000000000001"/>
    <s v="8.9404e-05"/>
    <n v="0.99990999999999997"/>
    <s v="24.58373726453837"/>
    <s v="50.89142285678228"/>
    <s v="43.333561120134526"/>
    <s v="4.122782069108217"/>
    <n v="712291308"/>
    <x v="0"/>
    <n v="9.8706899999999992E-4"/>
    <x v="0"/>
  </r>
  <r>
    <n v="52"/>
    <n v="0"/>
    <n v="2"/>
    <n v="3"/>
    <n v="2"/>
    <n v="4"/>
    <n v="0"/>
    <n v="35"/>
    <n v="5"/>
    <n v="2"/>
    <n v="3"/>
    <n v="1954"/>
    <n v="808"/>
    <n v="1146"/>
    <n v="0.82599999999999996"/>
    <n v="4897"/>
    <n v="70"/>
    <n v="0.79500000000000004"/>
    <n v="0.41399999999999998"/>
    <n v="1.861E-4"/>
    <n v="0.99980999999999998"/>
    <s v="27.91721725230119"/>
    <s v="57.26246403524013"/>
    <s v="43.028127732473976"/>
    <s v="7.355480828790492"/>
    <n v="794567133"/>
    <x v="0"/>
    <n v="5.1030780000000005E-4"/>
    <x v="0"/>
  </r>
  <r>
    <n v="41"/>
    <n v="1"/>
    <n v="4"/>
    <n v="3"/>
    <n v="2"/>
    <n v="4"/>
    <n v="0"/>
    <n v="21"/>
    <n v="2"/>
    <n v="3"/>
    <n v="1"/>
    <n v="3429"/>
    <n v="1504"/>
    <n v="1925"/>
    <n v="0.60099999999999998"/>
    <n v="4015"/>
    <n v="76"/>
    <n v="1"/>
    <n v="0.439"/>
    <n v="1.106E-4"/>
    <n v="0.99988999999999995"/>
    <s v="32.11399126865872"/>
    <s v="11.018925540855742"/>
    <s v="16.622424397095813"/>
    <s v="2.647104691815253"/>
    <n v="778436283"/>
    <x v="0"/>
    <n v="3.2101269999999999E-4"/>
    <x v="0"/>
  </r>
  <r>
    <n v="38"/>
    <n v="1"/>
    <n v="2"/>
    <n v="5"/>
    <n v="2"/>
    <n v="0"/>
    <n v="0"/>
    <n v="30"/>
    <n v="6"/>
    <n v="3"/>
    <n v="4"/>
    <n v="4043"/>
    <n v="2517"/>
    <n v="1526"/>
    <n v="0.60199999999999998"/>
    <n v="2600"/>
    <n v="47"/>
    <n v="0.621"/>
    <n v="0.623"/>
    <n v="0.99812000000000001"/>
    <n v="1.8803100000000001E-3"/>
    <s v="23.940556810883603"/>
    <s v="108.01467966439476"/>
    <n v="64.683822376371396"/>
    <s v="6.192783177121805"/>
    <n v="716922633"/>
    <x v="1"/>
    <n v="0.99404729999999997"/>
    <x v="1"/>
  </r>
  <r>
    <n v="53"/>
    <n v="0"/>
    <n v="3"/>
    <n v="6"/>
    <n v="1"/>
    <n v="1"/>
    <n v="0"/>
    <n v="46"/>
    <n v="6"/>
    <n v="3"/>
    <n v="1"/>
    <n v="2192"/>
    <n v="1146"/>
    <n v="1046"/>
    <n v="0.622"/>
    <n v="4756"/>
    <n v="85"/>
    <n v="0.73499999999999999"/>
    <n v="0.52300000000000002"/>
    <n v="1.2373000000000001E-4"/>
    <n v="0.99987999999999999"/>
    <s v="32.756762102984545"/>
    <s v="41.26956901571438"/>
    <s v="21.19563936754674"/>
    <s v="1.6406562291157654"/>
    <n v="717574683"/>
    <x v="0"/>
    <n v="3.2101269999999999E-4"/>
    <x v="0"/>
  </r>
  <r>
    <n v="52"/>
    <n v="0"/>
    <n v="2"/>
    <n v="3"/>
    <n v="2"/>
    <n v="4"/>
    <n v="0"/>
    <n v="42"/>
    <n v="6"/>
    <n v="2"/>
    <n v="2"/>
    <n v="1438.3"/>
    <n v="869"/>
    <n v="569.29999999999995"/>
    <n v="0.82099999999999995"/>
    <n v="4664"/>
    <n v="77"/>
    <n v="0.878"/>
    <n v="0.60399999999999998"/>
    <n v="1.1065000000000001E-4"/>
    <n v="0.99988999999999995"/>
    <s v="3.3064077634401263"/>
    <s v="43.43469711287524"/>
    <s v="107.4280825397872"/>
    <s v="15.829623148019362"/>
    <n v="711631158"/>
    <x v="0"/>
    <n v="4.3298570000000001E-4"/>
    <x v="0"/>
  </r>
  <r>
    <n v="46"/>
    <n v="0"/>
    <n v="3"/>
    <n v="3"/>
    <n v="2"/>
    <n v="1"/>
    <n v="3"/>
    <n v="40"/>
    <n v="4"/>
    <n v="3"/>
    <n v="1"/>
    <n v="16239"/>
    <n v="1487"/>
    <n v="14752"/>
    <n v="0.53100000000000003"/>
    <n v="3838"/>
    <n v="48"/>
    <n v="0.6"/>
    <n v="9.1999999999999998E-2"/>
    <s v="9.8874e-05"/>
    <n v="0.99990000000000001"/>
    <s v="2.397596155980989"/>
    <s v="50.20856314708242"/>
    <s v="6.850811619339567"/>
    <s v="14.231485960807635"/>
    <n v="709618308"/>
    <x v="0"/>
    <n v="1.1107075E-3"/>
    <x v="0"/>
  </r>
  <r>
    <n v="41"/>
    <n v="1"/>
    <n v="4"/>
    <n v="2"/>
    <n v="1"/>
    <n v="2"/>
    <n v="0"/>
    <n v="36"/>
    <n v="4"/>
    <n v="1"/>
    <n v="2"/>
    <n v="8923"/>
    <n v="2517"/>
    <n v="6406"/>
    <n v="1.726"/>
    <n v="1589"/>
    <n v="24"/>
    <n v="1.667"/>
    <n v="0.28199999999999997"/>
    <s v="5.7762e-05"/>
    <n v="0.99994000000000005"/>
    <s v="40.59998310276177"/>
    <s v="34.20961727193814"/>
    <s v="42.59802597953262"/>
    <s v="13.095958547898984"/>
    <n v="709029408"/>
    <x v="0"/>
    <n v="1.0254878999999999E-3"/>
    <x v="0"/>
  </r>
  <r>
    <n v="54"/>
    <n v="0"/>
    <n v="2"/>
    <n v="3"/>
    <n v="1"/>
    <n v="4"/>
    <n v="0"/>
    <n v="47"/>
    <n v="4"/>
    <n v="2"/>
    <n v="3"/>
    <n v="1804"/>
    <n v="1298"/>
    <n v="506"/>
    <n v="0.75800000000000001"/>
    <n v="4542"/>
    <n v="73"/>
    <n v="0.92100000000000004"/>
    <n v="0.72"/>
    <n v="1.861E-4"/>
    <n v="0.99980999999999998"/>
    <s v="2.241518710106837"/>
    <s v="3.774235091171842"/>
    <s v="82.06371190027099"/>
    <s v="19.202619096730626"/>
    <n v="710319108"/>
    <x v="0"/>
    <n v="3.2101269999999999E-4"/>
    <x v="0"/>
  </r>
  <r>
    <n v="38"/>
    <n v="1"/>
    <n v="3"/>
    <n v="5"/>
    <n v="1"/>
    <n v="2"/>
    <n v="0"/>
    <n v="36"/>
    <n v="5"/>
    <n v="2"/>
    <n v="3"/>
    <n v="3421"/>
    <n v="2308"/>
    <n v="1113"/>
    <n v="2.0369999999999999"/>
    <n v="2269"/>
    <n v="39"/>
    <n v="1.0529999999999999"/>
    <n v="0.67500000000000004"/>
    <n v="2.0424000000000001E-4"/>
    <n v="0.99980000000000002"/>
    <s v="66.34284088810873"/>
    <s v="13.859227471646763"/>
    <s v="43.80991120348576"/>
    <s v="4.049543706512791"/>
    <n v="713790708"/>
    <x v="0"/>
    <n v="1.0481173E-3"/>
    <x v="0"/>
  </r>
  <r>
    <n v="52"/>
    <n v="0"/>
    <n v="2"/>
    <n v="2"/>
    <n v="1"/>
    <n v="4"/>
    <n v="0"/>
    <n v="45"/>
    <n v="3"/>
    <n v="3"/>
    <n v="3"/>
    <n v="2548"/>
    <n v="1683"/>
    <n v="865"/>
    <n v="0.75"/>
    <n v="2055"/>
    <n v="54"/>
    <n v="0.63600000000000001"/>
    <n v="0.66100000000000003"/>
    <n v="3.0250999999999998E-4"/>
    <n v="0.99970000000000003"/>
    <s v="60.57073797760036"/>
    <s v="56.98559292530378"/>
    <n v="69.453419308583605"/>
    <s v="0.2236283167160768"/>
    <n v="755273658"/>
    <x v="0"/>
    <n v="6.9192685999999997E-4"/>
    <x v="0"/>
  </r>
  <r>
    <n v="52"/>
    <n v="1"/>
    <n v="3"/>
    <n v="5"/>
    <n v="3"/>
    <n v="0"/>
    <n v="0"/>
    <n v="45"/>
    <n v="4"/>
    <n v="1"/>
    <n v="2"/>
    <n v="18096"/>
    <n v="2404"/>
    <n v="15692"/>
    <n v="0.73399999999999999"/>
    <n v="3880"/>
    <n v="68"/>
    <n v="0.47799999999999998"/>
    <n v="0.13300000000000001"/>
    <s v="5.8763e-05"/>
    <n v="0.99994000000000005"/>
    <s v="30.50627616490429"/>
    <s v="83.97321006435645"/>
    <s v="111.27700408409112"/>
    <s v="0.8709000353396574"/>
    <n v="758787333"/>
    <x v="0"/>
    <n v="3.6742924999999999E-4"/>
    <x v="0"/>
  </r>
  <r>
    <n v="52"/>
    <n v="0"/>
    <n v="2"/>
    <n v="6"/>
    <n v="2"/>
    <n v="1"/>
    <n v="0"/>
    <n v="45"/>
    <n v="3"/>
    <n v="1"/>
    <n v="3"/>
    <n v="3476"/>
    <n v="1560"/>
    <n v="1916"/>
    <n v="0.89400000000000002"/>
    <n v="3496"/>
    <n v="58"/>
    <n v="0.871"/>
    <n v="0.44900000000000001"/>
    <n v="1.0183000000000001E-4"/>
    <n v="0.99990000000000001"/>
    <s v="6.857956954874283"/>
    <s v="10.536127663098194"/>
    <s v="117.92041293968911"/>
    <s v="2.4532554941945364"/>
    <n v="720670458"/>
    <x v="0"/>
    <n v="3.838057E-4"/>
    <x v="0"/>
  </r>
  <r>
    <n v="61"/>
    <n v="0"/>
    <n v="1"/>
    <n v="2"/>
    <n v="1"/>
    <n v="4"/>
    <n v="0"/>
    <n v="54"/>
    <n v="3"/>
    <n v="2"/>
    <n v="2"/>
    <n v="3102"/>
    <n v="2091"/>
    <n v="1011"/>
    <n v="0.70399999999999996"/>
    <n v="1977"/>
    <n v="50"/>
    <n v="1"/>
    <n v="0.67400000000000004"/>
    <n v="1.0684E-4"/>
    <n v="0.99988999999999995"/>
    <s v="27.52373946072068"/>
    <s v="23.961400095752047"/>
    <s v="14.83597286013986"/>
    <s v="13.578469197377473"/>
    <n v="778573233"/>
    <x v="0"/>
    <n v="9.3699229999999998E-4"/>
    <x v="0"/>
  </r>
  <r>
    <n v="51"/>
    <n v="0"/>
    <n v="3"/>
    <n v="2"/>
    <n v="2"/>
    <n v="4"/>
    <n v="0"/>
    <n v="36"/>
    <n v="1"/>
    <n v="3"/>
    <n v="1"/>
    <n v="3276"/>
    <n v="1474"/>
    <n v="1802"/>
    <n v="0.75900000000000001"/>
    <n v="14212"/>
    <n v="116"/>
    <n v="0.68100000000000005"/>
    <n v="0.45"/>
    <n v="1.1256000000000001E-4"/>
    <n v="0.99988999999999995"/>
    <s v="27.640330446929788"/>
    <s v="37.16475528566746"/>
    <s v="15.88871160652092"/>
    <s v="30.119180079846124"/>
    <n v="714690633"/>
    <x v="0"/>
    <n v="3.4656386999999997E-4"/>
    <x v="0"/>
  </r>
  <r>
    <n v="52"/>
    <n v="0"/>
    <n v="2"/>
    <n v="5"/>
    <n v="1"/>
    <n v="1"/>
    <n v="0"/>
    <n v="36"/>
    <n v="5"/>
    <n v="1"/>
    <n v="4"/>
    <n v="1438.3"/>
    <n v="0"/>
    <n v="1438.3"/>
    <n v="0.52900000000000003"/>
    <n v="1679"/>
    <n v="39"/>
    <n v="0.5"/>
    <n v="0"/>
    <n v="1.6249E-4"/>
    <n v="0.99983999999999995"/>
    <s v="27.01028447295216"/>
    <s v="19.07847542995448"/>
    <s v="63.77972605967725"/>
    <s v="12.16494534902058"/>
    <n v="715279683"/>
    <x v="0"/>
    <n v="4.459518E-3"/>
    <x v="0"/>
  </r>
  <r>
    <n v="37"/>
    <n v="1"/>
    <n v="1"/>
    <n v="3"/>
    <n v="1"/>
    <n v="0"/>
    <n v="0"/>
    <n v="32"/>
    <n v="6"/>
    <n v="2"/>
    <n v="2"/>
    <n v="17393"/>
    <n v="1409"/>
    <n v="15984"/>
    <n v="0.60799999999999998"/>
    <n v="1692"/>
    <n v="38"/>
    <n v="0.65200000000000002"/>
    <n v="8.1000000000000003E-2"/>
    <n v="1.0386E-4"/>
    <n v="0.99990000000000001"/>
    <s v="48.18595931477623"/>
    <s v="9.106708912120943"/>
    <s v="19.574432604164045"/>
    <s v="10.826444614780936"/>
    <n v="816094233"/>
    <x v="0"/>
    <n v="1.0911548000000001E-3"/>
    <x v="0"/>
  </r>
  <r>
    <n v="40"/>
    <n v="0"/>
    <n v="4"/>
    <n v="2"/>
    <n v="1"/>
    <n v="5"/>
    <n v="0"/>
    <n v="28"/>
    <n v="1"/>
    <n v="3"/>
    <n v="3"/>
    <n v="1622"/>
    <n v="972"/>
    <n v="650"/>
    <n v="0.86599999999999999"/>
    <n v="4216"/>
    <n v="71"/>
    <n v="1.367"/>
    <n v="0.59899999999999998"/>
    <n v="3.1725999999999998E-4"/>
    <n v="0.99968000000000001"/>
    <s v="14.686943391451976"/>
    <s v="34.30267060782151"/>
    <n v="88.958163876120807"/>
    <n v="0.79710978511417296"/>
    <n v="711272058"/>
    <x v="0"/>
    <n v="3.8272605000000003E-4"/>
    <x v="0"/>
  </r>
  <r>
    <n v="54"/>
    <n v="1"/>
    <n v="3"/>
    <n v="3"/>
    <n v="1"/>
    <n v="0"/>
    <n v="0"/>
    <n v="43"/>
    <n v="5"/>
    <n v="3"/>
    <n v="2"/>
    <n v="2884"/>
    <n v="1144"/>
    <n v="1740"/>
    <n v="0.78300000000000003"/>
    <n v="4887"/>
    <n v="90"/>
    <n v="0.69799999999999995"/>
    <n v="0.39700000000000002"/>
    <n v="1.8144999999999999E-4"/>
    <n v="0.99982000000000004"/>
    <s v="31.519446874227345"/>
    <n v="71.610078388871301"/>
    <n v="78.730453512525003"/>
    <s v="26.691623455862143"/>
    <n v="708506508"/>
    <x v="0"/>
    <n v="3.2101269999999999E-4"/>
    <x v="0"/>
  </r>
  <r>
    <n v="47"/>
    <n v="1"/>
    <n v="3"/>
    <n v="3"/>
    <n v="3"/>
    <n v="3"/>
    <n v="3"/>
    <n v="40"/>
    <n v="5"/>
    <n v="3"/>
    <n v="2"/>
    <n v="34516"/>
    <n v="1371"/>
    <n v="33145"/>
    <n v="0.69099999999999995"/>
    <n v="15930"/>
    <n v="123"/>
    <n v="0.83599999999999997"/>
    <n v="0.04"/>
    <n v="1.6395E-4"/>
    <n v="0.99983999999999995"/>
    <s v="38.25604060469387"/>
    <s v="107.2597783335872"/>
    <s v="47.43922952575673"/>
    <s v="4.347942401033985"/>
    <n v="747551658"/>
    <x v="0"/>
    <n v="3.8573547000000003E-4"/>
    <x v="0"/>
  </r>
  <r>
    <n v="46"/>
    <n v="1"/>
    <n v="3"/>
    <n v="6"/>
    <n v="2"/>
    <n v="3"/>
    <n v="0"/>
    <n v="35"/>
    <n v="2"/>
    <n v="1"/>
    <n v="1"/>
    <n v="11814"/>
    <n v="1440"/>
    <n v="10374"/>
    <n v="0.79800000000000004"/>
    <n v="9185"/>
    <n v="100"/>
    <n v="0.69499999999999995"/>
    <n v="0.122"/>
    <s v="3.7884e-05"/>
    <n v="0.99995999999999996"/>
    <s v="9.838229958786114"/>
    <s v="7.349820457308493"/>
    <s v="20.76393856675888"/>
    <s v="14.598942154702204"/>
    <n v="710569233"/>
    <x v="0"/>
    <n v="3.6856539999999998E-4"/>
    <x v="0"/>
  </r>
  <r>
    <n v="49"/>
    <n v="1"/>
    <n v="3"/>
    <n v="1"/>
    <n v="1"/>
    <n v="3"/>
    <n v="0"/>
    <n v="36"/>
    <n v="4"/>
    <n v="1"/>
    <n v="4"/>
    <n v="9549"/>
    <n v="0"/>
    <n v="9549"/>
    <n v="0.71199999999999997"/>
    <n v="4629"/>
    <n v="76"/>
    <n v="0.65200000000000002"/>
    <n v="0"/>
    <n v="2.3729999999999999E-4"/>
    <n v="0.99975999999999998"/>
    <s v="29.191994560222327"/>
    <n v="26.117301765315801"/>
    <s v="42.19495872511225"/>
    <s v="18.59652928167517"/>
    <n v="715682208"/>
    <x v="0"/>
    <n v="6.9517245999999998E-4"/>
    <x v="0"/>
  </r>
  <r>
    <n v="32"/>
    <n v="1"/>
    <n v="1"/>
    <n v="3"/>
    <n v="2"/>
    <n v="4"/>
    <n v="0"/>
    <n v="23"/>
    <n v="3"/>
    <n v="2"/>
    <n v="3"/>
    <n v="4500"/>
    <n v="0"/>
    <n v="4500"/>
    <n v="0.626"/>
    <n v="2439"/>
    <n v="63"/>
    <n v="0.70299999999999996"/>
    <n v="0"/>
    <n v="1.7468E-4"/>
    <n v="0.99983"/>
    <s v="47.32786959248325"/>
    <s v="26.48868093763816"/>
    <s v="108.55987825146536"/>
    <s v="2.9660490319306745"/>
    <n v="716620458"/>
    <x v="0"/>
    <n v="1.0180222E-3"/>
    <x v="0"/>
  </r>
  <r>
    <n v="41"/>
    <n v="0"/>
    <n v="3"/>
    <n v="3"/>
    <n v="1"/>
    <n v="4"/>
    <n v="0"/>
    <n v="36"/>
    <n v="6"/>
    <n v="2"/>
    <n v="3"/>
    <n v="2359"/>
    <n v="1509"/>
    <n v="850"/>
    <n v="1.1000000000000001"/>
    <n v="5232"/>
    <n v="78"/>
    <n v="0.81399999999999995"/>
    <n v="0.64"/>
    <n v="1.9311E-4"/>
    <n v="0.99980999999999998"/>
    <s v="1.8617405047437223"/>
    <s v="62.22197044923981"/>
    <s v="44.69022286199931"/>
    <s v="5.893151008367511"/>
    <n v="713744058"/>
    <x v="0"/>
    <n v="3.221314E-4"/>
    <x v="0"/>
  </r>
  <r>
    <n v="52"/>
    <n v="0"/>
    <n v="3"/>
    <n v="2"/>
    <n v="1"/>
    <n v="1"/>
    <n v="0"/>
    <n v="36"/>
    <n v="6"/>
    <n v="4"/>
    <n v="2"/>
    <n v="3143"/>
    <n v="2268"/>
    <n v="875"/>
    <n v="0.80100000000000005"/>
    <n v="4417"/>
    <n v="84"/>
    <n v="0.68"/>
    <n v="0.72199999999999998"/>
    <n v="2.2556E-4"/>
    <n v="0.99977000000000005"/>
    <s v="10.205384368451986"/>
    <s v="19.445258795015526"/>
    <s v="84.97284373266973"/>
    <s v="6.3191151187088375"/>
    <n v="714672933"/>
    <x v="0"/>
    <n v="3.2101269999999999E-4"/>
    <x v="0"/>
  </r>
  <r>
    <n v="40"/>
    <n v="1"/>
    <n v="4"/>
    <n v="3"/>
    <n v="1"/>
    <n v="2"/>
    <n v="0"/>
    <n v="36"/>
    <n v="6"/>
    <n v="3"/>
    <n v="3"/>
    <n v="5797"/>
    <n v="1779"/>
    <n v="4018"/>
    <n v="0.78500000000000003"/>
    <n v="2131"/>
    <n v="33"/>
    <n v="0.57099999999999995"/>
    <n v="0.307"/>
    <n v="3.0842E-4"/>
    <n v="0.99968999999999997"/>
    <s v="21.922620121583247"/>
    <s v="15.153011176913644"/>
    <s v="20.99833804736361"/>
    <s v="10.87755664158344"/>
    <n v="710670633"/>
    <x v="0"/>
    <n v="1.3267322E-3"/>
    <x v="0"/>
  </r>
  <r>
    <n v="43"/>
    <n v="0"/>
    <n v="3"/>
    <n v="3"/>
    <n v="2"/>
    <n v="4"/>
    <n v="0"/>
    <n v="36"/>
    <n v="5"/>
    <n v="3"/>
    <n v="3"/>
    <n v="2313"/>
    <n v="1325"/>
    <n v="988"/>
    <n v="0.72299999999999998"/>
    <n v="5006"/>
    <n v="76"/>
    <n v="0.81"/>
    <n v="0.57299999999999995"/>
    <n v="3.0516000000000001E-4"/>
    <n v="0.99968999999999997"/>
    <n v="32.038776538739299"/>
    <s v="13.174815358004608"/>
    <s v="59.32301029077416"/>
    <s v="24.19665526275708"/>
    <n v="781143933"/>
    <x v="0"/>
    <n v="3.2101269999999999E-4"/>
    <x v="0"/>
  </r>
  <r>
    <n v="43"/>
    <n v="1"/>
    <n v="4"/>
    <n v="6"/>
    <n v="1"/>
    <n v="1"/>
    <n v="0"/>
    <n v="39"/>
    <n v="5"/>
    <n v="1"/>
    <n v="2"/>
    <n v="6111"/>
    <n v="2517"/>
    <n v="3594"/>
    <n v="0.63200000000000001"/>
    <n v="1221"/>
    <n v="16"/>
    <n v="2.2000000000000002"/>
    <n v="0.41199999999999998"/>
    <s v="6.3492e-05"/>
    <n v="0.99994000000000005"/>
    <s v="24.16562874099644"/>
    <s v="2.827578007577531"/>
    <n v="94.105398410130803"/>
    <s v="1.171011511948445"/>
    <n v="822063408"/>
    <x v="0"/>
    <n v="1.0254878999999999E-3"/>
    <x v="0"/>
  </r>
  <r>
    <n v="39"/>
    <n v="1"/>
    <n v="3"/>
    <n v="2"/>
    <n v="2"/>
    <n v="2"/>
    <n v="0"/>
    <n v="29"/>
    <n v="4"/>
    <n v="2"/>
    <n v="3"/>
    <n v="6733"/>
    <n v="1028"/>
    <n v="5705"/>
    <n v="0.55300000000000005"/>
    <n v="4444"/>
    <n v="72"/>
    <n v="0.56499999999999995"/>
    <n v="0.153"/>
    <n v="1.9864000000000001E-4"/>
    <n v="0.99980000000000002"/>
    <s v="45.11559210615778"/>
    <s v="6.228025058170832"/>
    <s v="21.539519398979003"/>
    <s v="0.9789866107659704"/>
    <n v="716353083"/>
    <x v="0"/>
    <n v="3.2914013999999999E-4"/>
    <x v="0"/>
  </r>
  <r>
    <n v="47"/>
    <n v="1"/>
    <n v="3"/>
    <n v="3"/>
    <n v="1"/>
    <n v="1"/>
    <n v="0"/>
    <n v="41"/>
    <n v="6"/>
    <n v="3"/>
    <n v="4"/>
    <n v="6692"/>
    <n v="1897"/>
    <n v="4795"/>
    <n v="1.0349999999999999"/>
    <n v="3902"/>
    <n v="76"/>
    <n v="0.68899999999999995"/>
    <n v="0.28299999999999997"/>
    <n v="5.2052000000000001E-4"/>
    <n v="0.99948000000000004"/>
    <s v="25.113354119638323"/>
    <s v="10.52235795516506"/>
    <s v="7.483676502433469"/>
    <s v="17.746855774421306"/>
    <n v="768582033"/>
    <x v="0"/>
    <n v="3.3750932000000002E-4"/>
    <x v="0"/>
  </r>
  <r>
    <n v="52"/>
    <n v="0"/>
    <n v="1"/>
    <n v="3"/>
    <n v="2"/>
    <n v="4"/>
    <n v="0"/>
    <n v="36"/>
    <n v="3"/>
    <n v="3"/>
    <n v="3"/>
    <n v="2340"/>
    <n v="1101"/>
    <n v="1239"/>
    <n v="0.76600000000000001"/>
    <n v="4501"/>
    <n v="68"/>
    <n v="0.7"/>
    <n v="0.47099999999999997"/>
    <n v="2.7604000000000002E-4"/>
    <n v="0.99972000000000005"/>
    <s v="19.583548088825506"/>
    <s v="26.741788083460825"/>
    <s v="25.86963369702729"/>
    <s v="3.908220071178547"/>
    <n v="716592558"/>
    <x v="0"/>
    <n v="3.2101269999999999E-4"/>
    <x v="0"/>
  </r>
  <r>
    <n v="41"/>
    <n v="1"/>
    <n v="2"/>
    <n v="3"/>
    <n v="1"/>
    <n v="0"/>
    <n v="0"/>
    <n v="24"/>
    <n v="5"/>
    <n v="2"/>
    <n v="3"/>
    <n v="9924"/>
    <n v="0"/>
    <n v="9924"/>
    <n v="0.51700000000000002"/>
    <n v="1949"/>
    <n v="43"/>
    <n v="0.48299999999999998"/>
    <n v="0"/>
    <n v="0.99465999999999999"/>
    <n v="5.3400000000000001E-3"/>
    <s v="15.502050355297545"/>
    <s v="72.91119127454564"/>
    <s v="114.9927570097714"/>
    <s v="5.400733766701134"/>
    <n v="709891608"/>
    <x v="1"/>
    <n v="0.99866544999999995"/>
    <x v="1"/>
  </r>
  <r>
    <n v="37"/>
    <n v="1"/>
    <n v="3"/>
    <n v="2"/>
    <n v="1"/>
    <n v="1"/>
    <n v="0"/>
    <n v="36"/>
    <n v="3"/>
    <n v="3"/>
    <n v="3"/>
    <n v="2031"/>
    <n v="0"/>
    <n v="2031"/>
    <n v="0.752"/>
    <n v="1678"/>
    <n v="36"/>
    <n v="0.8"/>
    <n v="0"/>
    <n v="3.1389999999999999E-4"/>
    <n v="0.99968999999999997"/>
    <s v="12.646065183474605"/>
    <s v="10.963801531918335"/>
    <s v="56.942626181909255"/>
    <s v="14.041314301842547"/>
    <n v="716129208"/>
    <x v="0"/>
    <n v="3.6584084999999999E-3"/>
    <x v="0"/>
  </r>
  <r>
    <n v="31"/>
    <n v="0"/>
    <n v="0"/>
    <n v="4"/>
    <n v="2"/>
    <n v="5"/>
    <n v="0"/>
    <n v="36"/>
    <n v="3"/>
    <n v="3"/>
    <n v="1"/>
    <n v="26423"/>
    <n v="0"/>
    <n v="26423"/>
    <n v="0.67100000000000004"/>
    <n v="13575"/>
    <n v="108"/>
    <n v="0.77"/>
    <n v="0"/>
    <n v="1.0953E-4"/>
    <n v="0.99988999999999995"/>
    <s v="14.205156478482388"/>
    <s v="28.783038017565207"/>
    <s v="76.79442666478681"/>
    <s v="9.668051536549312"/>
    <n v="709315383"/>
    <x v="0"/>
    <n v="7.5047980000000002E-4"/>
    <x v="0"/>
  </r>
  <r>
    <n v="37"/>
    <n v="1"/>
    <n v="2"/>
    <n v="3"/>
    <n v="2"/>
    <n v="1"/>
    <n v="0"/>
    <n v="31"/>
    <n v="6"/>
    <n v="3"/>
    <n v="4"/>
    <n v="3216"/>
    <n v="0"/>
    <n v="3216"/>
    <n v="0.68300000000000005"/>
    <n v="4039"/>
    <n v="81"/>
    <n v="1.077"/>
    <n v="0"/>
    <n v="5.0162999999999998E-4"/>
    <n v="0.99950000000000006"/>
    <s v="9.327536430269662"/>
    <s v="64.95139929301097"/>
    <s v="127.81181822351404"/>
    <s v="30.49418455434253"/>
    <n v="714053358"/>
    <x v="0"/>
    <n v="6.9517245999999998E-4"/>
    <x v="0"/>
  </r>
  <r>
    <n v="48"/>
    <n v="1"/>
    <n v="3"/>
    <n v="2"/>
    <n v="1"/>
    <n v="2"/>
    <n v="0"/>
    <n v="37"/>
    <n v="5"/>
    <n v="2"/>
    <n v="2"/>
    <n v="8808"/>
    <n v="390"/>
    <n v="8418"/>
    <n v="0.628"/>
    <n v="1905"/>
    <n v="42"/>
    <n v="0.44800000000000001"/>
    <n v="4.3999999999999997E-2"/>
    <n v="0.99160999999999999"/>
    <n v="8.3899999999999999E-3"/>
    <s v="19.405319935623684"/>
    <s v="89.43882910923055"/>
    <s v="52.08262820103366"/>
    <s v="5.692640515644836"/>
    <n v="710333883"/>
    <x v="1"/>
    <n v="0.99859374999999995"/>
    <x v="1"/>
  </r>
  <r>
    <n v="38"/>
    <n v="0"/>
    <n v="3"/>
    <n v="2"/>
    <n v="1"/>
    <n v="4"/>
    <n v="0"/>
    <n v="34"/>
    <n v="5"/>
    <n v="1"/>
    <n v="0"/>
    <n v="3402"/>
    <n v="1813"/>
    <n v="1589"/>
    <n v="0.65300000000000002"/>
    <n v="1767"/>
    <n v="28"/>
    <n v="0.64700000000000002"/>
    <n v="0.53300000000000003"/>
    <s v="2.1081e-05"/>
    <n v="0.99997999999999998"/>
    <s v="0.5630234413609927"/>
    <s v="48.77985665017193"/>
    <s v="48.88986061625479"/>
    <s v="10.864591408482529"/>
    <n v="823912308"/>
    <x v="0"/>
    <n v="1.0598798E-3"/>
    <x v="0"/>
  </r>
  <r>
    <n v="42"/>
    <n v="1"/>
    <n v="2"/>
    <n v="2"/>
    <n v="2"/>
    <n v="2"/>
    <n v="3"/>
    <n v="36"/>
    <n v="3"/>
    <n v="3"/>
    <n v="2"/>
    <n v="34516"/>
    <n v="0"/>
    <n v="34516"/>
    <n v="0.77400000000000002"/>
    <n v="12920"/>
    <n v="132"/>
    <n v="0.73699999999999999"/>
    <n v="0"/>
    <n v="1.6253E-4"/>
    <n v="0.99983999999999995"/>
    <n v="36.880784436100903"/>
    <s v="5.859759440813905"/>
    <s v="15.69759981101123"/>
    <s v="5.330838174750211"/>
    <n v="709015833"/>
    <x v="0"/>
    <n v="7.5047980000000002E-4"/>
    <x v="0"/>
  </r>
  <r>
    <n v="39"/>
    <n v="0"/>
    <n v="1"/>
    <n v="2"/>
    <n v="2"/>
    <n v="5"/>
    <n v="0"/>
    <n v="34"/>
    <n v="3"/>
    <n v="1"/>
    <n v="1"/>
    <n v="2884"/>
    <n v="2517"/>
    <n v="367"/>
    <n v="0.69299999999999995"/>
    <n v="4809"/>
    <n v="87"/>
    <n v="0.74"/>
    <n v="0.873"/>
    <s v="3.1176e-05"/>
    <n v="0.99997000000000003"/>
    <s v="1.4034710199309393"/>
    <s v="50.67730031169533"/>
    <s v="74.33720847737717"/>
    <s v="21.85852917561493"/>
    <n v="713927283"/>
    <x v="0"/>
    <n v="3.4692350000000002E-4"/>
    <x v="0"/>
  </r>
  <r>
    <n v="47"/>
    <n v="1"/>
    <n v="3"/>
    <n v="3"/>
    <n v="2"/>
    <n v="2"/>
    <n v="0"/>
    <n v="36"/>
    <n v="4"/>
    <n v="3"/>
    <n v="2"/>
    <n v="5344"/>
    <n v="1582"/>
    <n v="3762"/>
    <n v="0.53700000000000003"/>
    <n v="1984"/>
    <n v="36"/>
    <n v="1"/>
    <n v="0.29599999999999999"/>
    <n v="1.8144999999999999E-4"/>
    <n v="0.99982000000000004"/>
    <s v="22.38730717447161"/>
    <s v="35.853761515570824"/>
    <s v="158.9075523889031"/>
    <s v="8.076376965984952"/>
    <n v="713016633"/>
    <x v="0"/>
    <n v="1.0934846E-3"/>
    <x v="0"/>
  </r>
  <r>
    <n v="50"/>
    <n v="0"/>
    <n v="3"/>
    <n v="5"/>
    <n v="3"/>
    <n v="5"/>
    <n v="0"/>
    <n v="30"/>
    <n v="4"/>
    <n v="1"/>
    <n v="3"/>
    <n v="1507"/>
    <n v="0"/>
    <n v="1507"/>
    <n v="0.64800000000000002"/>
    <n v="4037"/>
    <n v="83"/>
    <n v="0.72899999999999998"/>
    <n v="0"/>
    <s v="9.8837e-05"/>
    <n v="0.99990000000000001"/>
    <s v="28.873058373214285"/>
    <s v="19.213421700786974"/>
    <s v="46.12537394792218"/>
    <s v="5.1242000455101495"/>
    <n v="778732158"/>
    <x v="0"/>
    <n v="6.9517245999999998E-4"/>
    <x v="0"/>
  </r>
  <r>
    <n v="65"/>
    <n v="1"/>
    <n v="0"/>
    <n v="1"/>
    <n v="0"/>
    <n v="4"/>
    <n v="0"/>
    <n v="56"/>
    <n v="6"/>
    <n v="1"/>
    <n v="3"/>
    <n v="1573"/>
    <n v="653"/>
    <n v="920"/>
    <n v="0.71"/>
    <n v="3349"/>
    <n v="77"/>
    <n v="0.67400000000000004"/>
    <n v="0.41499999999999998"/>
    <n v="1.1504E-4"/>
    <n v="0.99987999999999999"/>
    <s v="39.45448750136699"/>
    <n v="35.688731293599503"/>
    <s v="42.73728505798072"/>
    <s v="3.905257182093252"/>
    <n v="709597983"/>
    <x v="0"/>
    <n v="5.4489190000000002E-4"/>
    <x v="0"/>
  </r>
  <r>
    <n v="49"/>
    <n v="0"/>
    <n v="3"/>
    <n v="2"/>
    <n v="0"/>
    <n v="5"/>
    <n v="0"/>
    <n v="42"/>
    <n v="2"/>
    <n v="2"/>
    <n v="3"/>
    <n v="14072"/>
    <n v="1917"/>
    <n v="12155"/>
    <n v="0.65300000000000002"/>
    <n v="13432"/>
    <n v="107"/>
    <n v="0.98099999999999998"/>
    <n v="0.13600000000000001"/>
    <n v="1.9864000000000001E-4"/>
    <n v="0.99980000000000002"/>
    <s v="2.903866525869917"/>
    <s v="53.995449049895846"/>
    <s v="48.94991978111111"/>
    <s v="37.35253120790595"/>
    <n v="766649283"/>
    <x v="0"/>
    <n v="3.4656386999999997E-4"/>
    <x v="0"/>
  </r>
  <r>
    <n v="57"/>
    <n v="0"/>
    <n v="4"/>
    <n v="6"/>
    <n v="1"/>
    <n v="4"/>
    <n v="0"/>
    <n v="36"/>
    <n v="3"/>
    <n v="1"/>
    <n v="2"/>
    <n v="2159"/>
    <n v="1004"/>
    <n v="1155"/>
    <n v="0.60299999999999998"/>
    <n v="1353"/>
    <n v="30"/>
    <n v="0.111"/>
    <n v="0.46500000000000002"/>
    <s v="6.3492e-05"/>
    <n v="0.99994000000000005"/>
    <s v="9.732824475213322"/>
    <s v="54.52215240624799"/>
    <s v="215.92650546238565"/>
    <s v="4.820361469812269"/>
    <n v="713992158"/>
    <x v="0"/>
    <n v="1.232702E-3"/>
    <x v="0"/>
  </r>
  <r>
    <n v="57"/>
    <n v="1"/>
    <n v="2"/>
    <n v="5"/>
    <n v="1"/>
    <n v="0"/>
    <n v="0"/>
    <n v="40"/>
    <n v="3"/>
    <n v="3"/>
    <n v="3"/>
    <n v="3106"/>
    <n v="1120"/>
    <n v="1986"/>
    <n v="1.0449999999999999"/>
    <n v="683"/>
    <n v="17"/>
    <n v="0.7"/>
    <n v="0.36099999999999999"/>
    <n v="0.99680000000000002"/>
    <n v="3.2037400000000001E-3"/>
    <s v="8.916521572320589"/>
    <s v="63.924627960449925"/>
    <s v="84.87845579076789"/>
    <s v="16.82062381074951"/>
    <n v="717354558"/>
    <x v="1"/>
    <n v="0.99443490000000001"/>
    <x v="1"/>
  </r>
  <r>
    <n v="35"/>
    <n v="0"/>
    <n v="2"/>
    <n v="6"/>
    <n v="1"/>
    <n v="1"/>
    <n v="0"/>
    <n v="15"/>
    <n v="4"/>
    <n v="2"/>
    <n v="1"/>
    <n v="1438.3"/>
    <n v="834"/>
    <n v="604.29999999999995"/>
    <n v="0.68400000000000005"/>
    <n v="4551"/>
    <n v="82"/>
    <n v="0.64"/>
    <n v="0.57999999999999996"/>
    <s v="7.5449e-05"/>
    <n v="0.99992000000000003"/>
    <s v="3.1996364154584374"/>
    <s v="35.01053167588419"/>
    <s v="23.31782009484063"/>
    <s v="1.121773738876763"/>
    <n v="720322008"/>
    <x v="0"/>
    <n v="5.0206790000000001E-4"/>
    <x v="0"/>
  </r>
  <r>
    <n v="49"/>
    <n v="0"/>
    <n v="2"/>
    <n v="5"/>
    <n v="1"/>
    <n v="4"/>
    <n v="0"/>
    <n v="37"/>
    <n v="6"/>
    <n v="3"/>
    <n v="3"/>
    <n v="9723"/>
    <n v="2459"/>
    <n v="7264"/>
    <n v="0.44400000000000001"/>
    <n v="1258"/>
    <n v="24"/>
    <n v="1"/>
    <n v="0.253"/>
    <n v="3.1104E-4"/>
    <n v="0.99968999999999997"/>
    <s v="50.14566362279095"/>
    <s v="5.973024889332724"/>
    <s v="73.36235420614906"/>
    <s v="15.757341383572568"/>
    <n v="709328733"/>
    <x v="0"/>
    <n v="1.0254878999999999E-3"/>
    <x v="0"/>
  </r>
  <r>
    <n v="43"/>
    <n v="1"/>
    <n v="3"/>
    <n v="4"/>
    <n v="1"/>
    <n v="2"/>
    <n v="1"/>
    <n v="37"/>
    <n v="6"/>
    <n v="1"/>
    <n v="2"/>
    <n v="34516"/>
    <n v="1580"/>
    <n v="32936"/>
    <n v="0.70699999999999996"/>
    <n v="4149"/>
    <n v="86"/>
    <n v="0.755"/>
    <n v="4.5999999999999999E-2"/>
    <s v="7.7478e-05"/>
    <n v="0.99992000000000003"/>
    <s v="33.45014699154015"/>
    <s v="12.128207214286448"/>
    <s v="143.36338102657086"/>
    <s v="11.273722324421623"/>
    <n v="797757333"/>
    <x v="0"/>
    <n v="3.5729867999999997E-4"/>
    <x v="0"/>
  </r>
  <r>
    <n v="52"/>
    <n v="0"/>
    <n v="2"/>
    <n v="3"/>
    <n v="2"/>
    <n v="4"/>
    <n v="0"/>
    <n v="44"/>
    <n v="6"/>
    <n v="3"/>
    <n v="3"/>
    <n v="2971"/>
    <n v="0"/>
    <n v="2971"/>
    <n v="1.1539999999999999"/>
    <n v="4458"/>
    <n v="63"/>
    <n v="0.61499999999999999"/>
    <n v="0"/>
    <n v="2.9408E-4"/>
    <n v="0.99970999999999999"/>
    <s v="0.5098315377948354"/>
    <s v="46.46485971557359"/>
    <s v="16.584830994588934"/>
    <n v="6.8335077813007903"/>
    <n v="719465733"/>
    <x v="0"/>
    <n v="8.7364484000000003E-4"/>
    <x v="0"/>
  </r>
  <r>
    <n v="42"/>
    <n v="1"/>
    <n v="3"/>
    <n v="0"/>
    <n v="2"/>
    <n v="2"/>
    <n v="0"/>
    <n v="36"/>
    <n v="4"/>
    <n v="1"/>
    <n v="3"/>
    <n v="11698"/>
    <n v="1060"/>
    <n v="10638"/>
    <n v="1.282"/>
    <n v="3539"/>
    <n v="81"/>
    <n v="0.92900000000000005"/>
    <n v="9.0999999999999998E-2"/>
    <s v="9.3457e-05"/>
    <n v="0.99990999999999997"/>
    <s v="22.381948223824992"/>
    <s v="60.61635584175818"/>
    <s v="91.28235411407834"/>
    <s v="13.432305384644952"/>
    <n v="715061733"/>
    <x v="0"/>
    <n v="3.4719318999999998E-4"/>
    <x v="0"/>
  </r>
  <r>
    <n v="42"/>
    <n v="0"/>
    <n v="3"/>
    <n v="0"/>
    <n v="2"/>
    <n v="1"/>
    <n v="0"/>
    <n v="35"/>
    <n v="2"/>
    <n v="3"/>
    <n v="3"/>
    <n v="6330"/>
    <n v="1573"/>
    <n v="4757"/>
    <n v="0.89900000000000002"/>
    <n v="3029"/>
    <n v="52"/>
    <n v="0.73299999999999998"/>
    <n v="0.248"/>
    <n v="3.0519E-4"/>
    <n v="0.99968999999999997"/>
    <n v="8.1717725490005506"/>
    <s v="47.09600091717487"/>
    <s v="82.46268462780155"/>
    <s v="13.175135064466009"/>
    <n v="788465583"/>
    <x v="0"/>
    <n v="9.7050849999999998E-4"/>
    <x v="0"/>
  </r>
  <r>
    <n v="51"/>
    <n v="0"/>
    <n v="2"/>
    <n v="1"/>
    <n v="1"/>
    <n v="5"/>
    <n v="0"/>
    <n v="45"/>
    <n v="6"/>
    <n v="6"/>
    <n v="2"/>
    <n v="6501"/>
    <n v="0"/>
    <n v="6501"/>
    <n v="0.65100000000000002"/>
    <n v="5074"/>
    <n v="81"/>
    <n v="0.68799999999999994"/>
    <n v="0"/>
    <n v="2.0547E-4"/>
    <n v="0.99978999999999996"/>
    <s v="0.3833515025272263"/>
    <s v="36.72264269197607"/>
    <s v="51.82337403976289"/>
    <s v="7.812904501719622"/>
    <n v="710864358"/>
    <x v="0"/>
    <n v="6.9517245999999998E-4"/>
    <x v="0"/>
  </r>
  <r>
    <n v="45"/>
    <n v="0"/>
    <n v="3"/>
    <n v="2"/>
    <n v="0"/>
    <n v="4"/>
    <n v="0"/>
    <n v="36"/>
    <n v="4"/>
    <n v="3"/>
    <n v="3"/>
    <n v="8121"/>
    <n v="1595"/>
    <n v="6526"/>
    <n v="0.74299999999999999"/>
    <n v="1914"/>
    <n v="45"/>
    <n v="0.5"/>
    <n v="0.19600000000000001"/>
    <n v="3.1389999999999999E-4"/>
    <n v="0.99968999999999997"/>
    <s v="1.5603103245320835"/>
    <s v="8.032497857200614"/>
    <s v="22.562496513254025"/>
    <s v="1.6304435616966315"/>
    <n v="715065483"/>
    <x v="0"/>
    <n v="1.3273743E-3"/>
    <x v="0"/>
  </r>
  <r>
    <n v="48"/>
    <n v="1"/>
    <n v="3"/>
    <n v="6"/>
    <n v="1"/>
    <n v="1"/>
    <n v="0"/>
    <n v="35"/>
    <n v="6"/>
    <n v="3"/>
    <n v="4"/>
    <n v="2173"/>
    <n v="0"/>
    <n v="2173"/>
    <n v="0.85699999999999998"/>
    <n v="4251"/>
    <n v="60"/>
    <n v="0.71399999999999997"/>
    <n v="0"/>
    <n v="5.8850999999999999E-4"/>
    <n v="0.99941000000000002"/>
    <s v="14.005400813215363"/>
    <s v="6.7674933603460365"/>
    <n v="3.2251393850969401"/>
    <s v="36.87884842959987"/>
    <n v="716101308"/>
    <x v="0"/>
    <n v="8.8633850000000003E-4"/>
    <x v="0"/>
  </r>
  <r>
    <n v="38"/>
    <n v="0"/>
    <n v="2"/>
    <n v="2"/>
    <n v="1"/>
    <n v="4"/>
    <n v="0"/>
    <n v="31"/>
    <n v="6"/>
    <n v="3"/>
    <n v="3"/>
    <n v="3222"/>
    <n v="0"/>
    <n v="3222"/>
    <n v="0.78600000000000003"/>
    <n v="5154"/>
    <n v="80"/>
    <n v="0.77800000000000002"/>
    <n v="0"/>
    <n v="3.0250999999999998E-4"/>
    <n v="0.99970000000000003"/>
    <s v="1.6712645726493636"/>
    <s v="23.649255757364315"/>
    <s v="55.75232319265598"/>
    <s v="7.939564327438155"/>
    <n v="778131333"/>
    <x v="0"/>
    <n v="6.9517245999999998E-4"/>
    <x v="0"/>
  </r>
  <r>
    <n v="42"/>
    <n v="1"/>
    <n v="3"/>
    <n v="3"/>
    <n v="1"/>
    <n v="1"/>
    <n v="0"/>
    <n v="30"/>
    <n v="3"/>
    <n v="3"/>
    <n v="4"/>
    <n v="4333"/>
    <n v="739"/>
    <n v="3594"/>
    <n v="0.69"/>
    <n v="15903"/>
    <n v="100"/>
    <n v="0.754"/>
    <n v="0.17100000000000001"/>
    <n v="5.2052000000000001E-4"/>
    <n v="0.99948000000000004"/>
    <s v="40.55582021124451"/>
    <s v="13.278637357456038"/>
    <s v="82.09514157694349"/>
    <n v="9.5837186594896195"/>
    <n v="718299933"/>
    <x v="0"/>
    <n v="5.8825010000000005E-4"/>
    <x v="0"/>
  </r>
  <r>
    <n v="32"/>
    <n v="1"/>
    <n v="0"/>
    <n v="3"/>
    <n v="1"/>
    <n v="1"/>
    <n v="0"/>
    <n v="28"/>
    <n v="5"/>
    <n v="1"/>
    <n v="2"/>
    <n v="3172"/>
    <n v="2055"/>
    <n v="1117"/>
    <n v="0.66300000000000003"/>
    <n v="1939"/>
    <n v="36"/>
    <n v="0.63600000000000001"/>
    <n v="0.64800000000000002"/>
    <s v="4.5946e-05"/>
    <n v="0.99995000000000001"/>
    <s v="26.56544993532477"/>
    <s v="9.667458197170244"/>
    <s v="26.796677241612965"/>
    <s v="14.873678272711816"/>
    <n v="821771508"/>
    <x v="0"/>
    <n v="1.174137E-3"/>
    <x v="0"/>
  </r>
  <r>
    <n v="37"/>
    <n v="1"/>
    <n v="3"/>
    <n v="6"/>
    <n v="1"/>
    <n v="2"/>
    <n v="0"/>
    <n v="24"/>
    <n v="3"/>
    <n v="1"/>
    <n v="2"/>
    <n v="11894"/>
    <n v="816"/>
    <n v="11078"/>
    <n v="1.5609999999999999"/>
    <n v="2438"/>
    <n v="45"/>
    <n v="0.60699999999999998"/>
    <n v="6.9000000000000006E-2"/>
    <s v="6.282e-05"/>
    <n v="0.99994000000000005"/>
    <s v="11.745983355913085"/>
    <s v="12.933382388080442"/>
    <s v="42.969757392157874"/>
    <s v="16.16568301518462"/>
    <n v="719999508"/>
    <x v="0"/>
    <n v="2.1143224999999998E-3"/>
    <x v="0"/>
  </r>
  <r>
    <n v="43"/>
    <n v="0"/>
    <n v="3"/>
    <n v="5"/>
    <n v="2"/>
    <n v="4"/>
    <n v="0"/>
    <n v="25"/>
    <n v="2"/>
    <n v="3"/>
    <n v="3"/>
    <n v="1616"/>
    <n v="966"/>
    <n v="650"/>
    <n v="0.64700000000000002"/>
    <n v="4774"/>
    <n v="74"/>
    <n v="0.80500000000000005"/>
    <n v="0.59799999999999998"/>
    <n v="3.2275000000000001E-4"/>
    <n v="0.99968000000000001"/>
    <s v="21.224492931446544"/>
    <s v="32.30310851636037"/>
    <s v="76.43159211895463"/>
    <s v="17.96694831291862"/>
    <n v="779158533"/>
    <x v="0"/>
    <n v="3.8272605000000003E-4"/>
    <x v="0"/>
  </r>
  <r>
    <n v="39"/>
    <n v="0"/>
    <n v="4"/>
    <n v="5"/>
    <n v="2"/>
    <n v="4"/>
    <n v="0"/>
    <n v="36"/>
    <n v="5"/>
    <n v="3"/>
    <n v="4"/>
    <n v="1623"/>
    <n v="729"/>
    <n v="894"/>
    <n v="0.88600000000000001"/>
    <n v="4423"/>
    <n v="65"/>
    <n v="0.80600000000000005"/>
    <n v="0.44900000000000001"/>
    <n v="5.5639999999999997E-4"/>
    <n v="0.99944"/>
    <s v="1.6947598163492643"/>
    <s v="30.362394396103173"/>
    <s v="18.163665139983404"/>
    <s v="5.1533343012773285"/>
    <n v="719699208"/>
    <x v="0"/>
    <n v="5.4678856000000002E-4"/>
    <x v="0"/>
  </r>
  <r>
    <n v="57"/>
    <n v="0"/>
    <n v="4"/>
    <n v="4"/>
    <n v="2"/>
    <n v="1"/>
    <n v="0"/>
    <n v="48"/>
    <n v="4"/>
    <n v="2"/>
    <n v="1"/>
    <n v="2576"/>
    <n v="1678"/>
    <n v="898"/>
    <n v="0.77100000000000002"/>
    <n v="3913"/>
    <n v="86"/>
    <n v="0.72"/>
    <n v="0.65100000000000002"/>
    <s v="8.4706e-05"/>
    <n v="0.99992000000000003"/>
    <s v="24.950068440988677"/>
    <s v="3.267919862333031"/>
    <n v="75.199349989347894"/>
    <s v="18.694031160643604"/>
    <n v="715784808"/>
    <x v="0"/>
    <n v="3.2101269999999999E-4"/>
    <x v="0"/>
  </r>
  <r>
    <n v="64"/>
    <n v="0"/>
    <n v="1"/>
    <n v="5"/>
    <n v="1"/>
    <n v="1"/>
    <n v="0"/>
    <n v="52"/>
    <n v="6"/>
    <n v="2"/>
    <n v="2"/>
    <n v="4999"/>
    <n v="2299"/>
    <n v="2700"/>
    <n v="0.71599999999999997"/>
    <n v="1601"/>
    <n v="48"/>
    <n v="0.5"/>
    <n v="0.46"/>
    <n v="1.0985E-4"/>
    <n v="0.99988999999999995"/>
    <s v="36.43503504637606"/>
    <s v="66.00149340622838"/>
    <s v="45.32633546944664"/>
    <s v="19.44942159396662"/>
    <n v="715937133"/>
    <x v="0"/>
    <n v="1.2315542E-3"/>
    <x v="0"/>
  </r>
  <r>
    <n v="55"/>
    <n v="0"/>
    <n v="4"/>
    <n v="0"/>
    <n v="2"/>
    <n v="5"/>
    <n v="0"/>
    <n v="36"/>
    <n v="5"/>
    <n v="3"/>
    <n v="3"/>
    <n v="7790"/>
    <n v="753"/>
    <n v="7037"/>
    <n v="0.96799999999999997"/>
    <n v="4835"/>
    <n v="84"/>
    <n v="0.82599999999999996"/>
    <n v="9.7000000000000003E-2"/>
    <n v="3.0844999999999999E-4"/>
    <n v="0.99968999999999997"/>
    <s v="40.47445329005786"/>
    <s v="28.475993545136078"/>
    <s v="45.87381396426689"/>
    <s v="15.469233071725936"/>
    <n v="716641983"/>
    <x v="0"/>
    <n v="5.7288585000000005E-4"/>
    <x v="0"/>
  </r>
  <r>
    <n v="55"/>
    <n v="0"/>
    <n v="1"/>
    <n v="2"/>
    <n v="2"/>
    <n v="5"/>
    <n v="0"/>
    <n v="49"/>
    <n v="1"/>
    <n v="4"/>
    <n v="3"/>
    <n v="2721"/>
    <n v="0"/>
    <n v="2721"/>
    <n v="0.50800000000000001"/>
    <n v="5443"/>
    <n v="73"/>
    <n v="0.97299999999999998"/>
    <n v="0"/>
    <n v="3.4315000000000002E-4"/>
    <n v="0.99965999999999999"/>
    <s v="16.100690255158522"/>
    <s v="33.315361583158534"/>
    <s v="10.375877331046873"/>
    <n v="20.335280311733602"/>
    <n v="709200633"/>
    <x v="0"/>
    <n v="1.2090505000000001E-3"/>
    <x v="0"/>
  </r>
  <r>
    <n v="41"/>
    <n v="0"/>
    <n v="2"/>
    <n v="3"/>
    <n v="0"/>
    <n v="4"/>
    <n v="0"/>
    <n v="28"/>
    <n v="4"/>
    <n v="2"/>
    <n v="2"/>
    <n v="1478"/>
    <n v="524"/>
    <n v="954"/>
    <n v="0.751"/>
    <n v="2180"/>
    <n v="46"/>
    <n v="0.64300000000000002"/>
    <n v="0.35499999999999998"/>
    <n v="0.99104000000000003"/>
    <n v="8.9599999999999992E-3"/>
    <s v="3.869495972053875"/>
    <s v="8.336354849875242"/>
    <s v="29.13522042600873"/>
    <s v="3.5230831073014235"/>
    <n v="709101258"/>
    <x v="1"/>
    <n v="0.99824679999999999"/>
    <x v="1"/>
  </r>
  <r>
    <n v="34"/>
    <n v="0"/>
    <n v="3"/>
    <n v="3"/>
    <n v="3"/>
    <n v="5"/>
    <n v="0"/>
    <n v="15"/>
    <n v="5"/>
    <n v="1"/>
    <n v="3"/>
    <n v="1438.3"/>
    <n v="0"/>
    <n v="1438.3"/>
    <n v="0.68899999999999995"/>
    <n v="2819"/>
    <n v="48"/>
    <n v="0.6"/>
    <n v="0"/>
    <n v="0.98941000000000001"/>
    <n v="1.059E-2"/>
    <n v="12.237519847069599"/>
    <s v="5.942466219699099"/>
    <n v="41.7920715870763"/>
    <n v="8.5748487449608497"/>
    <n v="779104608"/>
    <x v="1"/>
    <n v="0.99845563999999998"/>
    <x v="1"/>
  </r>
  <r>
    <n v="44"/>
    <n v="1"/>
    <n v="4"/>
    <n v="3"/>
    <n v="2"/>
    <n v="2"/>
    <n v="1"/>
    <n v="29"/>
    <n v="1"/>
    <n v="2"/>
    <n v="1"/>
    <n v="34516"/>
    <n v="1930"/>
    <n v="32586"/>
    <n v="0.61499999999999999"/>
    <n v="12478"/>
    <n v="97"/>
    <n v="0.76400000000000001"/>
    <n v="5.6000000000000001E-2"/>
    <s v="8.0627e-05"/>
    <n v="0.99992000000000003"/>
    <s v="33.459695810116976"/>
    <s v="11.503881405472567"/>
    <s v="15.998998373864517"/>
    <s v="15.49758631152143"/>
    <n v="712152408"/>
    <x v="0"/>
    <n v="4.1022256E-4"/>
    <x v="0"/>
  </r>
  <r>
    <n v="48"/>
    <n v="0"/>
    <n v="3"/>
    <n v="2"/>
    <n v="2"/>
    <n v="4"/>
    <n v="0"/>
    <n v="42"/>
    <n v="2"/>
    <n v="2"/>
    <n v="1"/>
    <n v="2214"/>
    <n v="1025"/>
    <n v="1189"/>
    <n v="0.56699999999999995"/>
    <n v="5084"/>
    <n v="82"/>
    <n v="0.745"/>
    <n v="0.46300000000000002"/>
    <s v="7.1226e-05"/>
    <n v="0.99992999999999999"/>
    <s v="16.088972437848714"/>
    <s v="2.708466487317009"/>
    <s v="143.31113140994597"/>
    <s v="5.6531783380742775"/>
    <n v="793379058"/>
    <x v="0"/>
    <n v="3.2101269999999999E-4"/>
    <x v="0"/>
  </r>
  <r>
    <n v="47"/>
    <n v="1"/>
    <n v="2"/>
    <n v="6"/>
    <n v="2"/>
    <n v="3"/>
    <n v="0"/>
    <n v="41"/>
    <n v="6"/>
    <n v="2"/>
    <n v="4"/>
    <n v="10606"/>
    <n v="1713"/>
    <n v="8893"/>
    <n v="0.89900000000000002"/>
    <n v="2694"/>
    <n v="61"/>
    <n v="0.90600000000000003"/>
    <n v="0.16200000000000001"/>
    <n v="3.5893999999999998E-4"/>
    <n v="0.99963999999999997"/>
    <s v="34.69383663101097"/>
    <s v="39.94908202108578"/>
    <s v="137.02861680507783"/>
    <s v="5.704742207058567"/>
    <n v="797166633"/>
    <x v="0"/>
    <n v="4.2477261999999998E-4"/>
    <x v="0"/>
  </r>
  <r>
    <n v="58"/>
    <n v="0"/>
    <n v="3"/>
    <n v="2"/>
    <n v="1"/>
    <n v="4"/>
    <n v="0"/>
    <n v="47"/>
    <n v="1"/>
    <n v="2"/>
    <n v="1"/>
    <n v="6765"/>
    <n v="0"/>
    <n v="6765"/>
    <n v="0.73899999999999999"/>
    <n v="14133"/>
    <n v="124"/>
    <n v="0.77100000000000002"/>
    <n v="0"/>
    <s v="7.1226e-05"/>
    <n v="0.99992999999999999"/>
    <s v="13.259982593206434"/>
    <s v="63.180776227788655"/>
    <s v="64.49173704061732"/>
    <s v="15.23051849785934"/>
    <n v="716372358"/>
    <x v="0"/>
    <n v="7.5047980000000002E-4"/>
    <x v="0"/>
  </r>
  <r>
    <n v="40"/>
    <n v="0"/>
    <n v="2"/>
    <n v="2"/>
    <n v="2"/>
    <n v="4"/>
    <n v="0"/>
    <n v="29"/>
    <n v="4"/>
    <n v="3"/>
    <n v="2"/>
    <n v="2295"/>
    <n v="0"/>
    <n v="2295"/>
    <n v="0.69899999999999995"/>
    <n v="3292"/>
    <n v="62"/>
    <n v="0.82399999999999995"/>
    <n v="0"/>
    <n v="1.7987E-4"/>
    <n v="0.99982000000000004"/>
    <n v="10.153442158904699"/>
    <n v="98.162721482476201"/>
    <s v="51.17973293333371"/>
    <s v="2.9182667316299944"/>
    <n v="711990933"/>
    <x v="0"/>
    <n v="8.1245880000000001E-4"/>
    <x v="0"/>
  </r>
  <r>
    <n v="41"/>
    <n v="1"/>
    <n v="3"/>
    <n v="3"/>
    <n v="1"/>
    <n v="3"/>
    <n v="0"/>
    <n v="33"/>
    <n v="2"/>
    <n v="1"/>
    <n v="1"/>
    <n v="13818"/>
    <n v="609"/>
    <n v="13209"/>
    <n v="0.78700000000000003"/>
    <n v="13209"/>
    <n v="101"/>
    <n v="0.65600000000000003"/>
    <n v="4.3999999999999997E-2"/>
    <s v="3.3505e-05"/>
    <n v="0.99997000000000003"/>
    <s v="21.603627735599996"/>
    <s v="16.943673342859984"/>
    <s v="163.17655451115982"/>
    <s v="5.837309017267644"/>
    <n v="709514433"/>
    <x v="0"/>
    <n v="6.772878E-4"/>
    <x v="0"/>
  </r>
  <r>
    <n v="62"/>
    <n v="0"/>
    <n v="0"/>
    <n v="2"/>
    <n v="2"/>
    <n v="5"/>
    <n v="0"/>
    <n v="36"/>
    <n v="5"/>
    <n v="2"/>
    <n v="4"/>
    <n v="2870"/>
    <n v="2284"/>
    <n v="586"/>
    <n v="0.66100000000000003"/>
    <n v="3946"/>
    <n v="74"/>
    <n v="0.57399999999999995"/>
    <n v="0.79600000000000004"/>
    <n v="2.8024000000000001E-4"/>
    <n v="0.99972000000000005"/>
    <s v="4.144679426275155"/>
    <s v="8.302122027551013"/>
    <s v="61.321101922794206"/>
    <s v="8.701938372689147"/>
    <n v="713407458"/>
    <x v="0"/>
    <n v="3.2914013999999999E-4"/>
    <x v="0"/>
  </r>
  <r>
    <n v="43"/>
    <n v="0"/>
    <n v="4"/>
    <n v="0"/>
    <n v="3"/>
    <n v="1"/>
    <n v="0"/>
    <n v="39"/>
    <n v="4"/>
    <n v="1"/>
    <n v="3"/>
    <n v="1438.3"/>
    <n v="0"/>
    <n v="1438.3"/>
    <n v="0.68"/>
    <n v="4528"/>
    <n v="83"/>
    <n v="1.1279999999999999"/>
    <n v="0"/>
    <s v="9.4455e-05"/>
    <n v="0.99990999999999997"/>
    <s v="16.54844269446279"/>
    <s v="39.89662459539866"/>
    <s v="5.304130992734199"/>
    <s v="9.150592161063296"/>
    <n v="823609383"/>
    <x v="0"/>
    <n v="6.9517245999999998E-4"/>
    <x v="0"/>
  </r>
  <r>
    <n v="62"/>
    <n v="0"/>
    <n v="1"/>
    <n v="2"/>
    <n v="1"/>
    <n v="4"/>
    <n v="0"/>
    <n v="50"/>
    <n v="6"/>
    <n v="6"/>
    <n v="4"/>
    <n v="2802"/>
    <n v="1977"/>
    <n v="825"/>
    <n v="0.43099999999999999"/>
    <n v="1757"/>
    <n v="33"/>
    <n v="0.83299999999999996"/>
    <n v="0.70599999999999996"/>
    <n v="3.8237999999999998E-4"/>
    <n v="0.99961999999999995"/>
    <n v="24.211166966647799"/>
    <s v="10.912812676228327"/>
    <n v="43.663784287560397"/>
    <s v="0.7627168803106132"/>
    <n v="771693933"/>
    <x v="0"/>
    <n v="9.8706899999999992E-4"/>
    <x v="0"/>
  </r>
  <r>
    <n v="34"/>
    <n v="1"/>
    <n v="3"/>
    <n v="3"/>
    <n v="1"/>
    <n v="2"/>
    <n v="0"/>
    <n v="26"/>
    <n v="4"/>
    <n v="3"/>
    <n v="3"/>
    <n v="3265"/>
    <n v="2517"/>
    <n v="748"/>
    <n v="0.95199999999999996"/>
    <n v="1843"/>
    <n v="35"/>
    <n v="0.94399999999999995"/>
    <n v="0.77100000000000002"/>
    <n v="3.0516000000000001E-4"/>
    <n v="0.99968999999999997"/>
    <s v="45.76674288061994"/>
    <s v="58.74125278916076"/>
    <s v="36.36896731516453"/>
    <s v="7.851641251473602"/>
    <n v="788194458"/>
    <x v="0"/>
    <n v="1.0254878999999999E-3"/>
    <x v="0"/>
  </r>
  <r>
    <n v="44"/>
    <n v="0"/>
    <n v="4"/>
    <n v="1"/>
    <n v="1"/>
    <n v="1"/>
    <n v="0"/>
    <n v="30"/>
    <n v="1"/>
    <n v="3"/>
    <n v="1"/>
    <n v="6329"/>
    <n v="1643"/>
    <n v="4686"/>
    <n v="0.70599999999999996"/>
    <n v="8514"/>
    <n v="109"/>
    <n v="0.73"/>
    <n v="0.26"/>
    <n v="1.6463E-4"/>
    <n v="0.99983999999999995"/>
    <n v="2.5466793390942901"/>
    <s v="80.49805169777504"/>
    <s v="13.460207281693885"/>
    <s v="14.408371389338226"/>
    <n v="720735408"/>
    <x v="0"/>
    <n v="3.6856539999999998E-4"/>
    <x v="0"/>
  </r>
  <r>
    <n v="43"/>
    <n v="1"/>
    <n v="3"/>
    <n v="6"/>
    <n v="0"/>
    <n v="3"/>
    <n v="0"/>
    <n v="36"/>
    <n v="5"/>
    <n v="2"/>
    <n v="3"/>
    <n v="13625"/>
    <n v="0"/>
    <n v="13625"/>
    <n v="0.93"/>
    <n v="3902"/>
    <n v="62"/>
    <n v="0.63200000000000001"/>
    <n v="0"/>
    <n v="2.1834E-4"/>
    <n v="0.99978"/>
    <s v="0.1990829236564931"/>
    <s v="55.44848536958034"/>
    <s v="10.825483971808538"/>
    <s v="2.4712317197846114"/>
    <n v="719876808"/>
    <x v="0"/>
    <n v="8.7364484000000003E-4"/>
    <x v="0"/>
  </r>
  <r>
    <n v="54"/>
    <n v="0"/>
    <n v="3"/>
    <n v="2"/>
    <n v="1"/>
    <n v="5"/>
    <n v="0"/>
    <n v="49"/>
    <n v="5"/>
    <n v="1"/>
    <n v="2"/>
    <n v="11905"/>
    <n v="0"/>
    <n v="11905"/>
    <n v="0.88100000000000001"/>
    <n v="4022"/>
    <n v="65"/>
    <n v="1.167"/>
    <n v="0"/>
    <s v="5.7151e-05"/>
    <n v="0.99994000000000005"/>
    <s v="14.889885367914006"/>
    <s v="3.805626947409535"/>
    <s v="84.13343438078786"/>
    <s v="4.960141563938511"/>
    <n v="806232408"/>
    <x v="0"/>
    <n v="7.8500515999999998E-4"/>
    <x v="0"/>
  </r>
  <r>
    <n v="44"/>
    <n v="0"/>
    <n v="4"/>
    <n v="5"/>
    <n v="1"/>
    <n v="4"/>
    <n v="0"/>
    <n v="26"/>
    <n v="4"/>
    <n v="1"/>
    <n v="2"/>
    <n v="4726"/>
    <n v="1551"/>
    <n v="3175"/>
    <n v="0.54400000000000004"/>
    <n v="3658"/>
    <n v="70"/>
    <n v="0.628"/>
    <n v="0.32800000000000001"/>
    <s v="5.9391e-05"/>
    <n v="0.99994000000000005"/>
    <s v="10.11727296316464"/>
    <s v="14.815606922015116"/>
    <s v="72.72827232703975"/>
    <n v="8.8749499367496103"/>
    <n v="715363908"/>
    <x v="0"/>
    <n v="3.2914013999999999E-4"/>
    <x v="0"/>
  </r>
  <r>
    <n v="48"/>
    <n v="1"/>
    <n v="3"/>
    <n v="3"/>
    <n v="1"/>
    <n v="2"/>
    <n v="0"/>
    <n v="39"/>
    <n v="4"/>
    <n v="3"/>
    <n v="2"/>
    <n v="5448"/>
    <n v="0"/>
    <n v="5448"/>
    <n v="0.54900000000000004"/>
    <n v="3912"/>
    <n v="72"/>
    <n v="0.56499999999999995"/>
    <n v="0"/>
    <n v="1.8144999999999999E-4"/>
    <n v="0.99982000000000004"/>
    <s v="19.926588400954024"/>
    <s v="12.063175780154486"/>
    <s v="66.32143315730885"/>
    <s v="3.669539495265492"/>
    <n v="719239158"/>
    <x v="0"/>
    <n v="7.387203E-4"/>
    <x v="0"/>
  </r>
  <r>
    <n v="56"/>
    <n v="1"/>
    <n v="3"/>
    <n v="5"/>
    <n v="1"/>
    <n v="0"/>
    <n v="0"/>
    <n v="36"/>
    <n v="6"/>
    <n v="3"/>
    <n v="3"/>
    <n v="34516"/>
    <n v="1047"/>
    <n v="33469"/>
    <n v="0.61"/>
    <n v="1378"/>
    <n v="30"/>
    <n v="0.42899999999999999"/>
    <n v="0.03"/>
    <n v="3.2275000000000001E-4"/>
    <n v="0.99968000000000001"/>
    <s v="31.30564649044744"/>
    <s v="23.89577508934601"/>
    <s v="55.415049365377214"/>
    <s v="5.899406947679161"/>
    <n v="715973583"/>
    <x v="0"/>
    <n v="1.3335287000000001E-3"/>
    <x v="0"/>
  </r>
  <r>
    <n v="56"/>
    <n v="1"/>
    <n v="0"/>
    <n v="3"/>
    <n v="3"/>
    <n v="0"/>
    <n v="0"/>
    <n v="49"/>
    <n v="2"/>
    <n v="2"/>
    <n v="2"/>
    <n v="34516"/>
    <n v="2156"/>
    <n v="32360"/>
    <n v="0.69799999999999995"/>
    <n v="8766"/>
    <n v="78"/>
    <n v="0.81399999999999995"/>
    <n v="6.2E-2"/>
    <s v="9.4951e-05"/>
    <n v="0.99990999999999997"/>
    <s v="11.77934958016886"/>
    <s v="30.29354158646597"/>
    <s v="1.9422711666967436"/>
    <s v="8.291685066416708"/>
    <n v="708697983"/>
    <x v="0"/>
    <n v="6.2157260000000002E-4"/>
    <x v="0"/>
  </r>
  <r>
    <n v="57"/>
    <n v="0"/>
    <n v="2"/>
    <n v="2"/>
    <n v="2"/>
    <n v="4"/>
    <n v="0"/>
    <n v="50"/>
    <n v="6"/>
    <n v="5"/>
    <n v="2"/>
    <n v="1438.3"/>
    <n v="876"/>
    <n v="562.29999999999995"/>
    <n v="0.69299999999999995"/>
    <n v="4815"/>
    <n v="62"/>
    <n v="0.67600000000000005"/>
    <n v="0.60899999999999999"/>
    <n v="2.009E-4"/>
    <n v="0.99980000000000002"/>
    <s v="23.60559182381324"/>
    <s v="0.9721064354203104"/>
    <s v="55.94936246979495"/>
    <s v="19.33085860995301"/>
    <n v="788519958"/>
    <x v="0"/>
    <n v="4.5696449999999998E-4"/>
    <x v="0"/>
  </r>
  <r>
    <n v="46"/>
    <n v="0"/>
    <n v="2"/>
    <n v="0"/>
    <n v="0"/>
    <n v="4"/>
    <n v="0"/>
    <n v="31"/>
    <n v="6"/>
    <n v="1"/>
    <n v="2"/>
    <n v="1852"/>
    <n v="1428"/>
    <n v="424"/>
    <n v="0.79500000000000004"/>
    <n v="4486"/>
    <n v="61"/>
    <n v="0.84799999999999998"/>
    <n v="0.77100000000000002"/>
    <s v="5.3547e-05"/>
    <n v="0.99995000000000001"/>
    <s v="25.88924650016537"/>
    <s v="8.960619911753115"/>
    <s v="81.01692545191406"/>
    <s v="17.384037733112965"/>
    <n v="713607108"/>
    <x v="0"/>
    <n v="3.479205E-4"/>
    <x v="0"/>
  </r>
  <r>
    <n v="41"/>
    <n v="1"/>
    <n v="4"/>
    <n v="2"/>
    <n v="1"/>
    <n v="3"/>
    <n v="3"/>
    <n v="28"/>
    <n v="3"/>
    <n v="2"/>
    <n v="3"/>
    <n v="34516"/>
    <n v="825"/>
    <n v="33691"/>
    <n v="0.61599999999999999"/>
    <n v="2022"/>
    <n v="52"/>
    <n v="0.73299999999999998"/>
    <n v="2.4E-2"/>
    <n v="0.99451999999999996"/>
    <n v="5.4799999999999996E-3"/>
    <s v="38.629149454410765"/>
    <s v="20.407405361999125"/>
    <s v="66.17575755777432"/>
    <s v="10.146630195317464"/>
    <n v="770968383"/>
    <x v="1"/>
    <n v="0.99630739999999995"/>
    <x v="1"/>
  </r>
  <r>
    <n v="44"/>
    <n v="0"/>
    <n v="3"/>
    <n v="6"/>
    <n v="0"/>
    <n v="4"/>
    <n v="0"/>
    <n v="24"/>
    <n v="4"/>
    <n v="1"/>
    <n v="2"/>
    <n v="2617"/>
    <n v="1508"/>
    <n v="1109"/>
    <n v="1.393"/>
    <n v="4400"/>
    <n v="60"/>
    <n v="0.81799999999999995"/>
    <n v="0.57599999999999996"/>
    <s v="6.282e-05"/>
    <n v="0.99994000000000005"/>
    <s v="52.16996151545813"/>
    <s v="23.446933939682285"/>
    <s v="19.645632635722347"/>
    <n v="5.7921978431204497"/>
    <n v="788756133"/>
    <x v="0"/>
    <n v="3.5501685000000001E-4"/>
    <x v="0"/>
  </r>
  <r>
    <n v="57"/>
    <n v="1"/>
    <n v="4"/>
    <n v="2"/>
    <n v="1"/>
    <n v="3"/>
    <n v="0"/>
    <n v="46"/>
    <n v="3"/>
    <n v="2"/>
    <n v="3"/>
    <n v="19270"/>
    <n v="1662"/>
    <n v="17608"/>
    <n v="1.1859999999999999"/>
    <n v="1565"/>
    <n v="28"/>
    <n v="1.5449999999999999"/>
    <n v="8.5999999999999993E-2"/>
    <n v="2.0076999999999999E-4"/>
    <n v="0.99980000000000002"/>
    <s v="21.93250996058811"/>
    <s v="15.927179473604712"/>
    <s v="146.51643767988566"/>
    <s v="9.739695059972044"/>
    <n v="714490308"/>
    <x v="0"/>
    <n v="1.0543248E-3"/>
    <x v="0"/>
  </r>
  <r>
    <n v="45"/>
    <n v="1"/>
    <n v="2"/>
    <n v="2"/>
    <n v="1"/>
    <n v="0"/>
    <n v="0"/>
    <n v="41"/>
    <n v="4"/>
    <n v="3"/>
    <n v="1"/>
    <n v="16453"/>
    <n v="1660"/>
    <n v="14793"/>
    <n v="0.629"/>
    <n v="14762"/>
    <n v="108"/>
    <n v="0.74199999999999999"/>
    <n v="0.10100000000000001"/>
    <n v="1.0848E-4"/>
    <n v="0.99988999999999995"/>
    <s v="16.739647101094654"/>
    <s v="23.573997758441312"/>
    <s v="40.53663969346166"/>
    <s v="36.53176073244126"/>
    <n v="826148883"/>
    <x v="0"/>
    <n v="3.4656386999999997E-4"/>
    <x v="0"/>
  </r>
  <r>
    <n v="50"/>
    <n v="1"/>
    <n v="2"/>
    <n v="5"/>
    <n v="2"/>
    <n v="0"/>
    <n v="0"/>
    <n v="40"/>
    <n v="5"/>
    <n v="3"/>
    <n v="4"/>
    <n v="21794"/>
    <n v="1368"/>
    <n v="20426"/>
    <n v="0.69099999999999995"/>
    <n v="15111"/>
    <n v="116"/>
    <n v="0.70599999999999996"/>
    <n v="6.3E-2"/>
    <n v="5.3054999999999997E-4"/>
    <n v="0.99946999999999997"/>
    <s v="2.198600040447344"/>
    <s v="20.05249511709608"/>
    <s v="60.28141069462114"/>
    <s v="13.809987533488698"/>
    <n v="718043583"/>
    <x v="0"/>
    <n v="3.8573547000000003E-4"/>
    <x v="0"/>
  </r>
  <r>
    <n v="51"/>
    <n v="0"/>
    <n v="3"/>
    <n v="5"/>
    <n v="3"/>
    <n v="4"/>
    <n v="0"/>
    <n v="36"/>
    <n v="3"/>
    <n v="1"/>
    <n v="2"/>
    <n v="1750"/>
    <n v="813"/>
    <n v="937"/>
    <n v="0.76"/>
    <n v="4333"/>
    <n v="68"/>
    <n v="0.7"/>
    <n v="0.46500000000000002"/>
    <s v="5.8763e-05"/>
    <n v="0.99994000000000005"/>
    <s v="10.08202181638941"/>
    <s v="50.179584279213344"/>
    <s v="19.593830593781583"/>
    <s v="8.043687033374859"/>
    <n v="713247408"/>
    <x v="0"/>
    <n v="5.1030780000000005E-4"/>
    <x v="0"/>
  </r>
  <r>
    <n v="42"/>
    <n v="1"/>
    <n v="3"/>
    <n v="5"/>
    <n v="1"/>
    <n v="1"/>
    <n v="0"/>
    <n v="37"/>
    <n v="2"/>
    <n v="3"/>
    <n v="3"/>
    <n v="4960"/>
    <n v="1724"/>
    <n v="3236"/>
    <n v="0.879"/>
    <n v="8218"/>
    <n v="88"/>
    <n v="0.91300000000000003"/>
    <n v="0.34799999999999998"/>
    <n v="3.2275000000000001E-4"/>
    <n v="0.99968000000000001"/>
    <s v="31.879517091637403"/>
    <s v="11.32854029945708"/>
    <s v="117.60062821953406"/>
    <s v="5.367268025263393"/>
    <n v="819160158"/>
    <x v="0"/>
    <n v="3.6856539999999998E-4"/>
    <x v="0"/>
  </r>
  <r>
    <n v="46"/>
    <n v="0"/>
    <n v="3"/>
    <n v="2"/>
    <n v="2"/>
    <n v="4"/>
    <n v="3"/>
    <n v="39"/>
    <n v="4"/>
    <n v="3"/>
    <n v="2"/>
    <n v="12222"/>
    <n v="1260"/>
    <n v="10962"/>
    <n v="1.1379999999999999"/>
    <n v="3418"/>
    <n v="78"/>
    <n v="0.73299999999999998"/>
    <n v="0.10299999999999999"/>
    <n v="1.6865000000000001E-4"/>
    <n v="0.99983"/>
    <s v="2.211697584497613"/>
    <s v="13.030520852037942"/>
    <s v="50.402297314493126"/>
    <s v="13.489301804613287"/>
    <n v="715690908"/>
    <x v="0"/>
    <n v="3.3750932000000002E-4"/>
    <x v="0"/>
  </r>
  <r>
    <n v="42"/>
    <n v="0"/>
    <n v="5"/>
    <n v="3"/>
    <n v="2"/>
    <n v="5"/>
    <n v="0"/>
    <n v="31"/>
    <n v="6"/>
    <n v="3"/>
    <n v="2"/>
    <n v="4972"/>
    <n v="0"/>
    <n v="4972"/>
    <n v="0.71899999999999997"/>
    <n v="4524"/>
    <n v="72"/>
    <n v="0.75600000000000001"/>
    <n v="0"/>
    <n v="1.8053000000000001E-4"/>
    <n v="0.99982000000000004"/>
    <n v="34.298175906606602"/>
    <s v="43.02672188023168"/>
    <s v="16.165349575767785"/>
    <s v="22.02216673025513"/>
    <n v="712493058"/>
    <x v="0"/>
    <n v="6.9517245999999998E-4"/>
    <x v="0"/>
  </r>
  <r>
    <n v="51"/>
    <n v="0"/>
    <n v="1"/>
    <n v="6"/>
    <n v="1"/>
    <n v="4"/>
    <n v="0"/>
    <n v="32"/>
    <n v="5"/>
    <n v="3"/>
    <n v="3"/>
    <n v="1438.3"/>
    <n v="0"/>
    <n v="1438.3"/>
    <n v="0.90500000000000003"/>
    <n v="2585"/>
    <n v="45"/>
    <n v="0.5"/>
    <n v="0"/>
    <n v="0.99680999999999997"/>
    <n v="3.1927800000000001E-3"/>
    <s v="10.583295827857947"/>
    <s v="97.95593092995028"/>
    <s v="90.10805892089212"/>
    <s v="8.959851858673954"/>
    <n v="778959258"/>
    <x v="1"/>
    <n v="0.99873226999999998"/>
    <x v="1"/>
  </r>
  <r>
    <n v="40"/>
    <n v="1"/>
    <n v="4"/>
    <n v="3"/>
    <n v="2"/>
    <n v="3"/>
    <n v="0"/>
    <n v="29"/>
    <n v="3"/>
    <n v="3"/>
    <n v="2"/>
    <n v="12978"/>
    <n v="0"/>
    <n v="12978"/>
    <n v="0.628"/>
    <n v="14134"/>
    <n v="85"/>
    <n v="0.7"/>
    <n v="0"/>
    <n v="1.8338999999999999E-4"/>
    <n v="0.99982000000000004"/>
    <s v="13.215798532180957"/>
    <s v="98.80554682162516"/>
    <s v="40.962944327324905"/>
    <s v="8.274057322340886"/>
    <n v="718298733"/>
    <x v="0"/>
    <n v="7.5047980000000002E-4"/>
    <x v="0"/>
  </r>
  <r>
    <n v="51"/>
    <n v="1"/>
    <n v="1"/>
    <n v="5"/>
    <n v="2"/>
    <n v="0"/>
    <n v="0"/>
    <n v="36"/>
    <n v="2"/>
    <n v="1"/>
    <n v="3"/>
    <n v="8671"/>
    <n v="590"/>
    <n v="8081"/>
    <n v="0.69299999999999995"/>
    <n v="4399"/>
    <n v="72"/>
    <n v="0.75600000000000001"/>
    <n v="6.8000000000000005E-2"/>
    <s v="8.9404e-05"/>
    <n v="0.99990999999999997"/>
    <s v="5.294450037482179"/>
    <s v="11.038582985776458"/>
    <s v="26.46882768411356"/>
    <s v="3.857771253011977"/>
    <n v="715418508"/>
    <x v="0"/>
    <n v="6.6494016000000005E-4"/>
    <x v="0"/>
  </r>
  <r>
    <n v="41"/>
    <n v="0"/>
    <n v="2"/>
    <n v="3"/>
    <n v="2"/>
    <n v="4"/>
    <n v="0"/>
    <n v="34"/>
    <n v="1"/>
    <n v="3"/>
    <n v="4"/>
    <n v="1661"/>
    <n v="0"/>
    <n v="1661"/>
    <n v="0.78600000000000003"/>
    <n v="2473"/>
    <n v="49"/>
    <n v="0.75"/>
    <n v="0"/>
    <n v="0.99800999999999995"/>
    <n v="1.9885300000000001E-3"/>
    <s v="46.547093306193865"/>
    <s v="46.55617004199178"/>
    <s v="137.8879492689532"/>
    <s v="4.406382536452732"/>
    <n v="767266758"/>
    <x v="1"/>
    <n v="0.99768363999999998"/>
    <x v="1"/>
  </r>
  <r>
    <n v="44"/>
    <n v="0"/>
    <n v="4"/>
    <n v="0"/>
    <n v="1"/>
    <n v="4"/>
    <n v="3"/>
    <n v="37"/>
    <n v="3"/>
    <n v="2"/>
    <n v="2"/>
    <n v="10790"/>
    <n v="1930"/>
    <n v="8860"/>
    <n v="0.75"/>
    <n v="1052"/>
    <n v="16"/>
    <n v="1.286"/>
    <n v="0.17899999999999999"/>
    <n v="1.0486E-4"/>
    <n v="0.99990000000000001"/>
    <s v="22.895857289004745"/>
    <n v="38.116965045187001"/>
    <s v="57.44919131960563"/>
    <s v="2.194511795063212"/>
    <n v="712981383"/>
    <x v="0"/>
    <n v="1.1077088000000001E-3"/>
    <x v="0"/>
  </r>
  <r>
    <n v="60"/>
    <n v="1"/>
    <n v="0"/>
    <n v="5"/>
    <n v="1"/>
    <n v="2"/>
    <n v="0"/>
    <n v="47"/>
    <n v="3"/>
    <n v="3"/>
    <n v="3"/>
    <n v="9452"/>
    <n v="2517"/>
    <n v="6935"/>
    <n v="0.73"/>
    <n v="1825"/>
    <n v="50"/>
    <n v="0.61299999999999999"/>
    <n v="0.26600000000000001"/>
    <n v="2.6692000000000003E-4"/>
    <n v="0.99973000000000001"/>
    <s v="38.85960374083995"/>
    <s v="38.33073207094009"/>
    <s v="68.94603745064612"/>
    <s v="3.7133893457989378"/>
    <n v="712821333"/>
    <x v="0"/>
    <n v="9.3483119999999997E-4"/>
    <x v="0"/>
  </r>
  <r>
    <n v="42"/>
    <n v="0"/>
    <n v="3"/>
    <n v="2"/>
    <n v="1"/>
    <n v="4"/>
    <n v="0"/>
    <n v="35"/>
    <n v="2"/>
    <n v="4"/>
    <n v="3"/>
    <n v="5230"/>
    <n v="2517"/>
    <n v="2713"/>
    <n v="0.93700000000000006"/>
    <n v="9495"/>
    <n v="61"/>
    <n v="0.60499999999999998"/>
    <n v="0.48099999999999998"/>
    <n v="0.99736999999999998"/>
    <n v="2.6281999999999998E-3"/>
    <s v="27.58403128158095"/>
    <s v="22.70180142587058"/>
    <s v="147.5085346245639"/>
    <s v="23.95886242352032"/>
    <n v="757247808"/>
    <x v="1"/>
    <n v="0.99020547000000003"/>
    <x v="1"/>
  </r>
  <r>
    <n v="51"/>
    <n v="0"/>
    <n v="1"/>
    <n v="2"/>
    <n v="1"/>
    <n v="1"/>
    <n v="0"/>
    <n v="43"/>
    <n v="2"/>
    <n v="2"/>
    <n v="2"/>
    <n v="2107"/>
    <n v="1663"/>
    <n v="444"/>
    <n v="0.71199999999999997"/>
    <n v="4841"/>
    <n v="88"/>
    <n v="0.72499999999999998"/>
    <n v="0.78900000000000003"/>
    <n v="1.0684E-4"/>
    <n v="0.99988999999999995"/>
    <s v="5.978337175546147"/>
    <s v="40.20089628706735"/>
    <s v="14.795876944899048"/>
    <s v="2.834462997782378"/>
    <n v="719940483"/>
    <x v="0"/>
    <n v="3.2101269999999999E-4"/>
    <x v="0"/>
  </r>
  <r>
    <n v="58"/>
    <n v="1"/>
    <n v="2"/>
    <n v="5"/>
    <n v="2"/>
    <n v="3"/>
    <n v="0"/>
    <n v="52"/>
    <n v="1"/>
    <n v="2"/>
    <n v="4"/>
    <n v="3091"/>
    <n v="2517"/>
    <n v="574"/>
    <n v="0.60199999999999998"/>
    <n v="1844"/>
    <n v="49"/>
    <n v="0.63300000000000001"/>
    <n v="0.81399999999999995"/>
    <n v="0.99702999999999997"/>
    <n v="2.9684300000000002E-3"/>
    <n v="21.791671555556"/>
    <s v="38.88474775675689"/>
    <s v="35.64616680200121"/>
    <s v="2.908871161359207"/>
    <n v="781306758"/>
    <x v="1"/>
    <n v="0.99268310000000004"/>
    <x v="1"/>
  </r>
  <r>
    <n v="44"/>
    <n v="0"/>
    <n v="1"/>
    <n v="2"/>
    <n v="2"/>
    <n v="4"/>
    <n v="0"/>
    <n v="31"/>
    <n v="2"/>
    <n v="2"/>
    <n v="3"/>
    <n v="1550"/>
    <n v="716"/>
    <n v="834"/>
    <n v="0.749"/>
    <n v="4534"/>
    <n v="87"/>
    <n v="0.97699999999999998"/>
    <n v="0.46200000000000002"/>
    <n v="1.7969000000000001E-4"/>
    <n v="0.99982000000000004"/>
    <s v="8.160133711262871"/>
    <s v="13.158633645009203"/>
    <s v="44.527371347589295"/>
    <s v="1.0043920343674384"/>
    <n v="709061658"/>
    <x v="0"/>
    <n v="5.4489190000000002E-4"/>
    <x v="0"/>
  </r>
  <r>
    <n v="53"/>
    <n v="1"/>
    <n v="1"/>
    <n v="3"/>
    <n v="1"/>
    <n v="0"/>
    <n v="1"/>
    <n v="44"/>
    <n v="1"/>
    <n v="6"/>
    <n v="3"/>
    <n v="34516"/>
    <n v="831"/>
    <n v="33685"/>
    <n v="0.72699999999999998"/>
    <n v="13247"/>
    <n v="107"/>
    <n v="0.754"/>
    <n v="2.4E-2"/>
    <n v="2.5106E-4"/>
    <n v="0.99975000000000003"/>
    <s v="19.855342511891056"/>
    <s v="17.074054568431137"/>
    <s v="0.2134823659742854"/>
    <s v="10.510731823873977"/>
    <n v="708226833"/>
    <x v="0"/>
    <n v="5.8837880000000003E-4"/>
    <x v="0"/>
  </r>
  <r>
    <n v="37"/>
    <n v="1"/>
    <n v="3"/>
    <n v="3"/>
    <n v="1"/>
    <n v="1"/>
    <n v="0"/>
    <n v="36"/>
    <n v="3"/>
    <n v="3"/>
    <n v="3"/>
    <n v="2523"/>
    <n v="2481"/>
    <n v="42"/>
    <n v="0.74399999999999999"/>
    <n v="4683"/>
    <n v="76"/>
    <n v="0.68899999999999995"/>
    <n v="0.98299999999999998"/>
    <n v="3.0516000000000001E-4"/>
    <n v="0.99968999999999997"/>
    <s v="38.33775440678481"/>
    <s v="65.67777154823634"/>
    <s v="59.72071083543384"/>
    <s v="13.02241658918072"/>
    <n v="709153008"/>
    <x v="0"/>
    <n v="3.4692350000000002E-4"/>
    <x v="0"/>
  </r>
  <r>
    <n v="60"/>
    <n v="0"/>
    <n v="1"/>
    <n v="3"/>
    <n v="0"/>
    <n v="4"/>
    <n v="0"/>
    <n v="48"/>
    <n v="5"/>
    <n v="3"/>
    <n v="3"/>
    <n v="2737"/>
    <n v="1812"/>
    <n v="925"/>
    <n v="0.70299999999999996"/>
    <n v="4507"/>
    <n v="86"/>
    <n v="0.95499999999999996"/>
    <n v="0.66200000000000003"/>
    <n v="2.7604000000000002E-4"/>
    <n v="0.99972000000000005"/>
    <n v="7.98784464363185"/>
    <s v="29.527048208326903"/>
    <s v="47.75349210630882"/>
    <s v="10.930143327534152"/>
    <n v="715615233"/>
    <x v="0"/>
    <n v="3.2101269999999999E-4"/>
    <x v="0"/>
  </r>
  <r>
    <n v="56"/>
    <n v="1"/>
    <n v="3"/>
    <n v="5"/>
    <n v="1"/>
    <n v="3"/>
    <n v="0"/>
    <n v="46"/>
    <n v="1"/>
    <n v="3"/>
    <n v="3"/>
    <n v="23240"/>
    <n v="1534"/>
    <n v="21706"/>
    <n v="0.97099999999999997"/>
    <n v="9441"/>
    <n v="82"/>
    <n v="0.90700000000000003"/>
    <n v="6.6000000000000003E-2"/>
    <n v="0.99690999999999996"/>
    <n v="3.08778E-3"/>
    <s v="36.205555983424745"/>
    <s v="47.55483178444143"/>
    <s v="43.99593368711467"/>
    <s v="10.576172455262974"/>
    <n v="714524583"/>
    <x v="1"/>
    <n v="0.98529564999999997"/>
    <x v="1"/>
  </r>
  <r>
    <n v="55"/>
    <n v="0"/>
    <n v="2"/>
    <n v="2"/>
    <n v="3"/>
    <n v="4"/>
    <n v="0"/>
    <n v="50"/>
    <n v="4"/>
    <n v="4"/>
    <n v="3"/>
    <n v="1438.3"/>
    <n v="0"/>
    <n v="1438.3"/>
    <n v="0.63900000000000001"/>
    <n v="1785"/>
    <n v="33"/>
    <n v="0.32"/>
    <n v="0"/>
    <n v="0.99726999999999999"/>
    <n v="2.7269400000000002E-3"/>
    <s v="0.6481497103974876"/>
    <s v="41.13461927798261"/>
    <s v="13.517610445992656"/>
    <n v="3.17557489352986"/>
    <n v="828215508"/>
    <x v="1"/>
    <n v="0.99856453999999994"/>
    <x v="1"/>
  </r>
  <r>
    <n v="49"/>
    <n v="0"/>
    <n v="1"/>
    <n v="2"/>
    <n v="2"/>
    <n v="4"/>
    <n v="0"/>
    <n v="41"/>
    <n v="6"/>
    <n v="1"/>
    <n v="3"/>
    <n v="1438.3"/>
    <n v="0"/>
    <n v="1438.3"/>
    <n v="0.53"/>
    <n v="4538"/>
    <n v="82"/>
    <n v="1.05"/>
    <n v="0"/>
    <s v="8.6952e-05"/>
    <n v="0.99990999999999997"/>
    <s v="37.48610496493931"/>
    <s v="8.509836070833506"/>
    <s v="31.69372893855324"/>
    <s v="14.371872178976089"/>
    <n v="714687858"/>
    <x v="0"/>
    <n v="6.9517245999999998E-4"/>
    <x v="0"/>
  </r>
  <r>
    <n v="42"/>
    <n v="1"/>
    <n v="2"/>
    <n v="3"/>
    <n v="2"/>
    <n v="2"/>
    <n v="0"/>
    <n v="33"/>
    <n v="3"/>
    <n v="3"/>
    <n v="3"/>
    <n v="4836"/>
    <n v="493"/>
    <n v="4343"/>
    <n v="0.41699999999999998"/>
    <n v="1870"/>
    <n v="45"/>
    <n v="0.40600000000000003"/>
    <n v="0.10199999999999999"/>
    <n v="0.99661"/>
    <n v="3.3878799999999998E-3"/>
    <s v="0.5431813821176609"/>
    <s v="19.16596847690232"/>
    <s v="69.48606038202686"/>
    <s v="11.01428212301401"/>
    <n v="713822208"/>
    <x v="1"/>
    <n v="0.99831499999999995"/>
    <x v="1"/>
  </r>
  <r>
    <n v="39"/>
    <n v="1"/>
    <n v="4"/>
    <n v="5"/>
    <n v="1"/>
    <n v="3"/>
    <n v="0"/>
    <n v="27"/>
    <n v="6"/>
    <n v="4"/>
    <n v="2"/>
    <n v="1438.3"/>
    <n v="0"/>
    <n v="1438.3"/>
    <n v="0.79700000000000004"/>
    <n v="4282"/>
    <n v="69"/>
    <n v="0.72499999999999998"/>
    <n v="0"/>
    <n v="2.3440000000000001E-4"/>
    <n v="0.99977000000000005"/>
    <s v="12.75627362332462"/>
    <s v="1.6972151677731366"/>
    <s v="56.58125874567973"/>
    <n v="21.268103360258198"/>
    <n v="717016833"/>
    <x v="0"/>
    <n v="7.4965424999999997E-4"/>
    <x v="0"/>
  </r>
  <r>
    <n v="40"/>
    <n v="1"/>
    <n v="2"/>
    <n v="5"/>
    <n v="2"/>
    <n v="3"/>
    <n v="0"/>
    <n v="36"/>
    <n v="2"/>
    <n v="2"/>
    <n v="1"/>
    <n v="15594"/>
    <n v="1690"/>
    <n v="13904"/>
    <n v="0.69"/>
    <n v="16101"/>
    <n v="127"/>
    <n v="0.60799999999999998"/>
    <n v="0.108"/>
    <s v="7.0576e-05"/>
    <n v="0.99992999999999999"/>
    <s v="1.7595190472476232"/>
    <s v="69.37643165025038"/>
    <s v="40.34278505911067"/>
    <n v="13.350173420871799"/>
    <n v="709013208"/>
    <x v="0"/>
    <n v="3.5533762999999998E-4"/>
    <x v="0"/>
  </r>
  <r>
    <n v="46"/>
    <n v="0"/>
    <n v="4"/>
    <n v="4"/>
    <n v="2"/>
    <n v="4"/>
    <n v="0"/>
    <n v="37"/>
    <n v="3"/>
    <n v="2"/>
    <n v="2"/>
    <n v="1836"/>
    <n v="0"/>
    <n v="1836"/>
    <n v="0.32300000000000001"/>
    <n v="1799"/>
    <n v="28"/>
    <n v="0.16700000000000001"/>
    <n v="0"/>
    <n v="0.99292999999999998"/>
    <n v="7.0699999999999999E-3"/>
    <s v="56.60670569489054"/>
    <s v="19.449984706276982"/>
    <s v="88.22771162215199"/>
    <s v="12.88489932039107"/>
    <n v="713804883"/>
    <x v="1"/>
    <n v="0.99860470000000001"/>
    <x v="1"/>
  </r>
  <r>
    <n v="52"/>
    <n v="0"/>
    <n v="2"/>
    <n v="5"/>
    <n v="1"/>
    <n v="5"/>
    <n v="0"/>
    <n v="36"/>
    <n v="5"/>
    <n v="1"/>
    <n v="2"/>
    <n v="4006"/>
    <n v="2517"/>
    <n v="1489"/>
    <n v="0.55700000000000005"/>
    <n v="1157"/>
    <n v="34"/>
    <n v="0.61899999999999999"/>
    <n v="0.628"/>
    <s v="5.663e-05"/>
    <n v="0.99994000000000005"/>
    <s v="40.34131870968058"/>
    <s v="7.222277596203681"/>
    <s v="118.80938503661528"/>
    <s v="21.261422796832903"/>
    <n v="719327808"/>
    <x v="0"/>
    <n v="1.1011294999999999E-3"/>
    <x v="0"/>
  </r>
  <r>
    <n v="50"/>
    <n v="0"/>
    <n v="1"/>
    <n v="2"/>
    <n v="2"/>
    <n v="4"/>
    <n v="0"/>
    <n v="37"/>
    <n v="4"/>
    <n v="3"/>
    <n v="4"/>
    <n v="3277"/>
    <n v="2481"/>
    <n v="796"/>
    <n v="0.60599999999999998"/>
    <n v="3965"/>
    <n v="59"/>
    <n v="0.84399999999999997"/>
    <n v="0.75700000000000001"/>
    <n v="4.8434999999999998E-4"/>
    <n v="0.99951999999999996"/>
    <s v="1.3164606130555447"/>
    <s v="4.875145815042759"/>
    <s v="12.310275941890875"/>
    <s v="3.3753086798988257"/>
    <n v="719627133"/>
    <x v="0"/>
    <n v="4.1625992E-4"/>
    <x v="0"/>
  </r>
  <r>
    <n v="44"/>
    <n v="0"/>
    <n v="1"/>
    <n v="5"/>
    <n v="0"/>
    <n v="4"/>
    <n v="0"/>
    <n v="37"/>
    <n v="1"/>
    <n v="2"/>
    <n v="3"/>
    <n v="5594"/>
    <n v="1235"/>
    <n v="4359"/>
    <n v="0.54900000000000004"/>
    <n v="5220"/>
    <n v="75"/>
    <n v="0.82899999999999996"/>
    <n v="0.221"/>
    <n v="1.8474999999999999E-4"/>
    <n v="0.99982000000000004"/>
    <s v="16.027552447678566"/>
    <s v="87.44501904723214"/>
    <s v="32.419777303917314"/>
    <s v="3.0596087587668768"/>
    <n v="720503508"/>
    <x v="0"/>
    <n v="3.2101269999999999E-4"/>
    <x v="0"/>
  </r>
  <r>
    <n v="34"/>
    <n v="0"/>
    <n v="2"/>
    <n v="3"/>
    <n v="2"/>
    <n v="4"/>
    <n v="0"/>
    <n v="24"/>
    <n v="4"/>
    <n v="1"/>
    <n v="0"/>
    <n v="2799"/>
    <n v="0"/>
    <n v="2799"/>
    <n v="0.69599999999999995"/>
    <n v="2311"/>
    <n v="43"/>
    <n v="0.65400000000000003"/>
    <n v="0"/>
    <s v="1.975e-05"/>
    <n v="0.99997999999999998"/>
    <s v="11.793928666672084"/>
    <s v="16.80278945471955"/>
    <s v="70.72983320309199"/>
    <s v="6.291233448629077"/>
    <n v="772571508"/>
    <x v="0"/>
    <n v="4.1765780000000002E-3"/>
    <x v="0"/>
  </r>
  <r>
    <n v="49"/>
    <n v="1"/>
    <n v="2"/>
    <n v="6"/>
    <n v="2"/>
    <n v="2"/>
    <n v="0"/>
    <n v="38"/>
    <n v="4"/>
    <n v="1"/>
    <n v="2"/>
    <n v="2461"/>
    <n v="1586"/>
    <n v="875"/>
    <n v="1.6759999999999999"/>
    <n v="1729"/>
    <n v="35"/>
    <n v="0.75"/>
    <n v="0.64400000000000002"/>
    <s v="6.054e-05"/>
    <n v="0.99994000000000005"/>
    <s v="14.603183733390845"/>
    <n v="5.2819754216223398"/>
    <n v="6.3252019073236703"/>
    <s v="4.325663634743418"/>
    <n v="717581658"/>
    <x v="0"/>
    <n v="1.0337284E-3"/>
    <x v="0"/>
  </r>
  <r>
    <n v="51"/>
    <n v="1"/>
    <n v="2"/>
    <n v="0"/>
    <n v="1"/>
    <n v="3"/>
    <n v="0"/>
    <n v="45"/>
    <n v="3"/>
    <n v="3"/>
    <n v="1"/>
    <n v="21543"/>
    <n v="0"/>
    <n v="21543"/>
    <n v="0.53"/>
    <n v="3928"/>
    <n v="82"/>
    <n v="0.64"/>
    <n v="0"/>
    <n v="1.0546E-4"/>
    <n v="0.99988999999999995"/>
    <s v="1.2992098669084378"/>
    <s v="73.64997081873497"/>
    <s v="28.489268813404205"/>
    <s v="6.935647482566063"/>
    <n v="786536808"/>
    <x v="0"/>
    <n v="7.1276520000000004E-4"/>
    <x v="0"/>
  </r>
  <r>
    <n v="49"/>
    <n v="1"/>
    <n v="2"/>
    <n v="2"/>
    <n v="1"/>
    <n v="0"/>
    <n v="0"/>
    <n v="40"/>
    <n v="2"/>
    <n v="4"/>
    <n v="1"/>
    <n v="14646"/>
    <n v="1448"/>
    <n v="13198"/>
    <n v="0.89500000000000002"/>
    <n v="8160"/>
    <n v="92"/>
    <n v="0.58599999999999997"/>
    <n v="9.9000000000000005E-2"/>
    <n v="1.3109999999999999E-4"/>
    <n v="0.99987000000000004"/>
    <s v="10.657065692710017"/>
    <s v="18.62429306456141"/>
    <s v="39.16463652842977"/>
    <s v="8.949094701480705"/>
    <n v="713302758"/>
    <x v="0"/>
    <n v="3.9731347000000001E-4"/>
    <x v="0"/>
  </r>
  <r>
    <n v="59"/>
    <n v="0"/>
    <n v="1"/>
    <n v="0"/>
    <n v="2"/>
    <n v="4"/>
    <n v="0"/>
    <n v="48"/>
    <n v="5"/>
    <n v="2"/>
    <n v="0"/>
    <n v="2601"/>
    <n v="1888"/>
    <n v="713"/>
    <n v="0.77300000000000002"/>
    <n v="4899"/>
    <n v="62"/>
    <n v="0.77100000000000002"/>
    <n v="0.72599999999999998"/>
    <s v="3.8315e-05"/>
    <n v="0.99995999999999996"/>
    <s v="17.22538897568724"/>
    <n v="67.164028037964201"/>
    <s v="32.782513588279485"/>
    <n v="5.7946974438370598"/>
    <n v="772189308"/>
    <x v="0"/>
    <n v="3.479205E-4"/>
    <x v="0"/>
  </r>
  <r>
    <n v="55"/>
    <n v="1"/>
    <n v="2"/>
    <n v="5"/>
    <n v="2"/>
    <n v="2"/>
    <n v="3"/>
    <n v="48"/>
    <n v="5"/>
    <n v="3"/>
    <n v="3"/>
    <n v="34516"/>
    <n v="1384"/>
    <n v="33132"/>
    <n v="0.625"/>
    <n v="3807"/>
    <n v="82"/>
    <n v="0.86399999999999999"/>
    <n v="0.04"/>
    <n v="2.8104999999999997E-4"/>
    <n v="0.99972000000000005"/>
    <s v="9.327855834504517"/>
    <s v="40.30895553036496"/>
    <s v="49.64548810715562"/>
    <s v="7.405399027193601"/>
    <n v="788440083"/>
    <x v="0"/>
    <n v="3.5729867999999997E-4"/>
    <x v="0"/>
  </r>
  <r>
    <n v="50"/>
    <n v="0"/>
    <n v="4"/>
    <n v="1"/>
    <n v="1"/>
    <n v="5"/>
    <n v="3"/>
    <n v="36"/>
    <n v="3"/>
    <n v="2"/>
    <n v="1"/>
    <n v="34516"/>
    <n v="2096"/>
    <n v="32420"/>
    <n v="0.66600000000000004"/>
    <n v="7042"/>
    <n v="73"/>
    <n v="0.55300000000000005"/>
    <n v="6.0999999999999999E-2"/>
    <s v="9.4127e-05"/>
    <n v="0.99990999999999997"/>
    <s v="7.668361328876095"/>
    <s v="22.90162741606526"/>
    <s v="18.649116523508425"/>
    <s v="2.9039896336139925"/>
    <n v="719658858"/>
    <x v="0"/>
    <n v="6.3730389999999996E-4"/>
    <x v="0"/>
  </r>
  <r>
    <n v="32"/>
    <n v="0"/>
    <n v="1"/>
    <n v="2"/>
    <n v="1"/>
    <n v="4"/>
    <n v="0"/>
    <n v="20"/>
    <n v="3"/>
    <n v="1"/>
    <n v="4"/>
    <n v="5497"/>
    <n v="1735"/>
    <n v="3762"/>
    <n v="0.66400000000000003"/>
    <n v="16266"/>
    <n v="124"/>
    <n v="0.77100000000000002"/>
    <n v="0.316"/>
    <n v="1.4834000000000001E-4"/>
    <n v="0.99985000000000002"/>
    <s v="4.169144564914626"/>
    <s v="13.17220516522888"/>
    <s v="45.984840282216496"/>
    <s v="17.474828825934246"/>
    <n v="719941533"/>
    <x v="0"/>
    <n v="3.4656386999999997E-4"/>
    <x v="0"/>
  </r>
  <r>
    <n v="43"/>
    <n v="0"/>
    <n v="2"/>
    <n v="5"/>
    <n v="0"/>
    <n v="4"/>
    <n v="0"/>
    <n v="25"/>
    <n v="5"/>
    <n v="2"/>
    <n v="4"/>
    <n v="2086"/>
    <n v="2007"/>
    <n v="79"/>
    <n v="1.0509999999999999"/>
    <n v="2537"/>
    <n v="48"/>
    <n v="0.6"/>
    <n v="0.96199999999999997"/>
    <n v="0.99702999999999997"/>
    <n v="2.9684300000000002E-3"/>
    <s v="47.62464673264377"/>
    <n v="58.233626347489803"/>
    <s v="8.246411229974553"/>
    <s v="18.40777414594692"/>
    <n v="710289783"/>
    <x v="1"/>
    <n v="0.99341809999999997"/>
    <x v="1"/>
  </r>
  <r>
    <n v="50"/>
    <n v="0"/>
    <n v="1"/>
    <n v="1"/>
    <n v="1"/>
    <n v="5"/>
    <n v="0"/>
    <n v="37"/>
    <n v="6"/>
    <n v="4"/>
    <n v="3"/>
    <n v="4181"/>
    <n v="0"/>
    <n v="4181"/>
    <n v="0.91200000000000003"/>
    <n v="3057"/>
    <n v="54"/>
    <n v="0.68799999999999994"/>
    <n v="0"/>
    <n v="4.9651000000000003E-4"/>
    <n v="0.99950000000000006"/>
    <s v="51.58499776193316"/>
    <s v="52.98682499558226"/>
    <s v="31.00298551361776"/>
    <s v="12.851706979705831"/>
    <n v="719929758"/>
    <x v="0"/>
    <n v="1.8217657E-3"/>
    <x v="0"/>
  </r>
  <r>
    <n v="48"/>
    <n v="0"/>
    <n v="2"/>
    <n v="2"/>
    <n v="2"/>
    <n v="4"/>
    <n v="0"/>
    <n v="41"/>
    <n v="4"/>
    <n v="2"/>
    <n v="3"/>
    <n v="2168"/>
    <n v="1323"/>
    <n v="845"/>
    <n v="0.68700000000000006"/>
    <n v="2499"/>
    <n v="38"/>
    <n v="0.40699999999999997"/>
    <n v="0.61"/>
    <n v="0.99480000000000002"/>
    <n v="5.1999999999999998E-3"/>
    <s v="46.828298727286175"/>
    <s v="22.93443406084408"/>
    <s v="73.01919096227823"/>
    <s v="16.421752629317755"/>
    <n v="715162608"/>
    <x v="1"/>
    <n v="0.99573140000000004"/>
    <x v="1"/>
  </r>
  <r>
    <n v="39"/>
    <n v="0"/>
    <n v="1"/>
    <n v="2"/>
    <n v="3"/>
    <n v="4"/>
    <n v="0"/>
    <n v="36"/>
    <n v="3"/>
    <n v="4"/>
    <n v="1"/>
    <n v="6690"/>
    <n v="1912"/>
    <n v="4778"/>
    <n v="0.60899999999999999"/>
    <n v="3875"/>
    <n v="60"/>
    <n v="0.53800000000000003"/>
    <n v="0.28599999999999998"/>
    <n v="1.2305000000000001E-4"/>
    <n v="0.99987999999999999"/>
    <s v="14.894111720221026"/>
    <s v="46.32961436445832"/>
    <s v="58.97027601586904"/>
    <s v="2.3193305958231862"/>
    <n v="711765708"/>
    <x v="0"/>
    <n v="3.7165708000000002E-4"/>
    <x v="0"/>
  </r>
  <r>
    <n v="42"/>
    <n v="0"/>
    <n v="2"/>
    <n v="2"/>
    <n v="1"/>
    <n v="4"/>
    <n v="0"/>
    <n v="23"/>
    <n v="3"/>
    <n v="3"/>
    <n v="3"/>
    <n v="1929"/>
    <n v="1673"/>
    <n v="256"/>
    <n v="0.83499999999999996"/>
    <n v="857"/>
    <n v="36"/>
    <n v="1.1180000000000001"/>
    <n v="0.86699999999999999"/>
    <n v="0.99670999999999998"/>
    <n v="3.29379E-3"/>
    <s v="10.451363767790498"/>
    <s v="45.89217449581137"/>
    <s v="7.013323348478373"/>
    <s v="5.427772865597486"/>
    <n v="778868958"/>
    <x v="1"/>
    <n v="0.99422659999999996"/>
    <x v="1"/>
  </r>
  <r>
    <n v="48"/>
    <n v="1"/>
    <n v="4"/>
    <n v="2"/>
    <n v="2"/>
    <n v="3"/>
    <n v="0"/>
    <n v="36"/>
    <n v="6"/>
    <n v="4"/>
    <n v="1"/>
    <n v="22067"/>
    <n v="685"/>
    <n v="21382"/>
    <n v="0.60499999999999998"/>
    <n v="3577"/>
    <n v="64"/>
    <n v="0.88200000000000001"/>
    <n v="3.1E-2"/>
    <n v="1.3749000000000001E-4"/>
    <n v="0.99985999999999997"/>
    <s v="2.4619375695043937"/>
    <n v="52.254033019159401"/>
    <s v="135.14691265034372"/>
    <s v="3.2126492859200404"/>
    <n v="716498883"/>
    <x v="0"/>
    <n v="6.3760979999999997E-4"/>
    <x v="0"/>
  </r>
  <r>
    <n v="43"/>
    <n v="0"/>
    <n v="3"/>
    <n v="2"/>
    <n v="1"/>
    <n v="4"/>
    <n v="0"/>
    <n v="34"/>
    <n v="6"/>
    <n v="2"/>
    <n v="1"/>
    <n v="2725"/>
    <n v="2517"/>
    <n v="208"/>
    <n v="0.48199999999999998"/>
    <n v="4430"/>
    <n v="66"/>
    <n v="0.69199999999999995"/>
    <n v="0.92400000000000004"/>
    <s v="7.1226e-05"/>
    <n v="0.99992999999999999"/>
    <s v="8.127416533703236"/>
    <s v="13.426872203992692"/>
    <s v="20.602043650868065"/>
    <s v="1.8119982016340008"/>
    <n v="714144258"/>
    <x v="0"/>
    <n v="3.4692350000000002E-4"/>
    <x v="0"/>
  </r>
  <r>
    <n v="33"/>
    <n v="1"/>
    <n v="2"/>
    <n v="4"/>
    <n v="2"/>
    <n v="3"/>
    <n v="0"/>
    <n v="24"/>
    <n v="2"/>
    <n v="3"/>
    <n v="2"/>
    <n v="4178"/>
    <n v="2463"/>
    <n v="1715"/>
    <n v="0.81499999999999995"/>
    <n v="16216"/>
    <n v="107"/>
    <n v="0.81399999999999995"/>
    <n v="0.59"/>
    <n v="2.1164999999999999E-4"/>
    <n v="0.99978999999999996"/>
    <s v="64.59981948249316"/>
    <s v="48.72786784476388"/>
    <s v="63.25385811908816"/>
    <s v="10.727041278140993"/>
    <n v="757786608"/>
    <x v="0"/>
    <n v="3.7453471999999999E-4"/>
    <x v="0"/>
  </r>
  <r>
    <n v="40"/>
    <n v="1"/>
    <n v="4"/>
    <n v="0"/>
    <n v="1"/>
    <n v="1"/>
    <n v="3"/>
    <n v="34"/>
    <n v="3"/>
    <n v="2"/>
    <n v="1"/>
    <n v="15471"/>
    <n v="1291"/>
    <n v="14180"/>
    <n v="0.65100000000000002"/>
    <n v="3993"/>
    <n v="77"/>
    <n v="0.67400000000000004"/>
    <n v="8.3000000000000004E-2"/>
    <s v="6.3239e-05"/>
    <n v="0.99994000000000005"/>
    <n v="39.368787646256003"/>
    <s v="12.267893989259337"/>
    <s v="17.39243647707435"/>
    <s v="11.305788904047578"/>
    <n v="767958933"/>
    <x v="0"/>
    <n v="3.3885973999999997E-4"/>
    <x v="0"/>
  </r>
  <r>
    <n v="47"/>
    <n v="0"/>
    <n v="5"/>
    <n v="1"/>
    <n v="2"/>
    <n v="5"/>
    <n v="0"/>
    <n v="36"/>
    <n v="4"/>
    <n v="1"/>
    <n v="4"/>
    <n v="26923"/>
    <n v="2461"/>
    <n v="24462"/>
    <n v="0.60199999999999998"/>
    <n v="13643"/>
    <n v="94"/>
    <n v="0.91800000000000004"/>
    <n v="9.0999999999999998E-2"/>
    <n v="2.3609999999999999E-4"/>
    <n v="0.99975999999999998"/>
    <s v="21.05068205134937"/>
    <s v="16.95397781435179"/>
    <s v="23.15221562566324"/>
    <s v="3.237879065657664"/>
    <n v="712260633"/>
    <x v="0"/>
    <n v="3.8527976999999999E-4"/>
    <x v="0"/>
  </r>
  <r>
    <n v="52"/>
    <n v="1"/>
    <n v="1"/>
    <n v="0"/>
    <n v="1"/>
    <n v="3"/>
    <n v="0"/>
    <n v="48"/>
    <n v="4"/>
    <n v="3"/>
    <n v="3"/>
    <n v="2066"/>
    <n v="1601"/>
    <n v="465"/>
    <n v="0.74199999999999999"/>
    <n v="1578"/>
    <n v="41"/>
    <n v="0.41399999999999998"/>
    <n v="0.77500000000000002"/>
    <n v="2.7607E-4"/>
    <n v="0.99972000000000005"/>
    <s v="1.6048351406785706"/>
    <s v="27.51583589185288"/>
    <s v="1.7612752615975555"/>
    <s v="13.012934407382488"/>
    <n v="826478958"/>
    <x v="0"/>
    <n v="1.1982243E-3"/>
    <x v="0"/>
  </r>
  <r>
    <n v="55"/>
    <n v="1"/>
    <n v="3"/>
    <n v="2"/>
    <n v="1"/>
    <n v="3"/>
    <n v="0"/>
    <n v="36"/>
    <n v="4"/>
    <n v="3"/>
    <n v="4"/>
    <n v="2801"/>
    <n v="2403"/>
    <n v="398"/>
    <n v="0.88400000000000001"/>
    <n v="1526"/>
    <n v="44"/>
    <n v="1"/>
    <n v="0.85799999999999998"/>
    <n v="5.3543000000000004E-4"/>
    <n v="0.99946000000000002"/>
    <s v="18.941589796704346"/>
    <s v="35.885931047559616"/>
    <s v="130.19373072511652"/>
    <s v="13.180133501680576"/>
    <n v="710233683"/>
    <x v="0"/>
    <n v="9.8706899999999992E-4"/>
    <x v="0"/>
  </r>
  <r>
    <n v="62"/>
    <n v="1"/>
    <n v="0"/>
    <n v="2"/>
    <n v="1"/>
    <n v="1"/>
    <n v="0"/>
    <n v="48"/>
    <n v="5"/>
    <n v="1"/>
    <n v="5"/>
    <n v="2591"/>
    <n v="0"/>
    <n v="2591"/>
    <n v="0.60099999999999998"/>
    <n v="2123"/>
    <n v="56"/>
    <n v="0.69699999999999995"/>
    <n v="0"/>
    <n v="2.3467E-4"/>
    <n v="0.99977000000000005"/>
    <s v="17.451960450810624"/>
    <s v="81.60670453575017"/>
    <s v="125.89800838614242"/>
    <s v="7.659550371237314"/>
    <n v="770871708"/>
    <x v="0"/>
    <n v="1.7208092999999999E-3"/>
    <x v="0"/>
  </r>
  <r>
    <n v="62"/>
    <n v="0"/>
    <n v="0"/>
    <n v="2"/>
    <n v="0"/>
    <n v="4"/>
    <n v="0"/>
    <n v="56"/>
    <n v="3"/>
    <n v="1"/>
    <n v="1"/>
    <n v="2230"/>
    <n v="1716"/>
    <n v="514"/>
    <n v="0.81100000000000005"/>
    <n v="4027"/>
    <n v="75"/>
    <n v="0.5"/>
    <n v="0.77"/>
    <s v="2.8501e-05"/>
    <n v="0.99997000000000003"/>
    <s v="23.950002405410988"/>
    <s v="41.94618012407676"/>
    <s v="23.22288341347008"/>
    <s v="2.380167572584175"/>
    <n v="823590483"/>
    <x v="0"/>
    <n v="3.5747702000000001E-4"/>
    <x v="0"/>
  </r>
  <r>
    <n v="59"/>
    <n v="0"/>
    <n v="2"/>
    <n v="5"/>
    <n v="2"/>
    <n v="4"/>
    <n v="0"/>
    <n v="54"/>
    <n v="5"/>
    <n v="1"/>
    <n v="2"/>
    <n v="9344"/>
    <n v="1334"/>
    <n v="8010"/>
    <n v="0.375"/>
    <n v="4154"/>
    <n v="60"/>
    <n v="0.81799999999999995"/>
    <n v="0.14299999999999999"/>
    <s v="5.663e-05"/>
    <n v="0.99994000000000005"/>
    <s v="13.356881318941625"/>
    <s v="21.10534373230788"/>
    <s v="44.88333184059309"/>
    <s v="19.025389313119845"/>
    <n v="820346133"/>
    <x v="0"/>
    <n v="3.6248067000000002E-4"/>
    <x v="0"/>
  </r>
  <r>
    <n v="47"/>
    <n v="1"/>
    <n v="2"/>
    <n v="2"/>
    <n v="3"/>
    <n v="1"/>
    <n v="0"/>
    <n v="37"/>
    <n v="3"/>
    <n v="3"/>
    <n v="1"/>
    <n v="2335"/>
    <n v="1373"/>
    <n v="962"/>
    <n v="0.876"/>
    <n v="4267"/>
    <n v="81"/>
    <n v="0.65300000000000002"/>
    <n v="0.58799999999999997"/>
    <n v="1.0848E-4"/>
    <n v="0.99988999999999995"/>
    <s v="40.14396544259196"/>
    <s v="26.480843067311103"/>
    <s v="4.235775825839086"/>
    <s v="10.58648085759536"/>
    <n v="717985158"/>
    <x v="0"/>
    <n v="3.2101269999999999E-4"/>
    <x v="0"/>
  </r>
  <r>
    <n v="53"/>
    <n v="0"/>
    <n v="3"/>
    <n v="2"/>
    <n v="0"/>
    <n v="4"/>
    <n v="0"/>
    <n v="42"/>
    <n v="3"/>
    <n v="2"/>
    <n v="4"/>
    <n v="1529"/>
    <n v="563"/>
    <n v="966"/>
    <n v="0.78500000000000003"/>
    <n v="4220"/>
    <n v="83"/>
    <n v="0.84399999999999997"/>
    <n v="0.36799999999999999"/>
    <n v="3.3886000000000002E-4"/>
    <n v="0.99965999999999999"/>
    <s v="3.982200393340903"/>
    <s v="1.5629386112050176"/>
    <s v="0.3729105074049053"/>
    <s v="6.596175321556394"/>
    <n v="710538183"/>
    <x v="0"/>
    <n v="6.2459736000000004E-4"/>
    <x v="0"/>
  </r>
  <r>
    <n v="37"/>
    <n v="0"/>
    <n v="2"/>
    <n v="3"/>
    <n v="1"/>
    <n v="5"/>
    <n v="0"/>
    <n v="27"/>
    <n v="2"/>
    <n v="1"/>
    <n v="2"/>
    <n v="5245"/>
    <n v="1044"/>
    <n v="4201"/>
    <n v="0.67300000000000004"/>
    <n v="4938"/>
    <n v="70"/>
    <n v="0.89200000000000002"/>
    <n v="0.19900000000000001"/>
    <s v="5.3542e-05"/>
    <n v="0.99995000000000001"/>
    <s v="23.48748829375116"/>
    <s v="27.07017794086908"/>
    <s v="43.973925299864256"/>
    <s v="5.471704860529149"/>
    <n v="778163508"/>
    <x v="0"/>
    <n v="3.2101269999999999E-4"/>
    <x v="0"/>
  </r>
  <r>
    <n v="60"/>
    <n v="1"/>
    <n v="0"/>
    <n v="2"/>
    <n v="2"/>
    <n v="4"/>
    <n v="3"/>
    <n v="47"/>
    <n v="1"/>
    <n v="1"/>
    <n v="3"/>
    <n v="14002"/>
    <n v="1413"/>
    <n v="12589"/>
    <n v="0.621"/>
    <n v="13849"/>
    <n v="128"/>
    <n v="0.88200000000000001"/>
    <n v="0.10100000000000001"/>
    <s v="7.1828e-05"/>
    <n v="0.99992999999999999"/>
    <s v="61.22525242405876"/>
    <s v="108.6941903608228"/>
    <s v="154.8884256481343"/>
    <s v="12.465179950967247"/>
    <n v="712231308"/>
    <x v="0"/>
    <n v="3.4656386999999997E-4"/>
    <x v="0"/>
  </r>
  <r>
    <n v="30"/>
    <n v="1"/>
    <n v="0"/>
    <n v="6"/>
    <n v="2"/>
    <n v="1"/>
    <n v="0"/>
    <n v="20"/>
    <n v="3"/>
    <n v="1"/>
    <n v="3"/>
    <n v="6607"/>
    <n v="2517"/>
    <n v="4090"/>
    <n v="0.85399999999999998"/>
    <n v="3046"/>
    <n v="73"/>
    <n v="0.78"/>
    <n v="0.38100000000000001"/>
    <s v="8.7379e-05"/>
    <n v="0.99990999999999997"/>
    <s v="25.855608656903847"/>
    <n v="93.591279698536397"/>
    <s v="74.28839887477618"/>
    <s v="8.175022028571663"/>
    <n v="710979033"/>
    <x v="0"/>
    <n v="3.774022E-4"/>
    <x v="0"/>
  </r>
  <r>
    <n v="40"/>
    <n v="0"/>
    <n v="3"/>
    <n v="2"/>
    <n v="2"/>
    <n v="4"/>
    <n v="0"/>
    <n v="31"/>
    <n v="5"/>
    <n v="3"/>
    <n v="2"/>
    <n v="2391"/>
    <n v="0"/>
    <n v="2391"/>
    <n v="0.66900000000000004"/>
    <n v="2857"/>
    <n v="40"/>
    <n v="0.6"/>
    <n v="0"/>
    <n v="0.99467000000000005"/>
    <n v="5.3299999999999997E-3"/>
    <s v="4.916251348131902"/>
    <s v="4.694818045561558"/>
    <s v="34.67493502410072"/>
    <s v="1.1224923628993415"/>
    <n v="711150333"/>
    <x v="1"/>
    <n v="0.99845563999999998"/>
    <x v="1"/>
  </r>
  <r>
    <n v="57"/>
    <n v="0"/>
    <n v="4"/>
    <n v="3"/>
    <n v="1"/>
    <n v="1"/>
    <n v="0"/>
    <n v="47"/>
    <n v="5"/>
    <n v="2"/>
    <n v="4"/>
    <n v="6803"/>
    <n v="1332"/>
    <n v="5471"/>
    <n v="0.80900000000000005"/>
    <n v="1476"/>
    <n v="30"/>
    <n v="0.57899999999999996"/>
    <n v="0.19600000000000001"/>
    <n v="3.3293999999999999E-4"/>
    <n v="0.99966999999999995"/>
    <s v="30.791137824559783"/>
    <s v="32.050096996494965"/>
    <s v="9.923932730685742"/>
    <s v="5.769659679706822"/>
    <n v="789833583"/>
    <x v="0"/>
    <n v="1.0598798E-3"/>
    <x v="0"/>
  </r>
  <r>
    <n v="63"/>
    <n v="0"/>
    <n v="0"/>
    <n v="5"/>
    <n v="1"/>
    <n v="5"/>
    <n v="0"/>
    <n v="54"/>
    <n v="5"/>
    <n v="3"/>
    <n v="2"/>
    <n v="11827"/>
    <n v="0"/>
    <n v="11827"/>
    <n v="0.92100000000000004"/>
    <n v="1395"/>
    <n v="37"/>
    <n v="0.60899999999999999"/>
    <n v="0"/>
    <n v="1.5871E-4"/>
    <n v="0.99983999999999995"/>
    <s v="12.574360265952294"/>
    <s v="15.555585030558472"/>
    <s v="30.537429798670757"/>
    <n v="8.1973890388953308"/>
    <n v="780557658"/>
    <x v="0"/>
    <n v="3.8659226000000001E-3"/>
    <x v="0"/>
  </r>
  <r>
    <n v="57"/>
    <n v="1"/>
    <n v="2"/>
    <n v="5"/>
    <n v="2"/>
    <n v="2"/>
    <n v="0"/>
    <n v="36"/>
    <n v="1"/>
    <n v="1"/>
    <n v="3"/>
    <n v="23058"/>
    <n v="1534"/>
    <n v="21524"/>
    <n v="0.70099999999999996"/>
    <n v="7009"/>
    <n v="82"/>
    <n v="0.70799999999999996"/>
    <n v="6.7000000000000004E-2"/>
    <s v="9.5249e-05"/>
    <n v="0.99990000000000001"/>
    <n v="58.317516333551303"/>
    <s v="76.21984284177049"/>
    <s v="58.180040485446895"/>
    <s v="10.426368165182922"/>
    <n v="716258358"/>
    <x v="0"/>
    <n v="4.1022256E-4"/>
    <x v="0"/>
  </r>
  <r>
    <n v="50"/>
    <n v="1"/>
    <n v="2"/>
    <n v="2"/>
    <n v="1"/>
    <n v="3"/>
    <n v="0"/>
    <n v="37"/>
    <n v="6"/>
    <n v="2"/>
    <n v="1"/>
    <n v="1438.3"/>
    <n v="862"/>
    <n v="576.29999999999995"/>
    <n v="0.65"/>
    <n v="1391"/>
    <n v="40"/>
    <n v="0.21199999999999999"/>
    <n v="0.59899999999999998"/>
    <s v="6.864e-05"/>
    <n v="0.99992999999999999"/>
    <s v="53.49590909521558"/>
    <s v="51.80123192369096"/>
    <s v="68.63277097238716"/>
    <s v="2.9628136292581995"/>
    <n v="710404533"/>
    <x v="0"/>
    <n v="1.8868185999999999E-3"/>
    <x v="0"/>
  </r>
  <r>
    <n v="43"/>
    <n v="0"/>
    <n v="4"/>
    <n v="5"/>
    <n v="1"/>
    <n v="4"/>
    <n v="0"/>
    <n v="36"/>
    <n v="2"/>
    <n v="1"/>
    <n v="1"/>
    <n v="9684"/>
    <n v="2475"/>
    <n v="7209"/>
    <n v="0.69699999999999995"/>
    <n v="1400"/>
    <n v="31"/>
    <n v="2.1"/>
    <n v="0.25600000000000001"/>
    <s v="3.5816e-05"/>
    <n v="0.99995999999999996"/>
    <s v="7.886132211116975"/>
    <s v="5.4495935062035326"/>
    <s v="64.09222884858468"/>
    <s v="6.513437969113747"/>
    <n v="711109908"/>
    <x v="0"/>
    <n v="1.2758437000000001E-3"/>
    <x v="0"/>
  </r>
  <r>
    <n v="46"/>
    <n v="1"/>
    <n v="2"/>
    <n v="5"/>
    <n v="3"/>
    <n v="2"/>
    <n v="0"/>
    <n v="30"/>
    <n v="4"/>
    <n v="3"/>
    <n v="2"/>
    <n v="1438.3"/>
    <n v="681"/>
    <n v="757.3"/>
    <n v="0.73099999999999998"/>
    <n v="2527"/>
    <n v="38"/>
    <n v="0.58299999999999996"/>
    <n v="0.47299999999999998"/>
    <n v="0.99461999999999995"/>
    <n v="5.3800000000000002E-3"/>
    <n v="22.988029613947798"/>
    <s v="71.36038669423775"/>
    <s v="135.34806141355304"/>
    <n v="4.7667244804089899"/>
    <n v="718437033"/>
    <x v="1"/>
    <n v="0.9972434"/>
    <x v="1"/>
  </r>
  <r>
    <n v="57"/>
    <n v="1"/>
    <n v="4"/>
    <n v="2"/>
    <n v="2"/>
    <n v="0"/>
    <n v="0"/>
    <n v="52"/>
    <n v="2"/>
    <n v="3"/>
    <n v="2"/>
    <n v="25808"/>
    <n v="0"/>
    <n v="25808"/>
    <n v="0.71199999999999997"/>
    <n v="7794"/>
    <n v="94"/>
    <n v="0.84299999999999997"/>
    <n v="0"/>
    <n v="1.8864000000000001E-4"/>
    <n v="0.99980999999999998"/>
    <s v="7.4361373586195105"/>
    <s v="21.92658856462584"/>
    <s v="59.79276203187269"/>
    <n v="7.6028314404350201"/>
    <n v="812443458"/>
    <x v="0"/>
    <n v="7.9810305E-4"/>
    <x v="0"/>
  </r>
  <r>
    <n v="42"/>
    <n v="1"/>
    <n v="4"/>
    <n v="6"/>
    <n v="1"/>
    <n v="2"/>
    <n v="0"/>
    <n v="32"/>
    <n v="1"/>
    <n v="1"/>
    <n v="2"/>
    <n v="9906"/>
    <n v="1759"/>
    <n v="8147"/>
    <n v="0.78500000000000003"/>
    <n v="4033"/>
    <n v="76"/>
    <n v="1"/>
    <n v="0.17799999999999999"/>
    <s v="6.3492e-05"/>
    <n v="0.99994000000000005"/>
    <s v="10.597659072956592"/>
    <s v="42.89016841266697"/>
    <s v="111.3213109860412"/>
    <s v="5.758571266639144"/>
    <n v="714741933"/>
    <x v="0"/>
    <n v="3.2101269999999999E-4"/>
    <x v="0"/>
  </r>
  <r>
    <n v="46"/>
    <n v="1"/>
    <n v="4"/>
    <n v="3"/>
    <n v="1"/>
    <n v="0"/>
    <n v="0"/>
    <n v="30"/>
    <n v="3"/>
    <n v="3"/>
    <n v="3"/>
    <n v="2442"/>
    <n v="0"/>
    <n v="2442"/>
    <n v="0.98"/>
    <n v="701"/>
    <n v="19"/>
    <n v="0.72699999999999998"/>
    <n v="0"/>
    <n v="0.99677000000000004"/>
    <n v="3.2308599999999999E-3"/>
    <s v="8.649112909693102"/>
    <s v="68.41613630650073"/>
    <s v="107.65317799822826"/>
    <s v="19.56803569657176"/>
    <n v="712125258"/>
    <x v="1"/>
    <n v="0.99847240000000004"/>
    <x v="1"/>
  </r>
  <r>
    <n v="42"/>
    <n v="1"/>
    <n v="4"/>
    <n v="5"/>
    <n v="1"/>
    <n v="2"/>
    <n v="0"/>
    <n v="36"/>
    <n v="5"/>
    <n v="3"/>
    <n v="3"/>
    <n v="2966"/>
    <n v="2371"/>
    <n v="595"/>
    <n v="0.96899999999999997"/>
    <n v="4416"/>
    <n v="83"/>
    <n v="0.84399999999999997"/>
    <n v="0.79900000000000004"/>
    <n v="3.2620000000000001E-4"/>
    <n v="0.99966999999999995"/>
    <s v="8.391340441961495"/>
    <s v="5.321316007162533"/>
    <s v="96.90060577974924"/>
    <n v="15.898157694354801"/>
    <n v="719557983"/>
    <x v="0"/>
    <n v="3.221314E-4"/>
    <x v="0"/>
  </r>
  <r>
    <n v="37"/>
    <n v="0"/>
    <n v="1"/>
    <n v="2"/>
    <n v="3"/>
    <n v="1"/>
    <n v="0"/>
    <n v="30"/>
    <n v="5"/>
    <n v="3"/>
    <n v="4"/>
    <n v="13355"/>
    <n v="1631"/>
    <n v="11724"/>
    <n v="1.113"/>
    <n v="1921"/>
    <n v="37"/>
    <n v="0.85"/>
    <n v="0.122"/>
    <n v="4.8434999999999998E-4"/>
    <n v="0.99951999999999996"/>
    <s v="5.427257230070014"/>
    <s v="54.35363803829892"/>
    <s v="30.25765959395989"/>
    <s v="13.618298914744283"/>
    <n v="758408883"/>
    <x v="0"/>
    <n v="9.8768230000000003E-4"/>
    <x v="0"/>
  </r>
  <r>
    <n v="42"/>
    <n v="0"/>
    <n v="1"/>
    <n v="0"/>
    <n v="1"/>
    <n v="5"/>
    <n v="0"/>
    <n v="33"/>
    <n v="4"/>
    <n v="4"/>
    <n v="3"/>
    <n v="3119"/>
    <n v="1328"/>
    <n v="1791"/>
    <n v="0.96699999999999997"/>
    <n v="4659"/>
    <n v="82"/>
    <n v="0.67300000000000004"/>
    <n v="0.42599999999999999"/>
    <n v="3.3362000000000002E-4"/>
    <n v="0.99966999999999995"/>
    <s v="23.90981308972002"/>
    <s v="44.67759783563889"/>
    <s v="48.939494293634446"/>
    <s v="15.369649955317191"/>
    <n v="708611733"/>
    <x v="0"/>
    <n v="3.221314E-4"/>
    <x v="0"/>
  </r>
  <r>
    <n v="56"/>
    <n v="0"/>
    <n v="3"/>
    <n v="2"/>
    <n v="2"/>
    <n v="4"/>
    <n v="0"/>
    <n v="49"/>
    <n v="4"/>
    <n v="3"/>
    <n v="1"/>
    <n v="2433"/>
    <n v="1947"/>
    <n v="486"/>
    <n v="0.81599999999999995"/>
    <n v="4269"/>
    <n v="88"/>
    <n v="0.76"/>
    <n v="0.8"/>
    <n v="1.1256000000000001E-4"/>
    <n v="0.99988999999999995"/>
    <s v="17.398615858924472"/>
    <s v="30.57942274735068"/>
    <s v="29.935379207257004"/>
    <s v="2.365728960318278"/>
    <n v="747107508"/>
    <x v="0"/>
    <n v="3.2101269999999999E-4"/>
    <x v="0"/>
  </r>
  <r>
    <n v="48"/>
    <n v="0"/>
    <n v="5"/>
    <n v="3"/>
    <n v="1"/>
    <n v="1"/>
    <n v="0"/>
    <n v="36"/>
    <n v="3"/>
    <n v="2"/>
    <n v="1"/>
    <n v="1610"/>
    <n v="0"/>
    <n v="1610"/>
    <n v="0.42399999999999999"/>
    <n v="4243"/>
    <n v="85"/>
    <n v="0.84799999999999998"/>
    <n v="0"/>
    <s v="6.889e-05"/>
    <n v="0.99992999999999999"/>
    <s v="3.884973852689608"/>
    <s v="96.08467672037467"/>
    <s v="108.0278892590332"/>
    <s v="25.308768441323785"/>
    <n v="716249508"/>
    <x v="0"/>
    <n v="6.9517245999999998E-4"/>
    <x v="0"/>
  </r>
  <r>
    <n v="48"/>
    <n v="0"/>
    <n v="3"/>
    <n v="2"/>
    <n v="1"/>
    <n v="1"/>
    <n v="0"/>
    <n v="39"/>
    <n v="2"/>
    <n v="4"/>
    <n v="3"/>
    <n v="6235"/>
    <n v="0"/>
    <n v="6235"/>
    <n v="0.84799999999999998"/>
    <n v="1225"/>
    <n v="34"/>
    <n v="0.47799999999999998"/>
    <n v="0"/>
    <n v="0.99736999999999998"/>
    <n v="2.6281999999999998E-3"/>
    <s v="23.78613040741145"/>
    <s v="69.80896841854977"/>
    <s v="28.54500097807857"/>
    <s v="10.19370360196473"/>
    <n v="716448783"/>
    <x v="1"/>
    <n v="0.99868020000000002"/>
    <x v="1"/>
  </r>
  <r>
    <n v="60"/>
    <n v="0"/>
    <n v="2"/>
    <n v="3"/>
    <n v="1"/>
    <n v="4"/>
    <n v="0"/>
    <n v="36"/>
    <n v="4"/>
    <n v="3"/>
    <n v="2"/>
    <n v="3460"/>
    <n v="2517"/>
    <n v="943"/>
    <n v="1.1439999999999999"/>
    <n v="1752"/>
    <n v="34"/>
    <n v="1.125"/>
    <n v="0.72699999999999998"/>
    <n v="1.7485999999999999E-4"/>
    <n v="0.99983"/>
    <s v="2.555791236125347"/>
    <s v="42.95033883032912"/>
    <s v="32.52838976222589"/>
    <s v="2.9253022587100843"/>
    <n v="714886533"/>
    <x v="0"/>
    <n v="1.0254878999999999E-3"/>
    <x v="0"/>
  </r>
  <r>
    <n v="49"/>
    <n v="1"/>
    <n v="3"/>
    <n v="5"/>
    <n v="2"/>
    <n v="2"/>
    <n v="0"/>
    <n v="32"/>
    <n v="3"/>
    <n v="2"/>
    <n v="2"/>
    <n v="18584"/>
    <n v="2517"/>
    <n v="16067"/>
    <n v="0.70299999999999996"/>
    <n v="1330"/>
    <n v="34"/>
    <n v="1.125"/>
    <n v="0.13500000000000001"/>
    <n v="1.2144E-4"/>
    <n v="0.99987999999999999"/>
    <s v="26.68981833362917"/>
    <s v="32.813316576179744"/>
    <s v="25.84126012131834"/>
    <s v="5.8102275971967074"/>
    <n v="711857733"/>
    <x v="0"/>
    <n v="1.0648312999999999E-3"/>
    <x v="0"/>
  </r>
  <r>
    <n v="44"/>
    <n v="1"/>
    <n v="2"/>
    <n v="6"/>
    <n v="3"/>
    <n v="2"/>
    <n v="0"/>
    <n v="39"/>
    <n v="5"/>
    <n v="3"/>
    <n v="3"/>
    <n v="22075"/>
    <n v="1506"/>
    <n v="20569"/>
    <n v="0.79400000000000004"/>
    <n v="2337"/>
    <n v="40"/>
    <n v="0.81799999999999995"/>
    <n v="6.8000000000000005E-2"/>
    <n v="3.3251E-4"/>
    <n v="0.99966999999999995"/>
    <s v="64.54960227193149"/>
    <s v="13.55155819020457"/>
    <s v="113.74460156261266"/>
    <s v="5.965700072670037"/>
    <n v="818034558"/>
    <x v="0"/>
    <n v="1.3751325E-3"/>
    <x v="0"/>
  </r>
  <r>
    <n v="35"/>
    <n v="0"/>
    <n v="4"/>
    <n v="1"/>
    <n v="1"/>
    <n v="4"/>
    <n v="0"/>
    <n v="36"/>
    <n v="3"/>
    <n v="1"/>
    <n v="3"/>
    <n v="1438.3"/>
    <n v="606"/>
    <n v="832.3"/>
    <n v="0.69199999999999995"/>
    <n v="5062"/>
    <n v="80"/>
    <n v="0.81799999999999995"/>
    <n v="0.42099999999999999"/>
    <n v="1.4059000000000001E-4"/>
    <n v="0.99985999999999997"/>
    <s v="35.960186379953285"/>
    <s v="29.54968382341732"/>
    <n v="72.051609079857698"/>
    <s v="13.379914299198184"/>
    <n v="721396758"/>
    <x v="0"/>
    <n v="5.6367530000000002E-4"/>
    <x v="0"/>
  </r>
  <r>
    <n v="53"/>
    <n v="1"/>
    <n v="4"/>
    <n v="2"/>
    <n v="1"/>
    <n v="2"/>
    <n v="0"/>
    <n v="44"/>
    <n v="3"/>
    <n v="2"/>
    <n v="4"/>
    <n v="1973"/>
    <n v="1324"/>
    <n v="649"/>
    <n v="0.80500000000000005"/>
    <n v="1587"/>
    <n v="38"/>
    <n v="0.52"/>
    <n v="0.67100000000000004"/>
    <n v="3.4247999999999999E-4"/>
    <n v="0.99965999999999999"/>
    <s v="23.442041982792023"/>
    <s v="75.49718275891108"/>
    <s v="14.098592533067375"/>
    <s v="31.17037093798257"/>
    <n v="714631833"/>
    <x v="0"/>
    <n v="1.1876227E-3"/>
    <x v="0"/>
  </r>
  <r>
    <n v="42"/>
    <n v="1"/>
    <n v="3"/>
    <n v="5"/>
    <n v="1"/>
    <n v="0"/>
    <n v="0"/>
    <n v="28"/>
    <n v="2"/>
    <n v="3"/>
    <n v="1"/>
    <n v="19192"/>
    <n v="1507"/>
    <n v="17685"/>
    <n v="0.59399999999999997"/>
    <n v="15615"/>
    <n v="125"/>
    <n v="0.73599999999999999"/>
    <n v="7.9000000000000001E-2"/>
    <n v="1.1574E-4"/>
    <n v="0.99987999999999999"/>
    <s v="40.302753586851466"/>
    <s v="35.53120712186833"/>
    <n v="20.921079363343701"/>
    <n v="6.1770014272392499"/>
    <n v="721402233"/>
    <x v="0"/>
    <n v="3.6583058E-4"/>
    <x v="0"/>
  </r>
  <r>
    <n v="49"/>
    <n v="1"/>
    <n v="3"/>
    <n v="6"/>
    <n v="1"/>
    <n v="3"/>
    <n v="0"/>
    <n v="43"/>
    <n v="6"/>
    <n v="1"/>
    <n v="1"/>
    <n v="2191"/>
    <n v="1414"/>
    <n v="777"/>
    <n v="0.63500000000000001"/>
    <n v="3967"/>
    <n v="76"/>
    <n v="0.76700000000000002"/>
    <n v="0.64500000000000002"/>
    <s v="3.7884e-05"/>
    <n v="0.99995999999999996"/>
    <s v="22.574985951631213"/>
    <s v="1.651172773298505"/>
    <s v="27.58615551031612"/>
    <s v="13.720611832955225"/>
    <n v="800869758"/>
    <x v="0"/>
    <n v="3.2101269999999999E-4"/>
    <x v="0"/>
  </r>
  <r>
    <n v="51"/>
    <n v="0"/>
    <n v="2"/>
    <n v="5"/>
    <n v="0"/>
    <n v="4"/>
    <n v="0"/>
    <n v="38"/>
    <n v="4"/>
    <n v="1"/>
    <n v="2"/>
    <n v="9648"/>
    <n v="1926"/>
    <n v="7722"/>
    <n v="0.54900000000000004"/>
    <n v="1083"/>
    <n v="22"/>
    <n v="1.75"/>
    <n v="0.2"/>
    <s v="5.663e-05"/>
    <n v="0.99994000000000005"/>
    <n v="17.979148967560501"/>
    <s v="3.030707810681313"/>
    <n v="99.167078213123403"/>
    <s v="23.05801746915683"/>
    <n v="711569433"/>
    <x v="0"/>
    <n v="1.0667827000000001E-3"/>
    <x v="0"/>
  </r>
  <r>
    <n v="47"/>
    <n v="0"/>
    <n v="2"/>
    <n v="3"/>
    <n v="1"/>
    <n v="1"/>
    <n v="0"/>
    <n v="40"/>
    <n v="2"/>
    <n v="1"/>
    <n v="3"/>
    <n v="4074"/>
    <n v="1868"/>
    <n v="2206"/>
    <n v="0.68799999999999994"/>
    <n v="15005"/>
    <n v="118"/>
    <n v="0.76100000000000001"/>
    <n v="0.45900000000000002"/>
    <s v="9.0056e-05"/>
    <n v="0.99990999999999997"/>
    <s v="5.538551574228115"/>
    <s v="42.54202122909334"/>
    <s v="67.44649556316573"/>
    <n v="6.6095007162231498"/>
    <n v="751155783"/>
    <x v="0"/>
    <n v="3.4656386999999997E-4"/>
    <x v="0"/>
  </r>
  <r>
    <n v="64"/>
    <n v="0"/>
    <n v="0"/>
    <n v="6"/>
    <n v="1"/>
    <n v="1"/>
    <n v="0"/>
    <n v="55"/>
    <n v="6"/>
    <n v="3"/>
    <n v="2"/>
    <n v="2895"/>
    <n v="2517"/>
    <n v="378"/>
    <n v="0.32200000000000001"/>
    <n v="1541"/>
    <n v="37"/>
    <n v="0.60899999999999999"/>
    <n v="0.86899999999999999"/>
    <n v="1.6966E-4"/>
    <n v="0.99983"/>
    <s v="2.270095377184778"/>
    <s v="49.76184354926357"/>
    <s v="32.98342739394386"/>
    <s v="21.52996268666244"/>
    <n v="713307708"/>
    <x v="0"/>
    <n v="1.1011294999999999E-3"/>
    <x v="0"/>
  </r>
  <r>
    <n v="44"/>
    <n v="1"/>
    <n v="3"/>
    <n v="4"/>
    <n v="0"/>
    <n v="3"/>
    <n v="0"/>
    <n v="36"/>
    <n v="6"/>
    <n v="2"/>
    <n v="2"/>
    <n v="17965"/>
    <n v="1644"/>
    <n v="16321"/>
    <n v="0.92100000000000004"/>
    <n v="1767"/>
    <n v="50"/>
    <n v="0.92300000000000004"/>
    <n v="9.1999999999999998E-2"/>
    <n v="1.3897000000000001E-4"/>
    <n v="0.99985999999999997"/>
    <s v="11.294501949912144"/>
    <s v="74.35327480634669"/>
    <s v="54.95899216605648"/>
    <s v="9.817412066742545"/>
    <n v="719437908"/>
    <x v="0"/>
    <n v="8.3789390000000002E-4"/>
    <x v="0"/>
  </r>
  <r>
    <n v="41"/>
    <n v="1"/>
    <n v="3"/>
    <n v="1"/>
    <n v="2"/>
    <n v="0"/>
    <n v="0"/>
    <n v="26"/>
    <n v="3"/>
    <n v="2"/>
    <n v="2"/>
    <n v="9220"/>
    <n v="0"/>
    <n v="9220"/>
    <n v="0.73299999999999998"/>
    <n v="2276"/>
    <n v="32"/>
    <n v="0.6"/>
    <n v="0"/>
    <n v="0.99417999999999995"/>
    <n v="5.8199999999999997E-3"/>
    <s v="18.576914451402647"/>
    <s v="6.134652715099195"/>
    <s v="104.7517413642021"/>
    <s v="16.865862152285835"/>
    <n v="818459733"/>
    <x v="1"/>
    <n v="0.99854653999999998"/>
    <x v="1"/>
  </r>
  <r>
    <n v="53"/>
    <n v="1"/>
    <n v="3"/>
    <n v="6"/>
    <n v="1"/>
    <n v="3"/>
    <n v="0"/>
    <n v="43"/>
    <n v="5"/>
    <n v="3"/>
    <n v="0"/>
    <n v="2464"/>
    <n v="2116"/>
    <n v="348"/>
    <n v="0.74399999999999999"/>
    <n v="2110"/>
    <n v="43"/>
    <n v="1.048"/>
    <n v="0.85899999999999999"/>
    <s v="7.5683e-05"/>
    <n v="0.99992000000000003"/>
    <s v="19.93721039426285"/>
    <s v="37.30262780822895"/>
    <s v="50.975450835946425"/>
    <s v="6.722445871018319"/>
    <n v="708313608"/>
    <x v="0"/>
    <n v="1.2356120000000001E-3"/>
    <x v="0"/>
  </r>
  <r>
    <n v="50"/>
    <n v="1"/>
    <n v="1"/>
    <n v="1"/>
    <n v="0"/>
    <n v="2"/>
    <n v="0"/>
    <n v="33"/>
    <n v="3"/>
    <n v="5"/>
    <n v="2"/>
    <n v="19939"/>
    <n v="0"/>
    <n v="19939"/>
    <n v="1.03"/>
    <n v="3342"/>
    <n v="76"/>
    <n v="0.46200000000000002"/>
    <n v="0"/>
    <n v="2.7286999999999998E-4"/>
    <n v="0.99973000000000001"/>
    <s v="12.300263931845905"/>
    <s v="22.029883563315533"/>
    <s v="37.45106293539313"/>
    <s v="11.58525615190835"/>
    <n v="713672208"/>
    <x v="0"/>
    <n v="8.1263799999999997E-4"/>
    <x v="0"/>
  </r>
  <r>
    <n v="48"/>
    <n v="1"/>
    <n v="3"/>
    <n v="2"/>
    <n v="2"/>
    <n v="3"/>
    <n v="0"/>
    <n v="30"/>
    <n v="4"/>
    <n v="2"/>
    <n v="3"/>
    <n v="4180"/>
    <n v="688"/>
    <n v="3492"/>
    <n v="0.747"/>
    <n v="3750"/>
    <n v="76"/>
    <n v="0.72699999999999998"/>
    <n v="0.16500000000000001"/>
    <n v="1.9864000000000001E-4"/>
    <n v="0.99980000000000002"/>
    <s v="27.31537225656672"/>
    <s v="68.59349427452955"/>
    <s v="31.83600409000764"/>
    <s v="18.564637091500057"/>
    <n v="719342808"/>
    <x v="0"/>
    <n v="5.4489190000000002E-4"/>
    <x v="0"/>
  </r>
  <r>
    <n v="46"/>
    <n v="1"/>
    <n v="3"/>
    <n v="2"/>
    <n v="3"/>
    <n v="3"/>
    <n v="0"/>
    <n v="27"/>
    <n v="5"/>
    <n v="1"/>
    <n v="3"/>
    <n v="3665"/>
    <n v="1725"/>
    <n v="1940"/>
    <n v="0.495"/>
    <n v="1881"/>
    <n v="55"/>
    <n v="0.61799999999999999"/>
    <n v="0.47099999999999997"/>
    <s v="9.6126e-05"/>
    <n v="0.99990000000000001"/>
    <s v="40.515388028637794"/>
    <s v="32.31236999632341"/>
    <s v="32.75106759376063"/>
    <s v="6.572617444116577"/>
    <n v="778755858"/>
    <x v="0"/>
    <n v="5.2355806000000001E-4"/>
    <x v="0"/>
  </r>
  <r>
    <n v="55"/>
    <n v="0"/>
    <n v="4"/>
    <n v="5"/>
    <n v="0"/>
    <n v="1"/>
    <n v="0"/>
    <n v="43"/>
    <n v="5"/>
    <n v="3"/>
    <n v="2"/>
    <n v="1965"/>
    <n v="1525"/>
    <n v="440"/>
    <n v="0.85499999999999998"/>
    <n v="4671"/>
    <n v="69"/>
    <n v="0.81599999999999995"/>
    <n v="0.77600000000000002"/>
    <n v="1.9395999999999999E-4"/>
    <n v="0.99980999999999998"/>
    <s v="51.139861559756966"/>
    <s v="6.076633788684993"/>
    <s v="53.238857685782136"/>
    <s v="2.7409674012641942"/>
    <n v="719609433"/>
    <x v="0"/>
    <n v="3.2101269999999999E-4"/>
    <x v="0"/>
  </r>
  <r>
    <n v="54"/>
    <n v="0"/>
    <n v="0"/>
    <n v="2"/>
    <n v="1"/>
    <n v="4"/>
    <n v="0"/>
    <n v="36"/>
    <n v="1"/>
    <n v="2"/>
    <n v="3"/>
    <n v="1740"/>
    <n v="0"/>
    <n v="1740"/>
    <n v="0.81100000000000005"/>
    <n v="4751"/>
    <n v="93"/>
    <n v="0.86"/>
    <n v="0"/>
    <n v="1.6427999999999999E-4"/>
    <n v="0.99983999999999995"/>
    <s v="0.1399688410216372"/>
    <s v="13.157443523359367"/>
    <s v="13.461697485725464"/>
    <s v="6.619240269140747"/>
    <n v="721113333"/>
    <x v="0"/>
    <n v="6.9517245999999998E-4"/>
    <x v="0"/>
  </r>
  <r>
    <n v="64"/>
    <n v="0"/>
    <n v="0"/>
    <n v="5"/>
    <n v="2"/>
    <n v="4"/>
    <n v="0"/>
    <n v="36"/>
    <n v="3"/>
    <n v="1"/>
    <n v="3"/>
    <n v="7112"/>
    <n v="1358"/>
    <n v="5754"/>
    <n v="0.55300000000000005"/>
    <n v="4951"/>
    <n v="73"/>
    <n v="0.58699999999999997"/>
    <n v="0.191"/>
    <s v="8.1736e-05"/>
    <n v="0.99992000000000003"/>
    <s v="8.982982766817587"/>
    <s v="15.86485387692007"/>
    <n v="69.008684938115806"/>
    <s v="1.276517503061729"/>
    <n v="720439533"/>
    <x v="0"/>
    <n v="3.2914013999999999E-4"/>
    <x v="0"/>
  </r>
  <r>
    <n v="48"/>
    <n v="1"/>
    <n v="4"/>
    <n v="3"/>
    <n v="1"/>
    <n v="1"/>
    <n v="0"/>
    <n v="40"/>
    <n v="5"/>
    <n v="1"/>
    <n v="2"/>
    <n v="2514"/>
    <n v="2251"/>
    <n v="263"/>
    <n v="0.85199999999999998"/>
    <n v="3942"/>
    <n v="65"/>
    <n v="0.625"/>
    <n v="0.89500000000000002"/>
    <s v="5.6153e-05"/>
    <n v="0.99994000000000005"/>
    <s v="23.954373814828045"/>
    <s v="22.85298121052468"/>
    <s v="87.37385387364624"/>
    <s v="14.60508703007593"/>
    <n v="709957158"/>
    <x v="0"/>
    <n v="3.3723077000000001E-4"/>
    <x v="0"/>
  </r>
  <r>
    <n v="49"/>
    <n v="0"/>
    <n v="4"/>
    <n v="1"/>
    <n v="2"/>
    <n v="4"/>
    <n v="0"/>
    <n v="42"/>
    <n v="5"/>
    <n v="1"/>
    <n v="4"/>
    <n v="7789"/>
    <n v="957"/>
    <n v="6832"/>
    <n v="0.72399999999999998"/>
    <n v="3412"/>
    <n v="70"/>
    <n v="0.84199999999999997"/>
    <n v="0.123"/>
    <n v="2.3984000000000001E-4"/>
    <n v="0.99975999999999998"/>
    <s v="17.868184761347933"/>
    <s v="9.418076585695232"/>
    <s v="0.5886167115258153"/>
    <s v="11.785624512687257"/>
    <n v="720057183"/>
    <x v="0"/>
    <n v="3.9522952000000002E-4"/>
    <x v="0"/>
  </r>
  <r>
    <n v="47"/>
    <n v="1"/>
    <n v="2"/>
    <n v="2"/>
    <n v="3"/>
    <n v="3"/>
    <n v="0"/>
    <n v="41"/>
    <n v="2"/>
    <n v="2"/>
    <n v="2"/>
    <n v="21325"/>
    <n v="2197"/>
    <n v="19128"/>
    <n v="0.64700000000000002"/>
    <n v="7053"/>
    <n v="69"/>
    <n v="0.86499999999999999"/>
    <n v="0.10299999999999999"/>
    <n v="1.1382E-4"/>
    <n v="0.99988999999999995"/>
    <s v="21.218920384520214"/>
    <s v="82.49786583046156"/>
    <s v="38.15837142087254"/>
    <s v="3.0928228402130147"/>
    <n v="794124708"/>
    <x v="0"/>
    <n v="5.5846529999999995E-4"/>
    <x v="0"/>
  </r>
  <r>
    <n v="51"/>
    <n v="1"/>
    <n v="3"/>
    <n v="0"/>
    <n v="1"/>
    <n v="3"/>
    <n v="0"/>
    <n v="34"/>
    <n v="5"/>
    <n v="2"/>
    <n v="4"/>
    <n v="1864"/>
    <n v="1427"/>
    <n v="437"/>
    <n v="0.72499999999999998"/>
    <n v="3833"/>
    <n v="73"/>
    <n v="0.58699999999999997"/>
    <n v="0.76600000000000001"/>
    <n v="3.2945000000000001E-4"/>
    <n v="0.99966999999999995"/>
    <s v="19.149666183234423"/>
    <s v="51.749212119042696"/>
    <s v="131.10007093144287"/>
    <s v="2.4905537590201288"/>
    <n v="779694183"/>
    <x v="0"/>
    <n v="3.2914013999999999E-4"/>
    <x v="0"/>
  </r>
  <r>
    <n v="49"/>
    <n v="0"/>
    <n v="2"/>
    <n v="5"/>
    <n v="1"/>
    <n v="5"/>
    <n v="0"/>
    <n v="41"/>
    <n v="3"/>
    <n v="5"/>
    <n v="2"/>
    <n v="3128"/>
    <n v="749"/>
    <n v="2379"/>
    <n v="0.59799999999999998"/>
    <n v="4369"/>
    <n v="59"/>
    <n v="0.73499999999999999"/>
    <n v="0.23899999999999999"/>
    <n v="2.0656E-4"/>
    <n v="0.99978999999999996"/>
    <s v="13.31365019506678"/>
    <s v="45.29931466526544"/>
    <s v="59.555721856524855"/>
    <s v="0.1551057614208186"/>
    <n v="708086958"/>
    <x v="0"/>
    <n v="6.5376883000000004E-4"/>
    <x v="0"/>
  </r>
  <r>
    <n v="49"/>
    <n v="0"/>
    <n v="3"/>
    <n v="6"/>
    <n v="3"/>
    <n v="4"/>
    <n v="0"/>
    <n v="36"/>
    <n v="3"/>
    <n v="1"/>
    <n v="2"/>
    <n v="2454"/>
    <n v="2060"/>
    <n v="394"/>
    <n v="0.80400000000000005"/>
    <n v="3777"/>
    <n v="75"/>
    <n v="0.59599999999999997"/>
    <n v="0.83899999999999997"/>
    <s v="6.282e-05"/>
    <n v="0.99994000000000005"/>
    <s v="25.375577125496743"/>
    <s v="18.65647144387633"/>
    <s v="2.016085639888396"/>
    <s v="4.047126007072773"/>
    <n v="715662258"/>
    <x v="0"/>
    <n v="3.2914013999999999E-4"/>
    <x v="0"/>
  </r>
  <r>
    <n v="26"/>
    <n v="0"/>
    <n v="1"/>
    <n v="6"/>
    <n v="2"/>
    <n v="5"/>
    <n v="0"/>
    <n v="15"/>
    <n v="3"/>
    <n v="4"/>
    <n v="3"/>
    <n v="5464"/>
    <n v="0"/>
    <n v="5464"/>
    <n v="0.7"/>
    <n v="2473"/>
    <n v="46"/>
    <n v="0.48399999999999999"/>
    <n v="0"/>
    <n v="3.7718000000000002E-4"/>
    <n v="0.99961999999999995"/>
    <s v="5.3546321289453465"/>
    <s v="5.832228931816621"/>
    <s v="165.46147570013613"/>
    <s v="15.40055720494666"/>
    <n v="715187733"/>
    <x v="0"/>
    <n v="5.192126E-3"/>
    <x v="0"/>
  </r>
  <r>
    <n v="42"/>
    <n v="1"/>
    <n v="3"/>
    <n v="6"/>
    <n v="1"/>
    <n v="1"/>
    <n v="0"/>
    <n v="29"/>
    <n v="4"/>
    <n v="3"/>
    <n v="4"/>
    <n v="6698"/>
    <n v="1327"/>
    <n v="5371"/>
    <n v="0.79800000000000004"/>
    <n v="4065"/>
    <n v="77"/>
    <n v="0.71099999999999997"/>
    <n v="0.19800000000000001"/>
    <n v="5.8850999999999999E-4"/>
    <n v="0.99941000000000002"/>
    <s v="12.677227357225748"/>
    <s v="34.01618684280027"/>
    <s v="19.58322991315348"/>
    <s v="12.66119250036856"/>
    <n v="713343333"/>
    <x v="0"/>
    <n v="3.2101269999999999E-4"/>
    <x v="0"/>
  </r>
  <r>
    <n v="36"/>
    <n v="1"/>
    <n v="3"/>
    <n v="5"/>
    <n v="1"/>
    <n v="1"/>
    <n v="0"/>
    <n v="31"/>
    <n v="6"/>
    <n v="2"/>
    <n v="2"/>
    <n v="3152"/>
    <n v="1986"/>
    <n v="1166"/>
    <n v="1.3280000000000001"/>
    <n v="2530"/>
    <n v="50"/>
    <n v="0.72399999999999998"/>
    <n v="0.63"/>
    <n v="1.2144E-4"/>
    <n v="0.99987999999999999"/>
    <s v="6.462703695796656"/>
    <n v="64.214054477508597"/>
    <s v="13.505806735619608"/>
    <s v="7.945873131023469"/>
    <n v="811915383"/>
    <x v="0"/>
    <n v="9.0581370000000002E-4"/>
    <x v="0"/>
  </r>
  <r>
    <n v="47"/>
    <n v="1"/>
    <n v="4"/>
    <n v="3"/>
    <n v="2"/>
    <n v="1"/>
    <n v="3"/>
    <n v="32"/>
    <n v="3"/>
    <n v="3"/>
    <n v="4"/>
    <n v="18535"/>
    <n v="1192"/>
    <n v="17343"/>
    <n v="0.64600000000000002"/>
    <n v="3780"/>
    <n v="70"/>
    <n v="0.66700000000000004"/>
    <n v="6.4000000000000001E-2"/>
    <n v="4.7537000000000002E-4"/>
    <n v="0.99951999999999996"/>
    <s v="16.310207386478435"/>
    <s v="2.7699845864193486"/>
    <s v="53.90558725326052"/>
    <s v="22.19518609021014"/>
    <n v="721315233"/>
    <x v="0"/>
    <n v="3.5729867999999997E-4"/>
    <x v="0"/>
  </r>
  <r>
    <n v="65"/>
    <n v="1"/>
    <n v="1"/>
    <n v="6"/>
    <n v="1"/>
    <n v="1"/>
    <n v="0"/>
    <n v="54"/>
    <n v="6"/>
    <n v="2"/>
    <n v="3"/>
    <n v="9095"/>
    <n v="1587"/>
    <n v="7508"/>
    <n v="1.4330000000000001"/>
    <n v="1314"/>
    <n v="26"/>
    <n v="1.3640000000000001"/>
    <n v="0.17399999999999999"/>
    <n v="1.9751E-4"/>
    <n v="0.99980000000000002"/>
    <s v="1.6364940484409904"/>
    <s v="21.245037526222276"/>
    <s v="12.788482841893492"/>
    <s v="2.2983506265233835"/>
    <n v="710821833"/>
    <x v="0"/>
    <n v="9.8706899999999992E-4"/>
    <x v="0"/>
  </r>
  <r>
    <n v="48"/>
    <n v="1"/>
    <n v="3"/>
    <n v="2"/>
    <n v="1"/>
    <n v="1"/>
    <n v="0"/>
    <n v="43"/>
    <n v="5"/>
    <n v="1"/>
    <n v="1"/>
    <n v="2423"/>
    <n v="1779"/>
    <n v="644"/>
    <n v="0.503"/>
    <n v="4035"/>
    <n v="74"/>
    <n v="0.80500000000000005"/>
    <n v="0.73399999999999999"/>
    <s v="3.4465e-05"/>
    <n v="0.99997000000000003"/>
    <s v="2.001999527448512"/>
    <s v="38.91777290693992"/>
    <s v="110.20156653237584"/>
    <s v="2.260789800447156"/>
    <n v="815598858"/>
    <x v="0"/>
    <n v="3.2101269999999999E-4"/>
    <x v="0"/>
  </r>
  <r>
    <n v="47"/>
    <n v="0"/>
    <n v="4"/>
    <n v="3"/>
    <n v="2"/>
    <n v="1"/>
    <n v="0"/>
    <n v="36"/>
    <n v="3"/>
    <n v="1"/>
    <n v="1"/>
    <n v="1596"/>
    <n v="0"/>
    <n v="1596"/>
    <n v="0.78800000000000003"/>
    <n v="5678"/>
    <n v="81"/>
    <n v="0.8"/>
    <n v="0"/>
    <s v="3.3863e-05"/>
    <n v="0.99997000000000003"/>
    <s v="41.21775649231003"/>
    <s v="34.033961723635926"/>
    <s v="31.061301682935245"/>
    <s v="4.668060841225184"/>
    <n v="709052883"/>
    <x v="0"/>
    <n v="1.0932450000000001E-3"/>
    <x v="0"/>
  </r>
  <r>
    <n v="46"/>
    <n v="0"/>
    <n v="0"/>
    <n v="2"/>
    <n v="0"/>
    <n v="5"/>
    <n v="0"/>
    <n v="36"/>
    <n v="3"/>
    <n v="3"/>
    <n v="2"/>
    <n v="6853"/>
    <n v="1679"/>
    <n v="5174"/>
    <n v="0.97499999999999998"/>
    <n v="3543"/>
    <n v="52"/>
    <n v="1"/>
    <n v="0.245"/>
    <n v="1.5435000000000001E-4"/>
    <n v="0.99985000000000002"/>
    <s v="20.857854941415013"/>
    <s v="44.95757766522999"/>
    <s v="53.03949833383625"/>
    <s v="11.852689011835611"/>
    <n v="713777883"/>
    <x v="0"/>
    <n v="7.5869930000000004E-4"/>
    <x v="0"/>
  </r>
  <r>
    <n v="40"/>
    <n v="1"/>
    <n v="3"/>
    <n v="6"/>
    <n v="1"/>
    <n v="2"/>
    <n v="0"/>
    <n v="27"/>
    <n v="6"/>
    <n v="2"/>
    <n v="4"/>
    <n v="9026"/>
    <n v="2312"/>
    <n v="6714"/>
    <n v="0.56100000000000005"/>
    <n v="2229"/>
    <n v="37"/>
    <n v="0.76200000000000001"/>
    <n v="0.25600000000000001"/>
    <n v="3.7246000000000002E-4"/>
    <n v="0.99963000000000002"/>
    <s v="3.112677046576943"/>
    <s v="23.914653352426523"/>
    <s v="17.883074258045156"/>
    <n v="2.9053561635984702"/>
    <n v="710120358"/>
    <x v="0"/>
    <n v="1.294005E-3"/>
    <x v="0"/>
  </r>
  <r>
    <n v="38"/>
    <n v="0"/>
    <n v="4"/>
    <n v="6"/>
    <n v="1"/>
    <n v="4"/>
    <n v="0"/>
    <n v="26"/>
    <n v="3"/>
    <n v="2"/>
    <n v="2"/>
    <n v="1438.3"/>
    <n v="0"/>
    <n v="1438.3"/>
    <n v="0.77700000000000002"/>
    <n v="2264"/>
    <n v="39"/>
    <n v="0.625"/>
    <n v="0"/>
    <n v="0.99243999999999999"/>
    <n v="7.5599999999999999E-3"/>
    <s v="8.926887476816603"/>
    <s v="18.687381295990825"/>
    <s v="74.09577211698848"/>
    <s v="18.70321671746611"/>
    <n v="710211783"/>
    <x v="1"/>
    <n v="0.99854653999999998"/>
    <x v="1"/>
  </r>
  <r>
    <n v="40"/>
    <n v="0"/>
    <n v="3"/>
    <n v="3"/>
    <n v="2"/>
    <n v="5"/>
    <n v="0"/>
    <n v="36"/>
    <n v="3"/>
    <n v="3"/>
    <n v="2"/>
    <n v="6384"/>
    <n v="2034"/>
    <n v="4350"/>
    <n v="0.49299999999999999"/>
    <n v="4413"/>
    <n v="83"/>
    <n v="0.88600000000000001"/>
    <n v="0.31900000000000001"/>
    <n v="1.8144999999999999E-4"/>
    <n v="0.99982000000000004"/>
    <s v="27.336219269935302"/>
    <s v="34.34628029358303"/>
    <s v="43.21940975546647"/>
    <s v="8.316287872863063"/>
    <n v="715144383"/>
    <x v="0"/>
    <n v="3.2101269999999999E-4"/>
    <x v="0"/>
  </r>
  <r>
    <n v="60"/>
    <n v="1"/>
    <n v="1"/>
    <n v="3"/>
    <n v="1"/>
    <n v="4"/>
    <n v="3"/>
    <n v="55"/>
    <n v="2"/>
    <n v="2"/>
    <n v="3"/>
    <n v="13399"/>
    <n v="1456"/>
    <n v="11943"/>
    <n v="0.85599999999999998"/>
    <n v="16493"/>
    <n v="122"/>
    <n v="0.64900000000000002"/>
    <n v="0.109"/>
    <n v="1.5783999999999999E-4"/>
    <n v="0.99983999999999995"/>
    <s v="21.77728083079435"/>
    <s v="64.23692537991676"/>
    <s v="153.56477830376025"/>
    <s v="1.411962667911727"/>
    <n v="804158583"/>
    <x v="0"/>
    <n v="3.5533762999999998E-4"/>
    <x v="0"/>
  </r>
  <r>
    <n v="56"/>
    <n v="0"/>
    <n v="1"/>
    <n v="0"/>
    <n v="1"/>
    <n v="1"/>
    <n v="0"/>
    <n v="44"/>
    <n v="5"/>
    <n v="1"/>
    <n v="4"/>
    <n v="4088"/>
    <n v="1557"/>
    <n v="2531"/>
    <n v="1.248"/>
    <n v="2250"/>
    <n v="39"/>
    <n v="0.85699999999999998"/>
    <n v="0.38100000000000001"/>
    <n v="1.4422E-4"/>
    <n v="0.99985999999999997"/>
    <s v="9.959466192115142"/>
    <s v="16.44732580576774"/>
    <s v="24.94489291223499"/>
    <s v="3.905320826057629"/>
    <n v="708216108"/>
    <x v="0"/>
    <n v="1.0481173E-3"/>
    <x v="0"/>
  </r>
  <r>
    <n v="59"/>
    <n v="1"/>
    <n v="2"/>
    <n v="2"/>
    <n v="2"/>
    <n v="0"/>
    <n v="0"/>
    <n v="48"/>
    <n v="1"/>
    <n v="3"/>
    <n v="3"/>
    <n v="17999"/>
    <n v="1861"/>
    <n v="16138"/>
    <n v="0.79100000000000004"/>
    <n v="4740"/>
    <n v="78"/>
    <n v="0.95"/>
    <n v="0.10299999999999999"/>
    <n v="3.0250999999999998E-4"/>
    <n v="0.99970000000000003"/>
    <s v="27.149643758932164"/>
    <s v="19.75079071976596"/>
    <s v="11.420768175068227"/>
    <s v="17.823420017520213"/>
    <n v="718513233"/>
    <x v="0"/>
    <n v="3.2101269999999999E-4"/>
    <x v="0"/>
  </r>
  <r>
    <n v="35"/>
    <n v="0"/>
    <n v="2"/>
    <n v="2"/>
    <n v="1"/>
    <n v="1"/>
    <n v="0"/>
    <n v="27"/>
    <n v="5"/>
    <n v="2"/>
    <n v="3"/>
    <n v="1613"/>
    <n v="1085"/>
    <n v="528"/>
    <n v="0.65900000000000003"/>
    <n v="5000"/>
    <n v="85"/>
    <n v="0.84799999999999998"/>
    <n v="0.67300000000000004"/>
    <n v="1.9143E-4"/>
    <n v="0.99980999999999998"/>
    <s v="15.667252869967433"/>
    <s v="18.160244151101764"/>
    <s v="85.95444672935137"/>
    <s v="23.479988800377622"/>
    <n v="788418933"/>
    <x v="0"/>
    <n v="3.2101269999999999E-4"/>
    <x v="0"/>
  </r>
  <r>
    <n v="48"/>
    <n v="0"/>
    <n v="2"/>
    <n v="5"/>
    <n v="2"/>
    <n v="1"/>
    <n v="0"/>
    <n v="34"/>
    <n v="2"/>
    <n v="3"/>
    <n v="1"/>
    <n v="3072"/>
    <n v="1734"/>
    <n v="1338"/>
    <n v="0.754"/>
    <n v="4540"/>
    <n v="78"/>
    <n v="0.85699999999999998"/>
    <n v="0.56399999999999995"/>
    <n v="1.1153E-4"/>
    <n v="0.99988999999999995"/>
    <n v="8.0378081869318692"/>
    <s v="2.3338073700885134"/>
    <s v="55.32365385427741"/>
    <s v="2.677180947405616"/>
    <n v="711375558"/>
    <x v="0"/>
    <n v="3.2101269999999999E-4"/>
    <x v="0"/>
  </r>
  <r>
    <n v="53"/>
    <n v="0"/>
    <n v="3"/>
    <n v="3"/>
    <n v="2"/>
    <n v="1"/>
    <n v="0"/>
    <n v="47"/>
    <n v="1"/>
    <n v="3"/>
    <n v="4"/>
    <n v="1714"/>
    <n v="0"/>
    <n v="1714"/>
    <n v="0.66100000000000003"/>
    <n v="2279"/>
    <n v="46"/>
    <n v="0.53300000000000003"/>
    <n v="0"/>
    <n v="0.99807999999999997"/>
    <n v="1.91647E-3"/>
    <s v="9.345403299964945"/>
    <s v="9.629915293635309"/>
    <s v="177.93692484277318"/>
    <s v="1.964061361157109"/>
    <n v="799239033"/>
    <x v="1"/>
    <n v="0.99841880000000005"/>
    <x v="1"/>
  </r>
  <r>
    <n v="56"/>
    <n v="1"/>
    <n v="3"/>
    <n v="0"/>
    <n v="1"/>
    <n v="0"/>
    <n v="0"/>
    <n v="43"/>
    <n v="6"/>
    <n v="2"/>
    <n v="2"/>
    <n v="17539"/>
    <n v="2517"/>
    <n v="15022"/>
    <n v="0.74299999999999999"/>
    <n v="1220"/>
    <n v="30"/>
    <n v="0.76500000000000001"/>
    <n v="0.14399999999999999"/>
    <n v="1.1483E-4"/>
    <n v="0.99988999999999995"/>
    <s v="42.36027937069248"/>
    <s v="7.202368967653989"/>
    <s v="0.3777434133777312"/>
    <s v="22.90164160995239"/>
    <n v="713126733"/>
    <x v="0"/>
    <n v="1.0739613999999999E-3"/>
    <x v="0"/>
  </r>
  <r>
    <n v="41"/>
    <n v="1"/>
    <n v="3"/>
    <n v="5"/>
    <n v="1"/>
    <n v="2"/>
    <n v="0"/>
    <n v="30"/>
    <n v="3"/>
    <n v="1"/>
    <n v="2"/>
    <n v="1950"/>
    <n v="1618"/>
    <n v="332"/>
    <n v="0.75"/>
    <n v="3357"/>
    <n v="47"/>
    <n v="0.88"/>
    <n v="0.83"/>
    <s v="5.8763e-05"/>
    <n v="0.99994000000000005"/>
    <n v="9.3520598080875708"/>
    <s v="82.41720381746966"/>
    <s v="24.419503149530303"/>
    <n v="16.007147515205101"/>
    <n v="721001883"/>
    <x v="0"/>
    <n v="1.0441580999999999E-3"/>
    <x v="0"/>
  </r>
  <r>
    <n v="44"/>
    <n v="1"/>
    <n v="4"/>
    <n v="5"/>
    <n v="1"/>
    <n v="3"/>
    <n v="3"/>
    <n v="27"/>
    <n v="4"/>
    <n v="3"/>
    <n v="2"/>
    <n v="34516"/>
    <n v="1043"/>
    <n v="33473"/>
    <n v="0.69"/>
    <n v="4654"/>
    <n v="59"/>
    <n v="0.63900000000000001"/>
    <n v="0.03"/>
    <n v="1.7526E-4"/>
    <n v="0.99982000000000004"/>
    <s v="5.975527134351758"/>
    <s v="39.410539579613705"/>
    <s v="72.84186854978896"/>
    <s v="13.498334403181804"/>
    <n v="794475483"/>
    <x v="0"/>
    <n v="4.3956022000000001E-4"/>
    <x v="0"/>
  </r>
  <r>
    <n v="45"/>
    <n v="1"/>
    <n v="1"/>
    <n v="5"/>
    <n v="0"/>
    <n v="4"/>
    <n v="0"/>
    <n v="40"/>
    <n v="4"/>
    <n v="3"/>
    <n v="2"/>
    <n v="2705"/>
    <n v="1334"/>
    <n v="1371"/>
    <n v="0.88600000000000001"/>
    <n v="4501"/>
    <n v="67"/>
    <n v="0.67500000000000004"/>
    <n v="0.49299999999999999"/>
    <n v="1.7359999999999999E-4"/>
    <n v="0.99983"/>
    <s v="20.317052436483998"/>
    <s v="68.07413799709771"/>
    <s v="15.741289592276653"/>
    <s v="5.848978540827489"/>
    <n v="817970208"/>
    <x v="0"/>
    <n v="3.221314E-4"/>
    <x v="0"/>
  </r>
  <r>
    <n v="34"/>
    <n v="1"/>
    <n v="2"/>
    <n v="5"/>
    <n v="2"/>
    <n v="0"/>
    <n v="0"/>
    <n v="13"/>
    <n v="6"/>
    <n v="3"/>
    <n v="2"/>
    <n v="4369"/>
    <n v="2049"/>
    <n v="2320"/>
    <n v="0.86499999999999999"/>
    <n v="3259"/>
    <n v="80"/>
    <n v="0.6"/>
    <n v="0.46899999999999997"/>
    <n v="1.8494E-4"/>
    <n v="0.99982000000000004"/>
    <s v="11.268411126526612"/>
    <s v="32.77754434474632"/>
    <s v="32.89879727579518"/>
    <s v="21.60390324119488"/>
    <n v="708618933"/>
    <x v="0"/>
    <n v="3.2914013999999999E-4"/>
    <x v="0"/>
  </r>
  <r>
    <n v="45"/>
    <n v="1"/>
    <n v="4"/>
    <n v="0"/>
    <n v="0"/>
    <n v="2"/>
    <n v="0"/>
    <n v="40"/>
    <n v="5"/>
    <n v="1"/>
    <n v="0"/>
    <n v="10408"/>
    <n v="1186"/>
    <n v="9222"/>
    <n v="1.6890000000000001"/>
    <n v="2560"/>
    <n v="42"/>
    <n v="1.2110000000000001"/>
    <n v="0.114"/>
    <s v="2.0715e-05"/>
    <n v="0.99997999999999998"/>
    <s v="26.66834074117439"/>
    <s v="44.54834488203333"/>
    <s v="61.36275353942485"/>
    <s v="22.75200202567919"/>
    <n v="717721458"/>
    <x v="0"/>
    <n v="1.0481173E-3"/>
    <x v="0"/>
  </r>
  <r>
    <n v="42"/>
    <n v="1"/>
    <n v="3"/>
    <n v="2"/>
    <n v="1"/>
    <n v="2"/>
    <n v="0"/>
    <n v="29"/>
    <n v="3"/>
    <n v="3"/>
    <n v="1"/>
    <n v="12294"/>
    <n v="2517"/>
    <n v="9777"/>
    <n v="0.77500000000000002"/>
    <n v="7906"/>
    <n v="87"/>
    <n v="0.61099999999999999"/>
    <n v="0.20499999999999999"/>
    <n v="1.1256000000000001E-4"/>
    <n v="0.99988999999999995"/>
    <n v="8.9513005964503307"/>
    <s v="8.941212769570242"/>
    <s v="62.24773988919984"/>
    <s v="14.31419782822282"/>
    <n v="708474333"/>
    <x v="0"/>
    <n v="4.0839396999999998E-4"/>
    <x v="0"/>
  </r>
  <r>
    <n v="34"/>
    <n v="0"/>
    <n v="2"/>
    <n v="2"/>
    <n v="3"/>
    <n v="4"/>
    <n v="0"/>
    <n v="18"/>
    <n v="4"/>
    <n v="1"/>
    <n v="3"/>
    <n v="2730"/>
    <n v="0"/>
    <n v="2730"/>
    <n v="0.64800000000000002"/>
    <n v="4530"/>
    <n v="72"/>
    <n v="0.71399999999999997"/>
    <n v="0"/>
    <s v="9.2637e-05"/>
    <n v="0.99990999999999997"/>
    <s v="30.040168866404336"/>
    <n v="57.6718366379204"/>
    <s v="32.79692473436754"/>
    <s v="9.555801011523448"/>
    <n v="779858058"/>
    <x v="0"/>
    <n v="6.9517245999999998E-4"/>
    <x v="0"/>
  </r>
  <r>
    <n v="48"/>
    <n v="0"/>
    <n v="3"/>
    <n v="3"/>
    <n v="1"/>
    <n v="4"/>
    <n v="0"/>
    <n v="34"/>
    <n v="5"/>
    <n v="2"/>
    <n v="2"/>
    <n v="1495"/>
    <n v="0"/>
    <n v="1495"/>
    <n v="0.80200000000000005"/>
    <n v="3878"/>
    <n v="63"/>
    <n v="0.70299999999999996"/>
    <n v="0"/>
    <n v="1.1482E-4"/>
    <n v="0.99988999999999995"/>
    <s v="5.8969679937264345"/>
    <s v="17.60987691106339"/>
    <s v="23.74062993771641"/>
    <s v="4.251867619691208"/>
    <n v="718184883"/>
    <x v="0"/>
    <n v="8.1245880000000001E-4"/>
    <x v="0"/>
  </r>
  <r>
    <n v="54"/>
    <n v="0"/>
    <n v="2"/>
    <n v="3"/>
    <n v="0"/>
    <n v="4"/>
    <n v="0"/>
    <n v="36"/>
    <n v="6"/>
    <n v="3"/>
    <n v="1"/>
    <n v="3591"/>
    <n v="2517"/>
    <n v="1074"/>
    <n v="0.66500000000000004"/>
    <n v="2313"/>
    <n v="43"/>
    <n v="0.53600000000000003"/>
    <n v="0.70099999999999996"/>
    <n v="0.99060999999999999"/>
    <n v="9.3900000000000008E-3"/>
    <s v="53.74103622140077"/>
    <s v="28.630935856947325"/>
    <s v="15.408592460511432"/>
    <s v="0.7089664464749253"/>
    <n v="720251358"/>
    <x v="1"/>
    <n v="0.99573529999999999"/>
    <x v="1"/>
  </r>
  <r>
    <n v="49"/>
    <n v="0"/>
    <n v="5"/>
    <n v="3"/>
    <n v="1"/>
    <n v="5"/>
    <n v="3"/>
    <n v="36"/>
    <n v="6"/>
    <n v="2"/>
    <n v="2"/>
    <n v="34516"/>
    <n v="2019"/>
    <n v="32497"/>
    <n v="0.61399999999999999"/>
    <n v="3820"/>
    <n v="72"/>
    <n v="0.53200000000000003"/>
    <n v="5.8000000000000003E-2"/>
    <n v="1.0322E-4"/>
    <n v="0.99990000000000001"/>
    <s v="16.627528340210244"/>
    <s v="13.597898436551448"/>
    <s v="53.846213001003946"/>
    <s v="0.6950380797554665"/>
    <n v="710301858"/>
    <x v="0"/>
    <n v="3.6634394000000002E-4"/>
    <x v="0"/>
  </r>
  <r>
    <n v="41"/>
    <n v="1"/>
    <n v="2"/>
    <n v="6"/>
    <n v="2"/>
    <n v="2"/>
    <n v="0"/>
    <n v="24"/>
    <n v="6"/>
    <n v="2"/>
    <n v="2"/>
    <n v="17298"/>
    <n v="2310"/>
    <n v="14988"/>
    <n v="0.84399999999999997"/>
    <n v="3663"/>
    <n v="65"/>
    <n v="0.80600000000000005"/>
    <n v="0.13400000000000001"/>
    <n v="1.2511E-4"/>
    <n v="0.99987000000000004"/>
    <s v="13.880223654761377"/>
    <s v="42.752698573009454"/>
    <s v="7.2592126166932305"/>
    <s v="20.058387367152868"/>
    <n v="711309033"/>
    <x v="0"/>
    <n v="3.2890364000000001E-4"/>
    <x v="0"/>
  </r>
  <r>
    <n v="40"/>
    <n v="1"/>
    <n v="3"/>
    <n v="2"/>
    <n v="1"/>
    <n v="3"/>
    <n v="0"/>
    <n v="21"/>
    <n v="3"/>
    <n v="2"/>
    <n v="0"/>
    <n v="1804"/>
    <n v="1040"/>
    <n v="764"/>
    <n v="1.002"/>
    <n v="5308"/>
    <n v="78"/>
    <n v="0.77300000000000002"/>
    <n v="0.57599999999999996"/>
    <s v="4.3568e-05"/>
    <n v="0.99995999999999996"/>
    <s v="11.853827252979036"/>
    <s v="8.373039422274827"/>
    <s v="58.62316011978616"/>
    <s v="20.11066093693625"/>
    <n v="778830933"/>
    <x v="0"/>
    <n v="4.1605001999999998E-4"/>
    <x v="0"/>
  </r>
  <r>
    <n v="43"/>
    <n v="0"/>
    <n v="3"/>
    <n v="3"/>
    <n v="2"/>
    <n v="1"/>
    <n v="0"/>
    <n v="34"/>
    <n v="1"/>
    <n v="3"/>
    <n v="2"/>
    <n v="1654"/>
    <n v="1474"/>
    <n v="180"/>
    <n v="0.58599999999999997"/>
    <n v="2086"/>
    <n v="47"/>
    <n v="0.621"/>
    <n v="0.89100000000000001"/>
    <n v="0.99451999999999996"/>
    <n v="5.4799999999999996E-3"/>
    <s v="14.47746635255906"/>
    <s v="29.68503558260157"/>
    <s v="104.73674009350007"/>
    <s v="0.4015710471551045"/>
    <n v="713569158"/>
    <x v="1"/>
    <n v="0.99586039999999998"/>
    <x v="1"/>
  </r>
  <r>
    <n v="60"/>
    <n v="0"/>
    <n v="1"/>
    <n v="5"/>
    <n v="2"/>
    <n v="4"/>
    <n v="0"/>
    <n v="47"/>
    <n v="1"/>
    <n v="3"/>
    <n v="2"/>
    <n v="4905"/>
    <n v="2413"/>
    <n v="2492"/>
    <n v="0.85299999999999998"/>
    <n v="15478"/>
    <n v="109"/>
    <n v="0.73"/>
    <n v="0.49199999999999999"/>
    <n v="1.7359999999999999E-4"/>
    <n v="0.99983"/>
    <s v="31.080206582912204"/>
    <s v="36.62934291452281"/>
    <s v="10.080324406623372"/>
    <s v="17.508161507089675"/>
    <n v="708510858"/>
    <x v="0"/>
    <n v="3.4656386999999997E-4"/>
    <x v="0"/>
  </r>
  <r>
    <n v="40"/>
    <n v="0"/>
    <n v="3"/>
    <n v="3"/>
    <n v="2"/>
    <n v="1"/>
    <n v="0"/>
    <n v="36"/>
    <n v="5"/>
    <n v="3"/>
    <n v="2"/>
    <n v="5124"/>
    <n v="2235"/>
    <n v="2889"/>
    <n v="0.54200000000000004"/>
    <n v="1158"/>
    <n v="42"/>
    <n v="0.35499999999999998"/>
    <n v="0.436"/>
    <n v="1.8144999999999999E-4"/>
    <n v="0.99982000000000004"/>
    <s v="27.356962494042293"/>
    <s v="58.77605194656011"/>
    <s v="87.47827736942273"/>
    <s v="11.469495401244066"/>
    <n v="717860358"/>
    <x v="0"/>
    <n v="1.2315542E-3"/>
    <x v="0"/>
  </r>
  <r>
    <n v="46"/>
    <n v="0"/>
    <n v="2"/>
    <n v="3"/>
    <n v="0"/>
    <n v="4"/>
    <n v="0"/>
    <n v="26"/>
    <n v="4"/>
    <n v="3"/>
    <n v="1"/>
    <n v="1870"/>
    <n v="1785"/>
    <n v="85"/>
    <n v="0.69599999999999995"/>
    <n v="4347"/>
    <n v="88"/>
    <n v="0.76"/>
    <n v="0.95499999999999996"/>
    <n v="1.0545E-4"/>
    <n v="0.99988999999999995"/>
    <s v="34.23762874248073"/>
    <s v="20.092169352843158"/>
    <s v="37.03763090202964"/>
    <s v="5.746506982594643"/>
    <n v="778394358"/>
    <x v="0"/>
    <n v="3.2101269999999999E-4"/>
    <x v="0"/>
  </r>
  <r>
    <n v="49"/>
    <n v="1"/>
    <n v="5"/>
    <n v="6"/>
    <n v="2"/>
    <n v="1"/>
    <n v="3"/>
    <n v="41"/>
    <n v="4"/>
    <n v="2"/>
    <n v="2"/>
    <n v="20756"/>
    <n v="1710"/>
    <n v="19046"/>
    <n v="0.81599999999999995"/>
    <n v="1502"/>
    <n v="31"/>
    <n v="0.82399999999999995"/>
    <n v="8.2000000000000003E-2"/>
    <n v="1.1671E-4"/>
    <n v="0.99987999999999999"/>
    <s v="39.51199199592085"/>
    <s v="100.97404068079356"/>
    <s v="67.15105251561468"/>
    <s v="13.214744152060051"/>
    <n v="715524708"/>
    <x v="0"/>
    <n v="1.041906E-3"/>
    <x v="0"/>
  </r>
  <r>
    <n v="48"/>
    <n v="1"/>
    <n v="4"/>
    <n v="2"/>
    <n v="2"/>
    <n v="1"/>
    <n v="0"/>
    <n v="36"/>
    <n v="5"/>
    <n v="2"/>
    <n v="3"/>
    <n v="7514"/>
    <n v="0"/>
    <n v="7514"/>
    <n v="0.51400000000000001"/>
    <n v="4789"/>
    <n v="69"/>
    <n v="0.40799999999999997"/>
    <n v="0"/>
    <n v="2.0076999999999999E-4"/>
    <n v="0.99980000000000002"/>
    <s v="21.372750956827414"/>
    <s v="36.48276485676679"/>
    <s v="115.55218438793356"/>
    <s v="14.583288481412412"/>
    <n v="717247383"/>
    <x v="0"/>
    <n v="8.3350899999999996E-4"/>
    <x v="0"/>
  </r>
  <r>
    <n v="42"/>
    <n v="0"/>
    <n v="5"/>
    <n v="2"/>
    <n v="1"/>
    <n v="4"/>
    <n v="0"/>
    <n v="36"/>
    <n v="5"/>
    <n v="2"/>
    <n v="4"/>
    <n v="4228"/>
    <n v="1709"/>
    <n v="2519"/>
    <n v="0.49299999999999999"/>
    <n v="4389"/>
    <n v="79"/>
    <n v="0.57999999999999996"/>
    <n v="0.40400000000000003"/>
    <n v="3.3713999999999999E-4"/>
    <n v="0.99965999999999999"/>
    <s v="20.079099350061565"/>
    <s v="42.36319981315796"/>
    <n v="66.781908304021997"/>
    <s v="3.0196918180605645"/>
    <n v="787291308"/>
    <x v="0"/>
    <n v="3.2914013999999999E-4"/>
    <x v="0"/>
  </r>
  <r>
    <n v="44"/>
    <n v="1"/>
    <n v="2"/>
    <n v="2"/>
    <n v="3"/>
    <n v="3"/>
    <n v="0"/>
    <n v="37"/>
    <n v="2"/>
    <n v="3"/>
    <n v="0"/>
    <n v="15821"/>
    <n v="1334"/>
    <n v="14487"/>
    <n v="0.81"/>
    <n v="8927"/>
    <n v="103"/>
    <n v="0.63500000000000001"/>
    <n v="8.4000000000000005E-2"/>
    <s v="6.6354e-05"/>
    <n v="0.99992999999999999"/>
    <s v="3.694285404445949"/>
    <s v="21.04807728429258"/>
    <s v="38.87189488951243"/>
    <s v="11.082336176323292"/>
    <n v="718993533"/>
    <x v="0"/>
    <n v="3.8873720999999998E-4"/>
    <x v="0"/>
  </r>
  <r>
    <n v="52"/>
    <n v="0"/>
    <n v="2"/>
    <n v="5"/>
    <n v="2"/>
    <n v="4"/>
    <n v="0"/>
    <n v="37"/>
    <n v="4"/>
    <n v="3"/>
    <n v="1"/>
    <n v="2164"/>
    <n v="0"/>
    <n v="2164"/>
    <n v="0.68799999999999994"/>
    <n v="5282"/>
    <n v="80"/>
    <n v="0.81799999999999995"/>
    <n v="0"/>
    <n v="1.1153E-4"/>
    <n v="0.99988999999999995"/>
    <s v="55.69732439483015"/>
    <s v="59.90346040236424"/>
    <s v="87.05129104285533"/>
    <s v="16.90320284927542"/>
    <n v="712431183"/>
    <x v="0"/>
    <n v="8.9775460000000005E-4"/>
    <x v="0"/>
  </r>
  <r>
    <n v="46"/>
    <n v="1"/>
    <n v="3"/>
    <n v="2"/>
    <n v="1"/>
    <n v="1"/>
    <n v="0"/>
    <n v="41"/>
    <n v="5"/>
    <n v="2"/>
    <n v="2"/>
    <n v="2564"/>
    <n v="0"/>
    <n v="2564"/>
    <n v="1.026"/>
    <n v="2038"/>
    <n v="45"/>
    <n v="0.36399999999999999"/>
    <n v="0"/>
    <n v="1.1811000000000001E-4"/>
    <n v="0.99987999999999999"/>
    <s v="15.245444211852057"/>
    <s v="0.7134811962977284"/>
    <s v="22.57344130438847"/>
    <n v="0.51536728804012699"/>
    <n v="818908833"/>
    <x v="0"/>
    <n v="4.7412696000000004E-3"/>
    <x v="0"/>
  </r>
  <r>
    <n v="45"/>
    <n v="1"/>
    <n v="4"/>
    <n v="6"/>
    <n v="3"/>
    <n v="1"/>
    <n v="1"/>
    <n v="39"/>
    <n v="5"/>
    <n v="1"/>
    <n v="2"/>
    <n v="23981"/>
    <n v="1684"/>
    <n v="22297"/>
    <n v="0.73599999999999999"/>
    <n v="4141"/>
    <n v="73"/>
    <n v="0.52100000000000002"/>
    <n v="7.0000000000000007E-2"/>
    <s v="7.315e-05"/>
    <n v="0.99992999999999999"/>
    <s v="77.91022668351015"/>
    <s v="31.056002066277458"/>
    <s v="1.1076511232473258"/>
    <s v="18.83585530518645"/>
    <n v="794068308"/>
    <x v="0"/>
    <n v="3.6634394000000002E-4"/>
    <x v="0"/>
  </r>
  <r>
    <n v="37"/>
    <n v="0"/>
    <n v="2"/>
    <n v="3"/>
    <n v="2"/>
    <n v="1"/>
    <n v="0"/>
    <n v="27"/>
    <n v="4"/>
    <n v="1"/>
    <n v="2"/>
    <n v="2204"/>
    <n v="919"/>
    <n v="1285"/>
    <n v="0.71199999999999997"/>
    <n v="4555"/>
    <n v="82"/>
    <n v="1"/>
    <n v="0.41699999999999998"/>
    <s v="5.3542e-05"/>
    <n v="0.99995000000000001"/>
    <s v="3.928427614854413"/>
    <s v="1.734763733212887"/>
    <s v="46.12095598858776"/>
    <s v="7.697874177245344"/>
    <n v="712022883"/>
    <x v="0"/>
    <n v="4.0989029999999999E-4"/>
    <x v="0"/>
  </r>
  <r>
    <n v="40"/>
    <n v="1"/>
    <n v="3"/>
    <n v="5"/>
    <n v="2"/>
    <n v="3"/>
    <n v="0"/>
    <n v="27"/>
    <n v="4"/>
    <n v="2"/>
    <n v="3"/>
    <n v="3427"/>
    <n v="0"/>
    <n v="3427"/>
    <n v="0.5"/>
    <n v="2625"/>
    <n v="63"/>
    <n v="0.5"/>
    <n v="0"/>
    <n v="0.99512999999999996"/>
    <n v="4.8712599999999997E-3"/>
    <s v="33.201383391311865"/>
    <s v="25.09696658108427"/>
    <s v="9.516915073187086"/>
    <s v="22.87299106030168"/>
    <n v="721124658"/>
    <x v="1"/>
    <n v="0.99408890000000005"/>
    <x v="1"/>
  </r>
  <r>
    <n v="44"/>
    <n v="0"/>
    <n v="4"/>
    <n v="2"/>
    <n v="1"/>
    <n v="4"/>
    <n v="0"/>
    <n v="36"/>
    <n v="4"/>
    <n v="1"/>
    <n v="0"/>
    <n v="1717"/>
    <n v="0"/>
    <n v="1717"/>
    <n v="0.61899999999999999"/>
    <n v="1468"/>
    <n v="29"/>
    <n v="0.38100000000000001"/>
    <n v="0"/>
    <s v="2.1307e-05"/>
    <n v="0.99997999999999998"/>
    <s v="29.227527150259224"/>
    <s v="34.028580641317305"/>
    <s v="86.76532963297171"/>
    <s v="17.005396390585947"/>
    <n v="711028308"/>
    <x v="0"/>
    <n v="4.459518E-3"/>
    <x v="0"/>
  </r>
  <r>
    <n v="42"/>
    <n v="1"/>
    <n v="3"/>
    <n v="5"/>
    <n v="2"/>
    <n v="1"/>
    <n v="0"/>
    <n v="35"/>
    <n v="2"/>
    <n v="3"/>
    <n v="3"/>
    <n v="8566"/>
    <n v="1484"/>
    <n v="7082"/>
    <n v="0.80700000000000005"/>
    <n v="4195"/>
    <n v="89"/>
    <n v="0.85399999999999998"/>
    <n v="0.17299999999999999"/>
    <n v="3.2275000000000001E-4"/>
    <n v="0.99968000000000001"/>
    <s v="11.400600248393047"/>
    <s v="26.595728160416304"/>
    <s v="82.21802577014272"/>
    <s v="8.312309263252798"/>
    <n v="790149483"/>
    <x v="0"/>
    <n v="3.2101269999999999E-4"/>
    <x v="0"/>
  </r>
  <r>
    <n v="44"/>
    <n v="0"/>
    <n v="4"/>
    <n v="6"/>
    <n v="2"/>
    <n v="4"/>
    <n v="3"/>
    <n v="36"/>
    <n v="2"/>
    <n v="3"/>
    <n v="3"/>
    <n v="13067"/>
    <n v="1943"/>
    <n v="11124"/>
    <n v="0.85"/>
    <n v="15172"/>
    <n v="118"/>
    <n v="1.034"/>
    <n v="0.14899999999999999"/>
    <n v="3.1510000000000002E-4"/>
    <n v="0.99968000000000001"/>
    <s v="46.90591183675275"/>
    <s v="19.38642809180062"/>
    <s v="22.18330087433651"/>
    <n v="6.5587365617810596"/>
    <n v="718758783"/>
    <x v="0"/>
    <n v="3.4656386999999997E-4"/>
    <x v="0"/>
  </r>
  <r>
    <n v="53"/>
    <n v="0"/>
    <n v="0"/>
    <n v="5"/>
    <n v="1"/>
    <n v="1"/>
    <n v="0"/>
    <n v="40"/>
    <n v="1"/>
    <n v="3"/>
    <n v="3"/>
    <n v="2772"/>
    <n v="2414"/>
    <n v="358"/>
    <n v="0.80500000000000005"/>
    <n v="5313"/>
    <n v="68"/>
    <n v="1.194"/>
    <n v="0.871"/>
    <n v="2.6692000000000003E-4"/>
    <n v="0.99973000000000001"/>
    <s v="2.054667355221876"/>
    <n v="0.923086677854556"/>
    <n v="88.768351202495793"/>
    <s v="6.511891019340914"/>
    <n v="710937783"/>
    <x v="0"/>
    <n v="4.1460690000000002E-4"/>
    <x v="0"/>
  </r>
  <r>
    <n v="39"/>
    <n v="1"/>
    <n v="4"/>
    <n v="3"/>
    <n v="1"/>
    <n v="2"/>
    <n v="0"/>
    <n v="28"/>
    <n v="5"/>
    <n v="3"/>
    <n v="3"/>
    <n v="6224"/>
    <n v="1898"/>
    <n v="4326"/>
    <n v="1.103"/>
    <n v="3014"/>
    <n v="58"/>
    <n v="0.70599999999999996"/>
    <n v="0.30499999999999999"/>
    <n v="3.0842E-4"/>
    <n v="0.99968999999999997"/>
    <s v="25.59246235418948"/>
    <s v="11.636555083868288"/>
    <s v="113.97484013682778"/>
    <s v="21.610742771542675"/>
    <n v="779367858"/>
    <x v="0"/>
    <n v="4.3154161999999998E-4"/>
    <x v="0"/>
  </r>
  <r>
    <n v="49"/>
    <n v="1"/>
    <n v="2"/>
    <n v="4"/>
    <n v="1"/>
    <n v="2"/>
    <n v="0"/>
    <n v="38"/>
    <n v="3"/>
    <n v="2"/>
    <n v="0"/>
    <n v="8077"/>
    <n v="1965"/>
    <n v="6112"/>
    <n v="0.63700000000000001"/>
    <n v="1329"/>
    <n v="26"/>
    <n v="0.44400000000000001"/>
    <n v="0.24299999999999999"/>
    <s v="4.9404e-05"/>
    <n v="0.99995000000000001"/>
    <s v="3.3656628995679507"/>
    <s v="28.34407741237618"/>
    <s v="29.867997678263134"/>
    <s v="18.745125719854546"/>
    <n v="709864833"/>
    <x v="0"/>
    <n v="1.232702E-3"/>
    <x v="0"/>
  </r>
  <r>
    <n v="53"/>
    <n v="0"/>
    <n v="2"/>
    <n v="2"/>
    <n v="1"/>
    <n v="5"/>
    <n v="0"/>
    <n v="41"/>
    <n v="3"/>
    <n v="2"/>
    <n v="2"/>
    <n v="2046"/>
    <n v="1260"/>
    <n v="786"/>
    <n v="0.76800000000000002"/>
    <n v="4228"/>
    <n v="81"/>
    <n v="0.88400000000000001"/>
    <n v="0.61599999999999999"/>
    <n v="1.1382E-4"/>
    <n v="0.99988999999999995"/>
    <s v="31.055456169377003"/>
    <s v="30.548658552389742"/>
    <s v="17.663645438468322"/>
    <s v="12.446593842308255"/>
    <n v="716953083"/>
    <x v="0"/>
    <n v="3.2101269999999999E-4"/>
    <x v="0"/>
  </r>
  <r>
    <n v="41"/>
    <n v="0"/>
    <n v="4"/>
    <n v="5"/>
    <n v="3"/>
    <n v="1"/>
    <n v="3"/>
    <n v="36"/>
    <n v="3"/>
    <n v="2"/>
    <n v="3"/>
    <n v="19704"/>
    <n v="0"/>
    <n v="19704"/>
    <n v="0.68200000000000005"/>
    <n v="7766"/>
    <n v="81"/>
    <n v="0.62"/>
    <n v="0"/>
    <n v="1.8652E-4"/>
    <n v="0.99980999999999998"/>
    <s v="0.4311499123865107"/>
    <s v="101.86473921254768"/>
    <n v="78.837851673820197"/>
    <s v="3.779831336580897"/>
    <n v="711764733"/>
    <x v="0"/>
    <n v="1.1209003999999999E-3"/>
    <x v="0"/>
  </r>
  <r>
    <n v="55"/>
    <n v="1"/>
    <n v="1"/>
    <n v="0"/>
    <n v="2"/>
    <n v="3"/>
    <n v="0"/>
    <n v="42"/>
    <n v="5"/>
    <n v="2"/>
    <n v="4"/>
    <n v="10696"/>
    <n v="1206"/>
    <n v="9490"/>
    <n v="0.95799999999999996"/>
    <n v="2489"/>
    <n v="38"/>
    <n v="0.9"/>
    <n v="0.113"/>
    <n v="2.9800999999999997E-4"/>
    <n v="0.99970000000000003"/>
    <n v="73.853336484929201"/>
    <s v="32.78454530949192"/>
    <s v="77.80171879834741"/>
    <s v="11.057565556787344"/>
    <n v="720786033"/>
    <x v="0"/>
    <n v="1.2356120000000001E-3"/>
    <x v="0"/>
  </r>
  <r>
    <n v="48"/>
    <n v="0"/>
    <n v="4"/>
    <n v="2"/>
    <n v="2"/>
    <n v="4"/>
    <n v="0"/>
    <n v="35"/>
    <n v="6"/>
    <n v="3"/>
    <n v="2"/>
    <n v="2005"/>
    <n v="1143"/>
    <n v="862"/>
    <n v="0.82399999999999995"/>
    <n v="4311"/>
    <n v="70"/>
    <n v="0.59099999999999997"/>
    <n v="0.56999999999999995"/>
    <n v="1.8864000000000001E-4"/>
    <n v="0.99980999999999998"/>
    <s v="55.91269228506045"/>
    <n v="58.619403154312302"/>
    <s v="98.22798879565092"/>
    <s v="0.8626155609082613"/>
    <n v="721522533"/>
    <x v="0"/>
    <n v="3.2914013999999999E-4"/>
    <x v="0"/>
  </r>
  <r>
    <n v="36"/>
    <n v="0"/>
    <n v="2"/>
    <n v="4"/>
    <n v="1"/>
    <n v="4"/>
    <n v="0"/>
    <n v="25"/>
    <n v="5"/>
    <n v="2"/>
    <n v="3"/>
    <n v="1691"/>
    <n v="0"/>
    <n v="1691"/>
    <n v="0.86499999999999999"/>
    <n v="2716"/>
    <n v="63"/>
    <n v="0.70299999999999996"/>
    <n v="0"/>
    <n v="0.99558000000000002"/>
    <n v="4.4189199999999998E-3"/>
    <s v="4.884349989898722"/>
    <s v="19.587891407207103"/>
    <s v="23.025168507180084"/>
    <s v="10.770408478314245"/>
    <n v="720739083"/>
    <x v="1"/>
    <n v="0.99365424999999996"/>
    <x v="1"/>
  </r>
  <r>
    <n v="44"/>
    <n v="1"/>
    <n v="4"/>
    <n v="6"/>
    <n v="2"/>
    <n v="3"/>
    <n v="0"/>
    <n v="26"/>
    <n v="1"/>
    <n v="2"/>
    <n v="1"/>
    <n v="11782"/>
    <n v="2177"/>
    <n v="9605"/>
    <n v="0.875"/>
    <n v="16605"/>
    <n v="110"/>
    <n v="0.69199999999999995"/>
    <n v="0.185"/>
    <s v="7.9128e-05"/>
    <n v="0.99992000000000003"/>
    <s v="0.5991424778773743"/>
    <s v="46.96497701885553"/>
    <s v="51.26510973017535"/>
    <s v="15.965384982362798"/>
    <n v="719420058"/>
    <x v="0"/>
    <n v="3.4656386999999997E-4"/>
    <x v="0"/>
  </r>
  <r>
    <n v="64"/>
    <n v="1"/>
    <n v="1"/>
    <n v="2"/>
    <n v="2"/>
    <n v="4"/>
    <n v="0"/>
    <n v="36"/>
    <n v="4"/>
    <n v="3"/>
    <n v="1"/>
    <n v="1861"/>
    <n v="1677"/>
    <n v="184"/>
    <n v="0.74199999999999999"/>
    <n v="5225"/>
    <n v="94"/>
    <n v="0.67900000000000005"/>
    <n v="0.90100000000000002"/>
    <n v="1.0182E-4"/>
    <n v="0.99990000000000001"/>
    <s v="23.57537447757516"/>
    <s v="42.88251880748199"/>
    <s v="24.53358484735169"/>
    <s v="10.49238065704649"/>
    <n v="716160708"/>
    <x v="0"/>
    <n v="3.2101269999999999E-4"/>
    <x v="0"/>
  </r>
  <r>
    <n v="43"/>
    <n v="0"/>
    <n v="1"/>
    <n v="2"/>
    <n v="1"/>
    <n v="4"/>
    <n v="0"/>
    <n v="38"/>
    <n v="2"/>
    <n v="2"/>
    <n v="1"/>
    <n v="2550"/>
    <n v="1421"/>
    <n v="1129"/>
    <n v="0.81899999999999995"/>
    <n v="8063"/>
    <n v="72"/>
    <n v="0.71399999999999997"/>
    <n v="0.55700000000000005"/>
    <s v="6.4428e-05"/>
    <n v="0.99994000000000005"/>
    <s v="17.259318791064523"/>
    <s v="63.59017402561319"/>
    <s v="71.05082609174968"/>
    <s v="22.424650384606803"/>
    <n v="818316108"/>
    <x v="0"/>
    <n v="5.5846529999999995E-4"/>
    <x v="0"/>
  </r>
  <r>
    <n v="56"/>
    <n v="0"/>
    <n v="3"/>
    <n v="3"/>
    <n v="1"/>
    <n v="4"/>
    <n v="0"/>
    <n v="37"/>
    <n v="6"/>
    <n v="1"/>
    <n v="3"/>
    <n v="4008"/>
    <n v="1650"/>
    <n v="2358"/>
    <n v="1"/>
    <n v="5429"/>
    <n v="71"/>
    <n v="0.73199999999999998"/>
    <n v="0.41199999999999998"/>
    <s v="9.3448e-05"/>
    <n v="0.99990999999999997"/>
    <s v="36.88027486768543"/>
    <s v="0.9124938591777744"/>
    <s v="42.56125309632753"/>
    <s v="7.846602218201958"/>
    <n v="714315858"/>
    <x v="0"/>
    <n v="5.6040886999999997E-4"/>
    <x v="0"/>
  </r>
  <r>
    <n v="37"/>
    <n v="1"/>
    <n v="4"/>
    <n v="1"/>
    <n v="2"/>
    <n v="2"/>
    <n v="0"/>
    <n v="31"/>
    <n v="6"/>
    <n v="3"/>
    <n v="0"/>
    <n v="1702"/>
    <n v="1018"/>
    <n v="684"/>
    <n v="0.64500000000000002"/>
    <n v="4301"/>
    <n v="86"/>
    <n v="0.72"/>
    <n v="0.59799999999999998"/>
    <n v="1.0069999999999999E-4"/>
    <n v="0.99990000000000001"/>
    <s v="37.03210179514167"/>
    <s v="38.670325207119326"/>
    <s v="43.38115659949971"/>
    <s v="20.546410772041312"/>
    <n v="768167358"/>
    <x v="0"/>
    <n v="3.2101269999999999E-4"/>
    <x v="0"/>
  </r>
  <r>
    <n v="41"/>
    <n v="0"/>
    <n v="3"/>
    <n v="6"/>
    <n v="1"/>
    <n v="5"/>
    <n v="0"/>
    <n v="35"/>
    <n v="2"/>
    <n v="3"/>
    <n v="5"/>
    <n v="11538"/>
    <n v="0"/>
    <n v="11538"/>
    <n v="0.50700000000000001"/>
    <n v="1926"/>
    <n v="53"/>
    <n v="0.432"/>
    <n v="0"/>
    <n v="0.99902000000000002"/>
    <n v="9.8036E-4"/>
    <s v="26.132823549215964"/>
    <n v="42.758566310490799"/>
    <s v="10.95531259678068"/>
    <s v="4.452065392809399"/>
    <n v="803124408"/>
    <x v="1"/>
    <n v="0.99707650000000003"/>
    <x v="1"/>
  </r>
  <r>
    <n v="46"/>
    <n v="0"/>
    <n v="4"/>
    <n v="6"/>
    <n v="1"/>
    <n v="1"/>
    <n v="0"/>
    <n v="36"/>
    <n v="1"/>
    <n v="3"/>
    <n v="1"/>
    <n v="1925"/>
    <n v="1202"/>
    <n v="723"/>
    <n v="0.51800000000000002"/>
    <n v="4343"/>
    <n v="66"/>
    <n v="0.73699999999999999"/>
    <n v="0.624"/>
    <n v="1.2505E-4"/>
    <n v="0.99987000000000004"/>
    <s v="8.882665812383586"/>
    <s v="30.255971448781416"/>
    <s v="0.3633453603945421"/>
    <n v="3.8709657688546399"/>
    <n v="713257083"/>
    <x v="0"/>
    <n v="3.2101269999999999E-4"/>
    <x v="0"/>
  </r>
  <r>
    <n v="42"/>
    <n v="1"/>
    <n v="3"/>
    <n v="3"/>
    <n v="0"/>
    <n v="3"/>
    <n v="0"/>
    <n v="37"/>
    <n v="6"/>
    <n v="3"/>
    <n v="3"/>
    <n v="27310"/>
    <n v="0"/>
    <n v="27310"/>
    <n v="0.91900000000000004"/>
    <n v="1537"/>
    <n v="41"/>
    <n v="1.05"/>
    <n v="0"/>
    <n v="3.0516000000000001E-4"/>
    <n v="0.99968999999999997"/>
    <s v="19.31641728045931"/>
    <s v="36.61482810826052"/>
    <s v="106.38891642780536"/>
    <s v="7.800002036055147"/>
    <n v="814471983"/>
    <x v="0"/>
    <n v="3.1488503E-3"/>
    <x v="0"/>
  </r>
  <r>
    <n v="50"/>
    <n v="1"/>
    <n v="1"/>
    <n v="6"/>
    <n v="2"/>
    <n v="0"/>
    <n v="0"/>
    <n v="44"/>
    <n v="5"/>
    <n v="3"/>
    <n v="1"/>
    <n v="17827"/>
    <n v="0"/>
    <n v="17827"/>
    <n v="0.84599999999999997"/>
    <n v="5010"/>
    <n v="88"/>
    <n v="0.72499999999999998"/>
    <n v="0"/>
    <n v="1.1192E-4"/>
    <n v="0.99988999999999995"/>
    <s v="4.472985356744791"/>
    <s v="14.879827400615364"/>
    <s v="32.059095570718966"/>
    <n v="29.6792803138494"/>
    <n v="781942983"/>
    <x v="0"/>
    <n v="7.1049936000000004E-4"/>
    <x v="0"/>
  </r>
  <r>
    <n v="60"/>
    <n v="0"/>
    <n v="0"/>
    <n v="2"/>
    <n v="1"/>
    <n v="4"/>
    <n v="0"/>
    <n v="55"/>
    <n v="2"/>
    <n v="1"/>
    <n v="3"/>
    <n v="3773"/>
    <n v="0"/>
    <n v="3773"/>
    <n v="0.68400000000000005"/>
    <n v="14264"/>
    <n v="118"/>
    <n v="0.873"/>
    <n v="0"/>
    <s v="7.9494e-05"/>
    <n v="0.99992000000000003"/>
    <s v="12.290340391023184"/>
    <s v="66.25412494477374"/>
    <s v="80.92616322933284"/>
    <s v="14.664455022578789"/>
    <n v="816328308"/>
    <x v="0"/>
    <n v="7.5047980000000002E-4"/>
    <x v="0"/>
  </r>
  <r>
    <n v="53"/>
    <n v="1"/>
    <n v="4"/>
    <n v="5"/>
    <n v="2"/>
    <n v="2"/>
    <n v="0"/>
    <n v="43"/>
    <n v="1"/>
    <n v="3"/>
    <n v="2"/>
    <n v="13720"/>
    <n v="0"/>
    <n v="13720"/>
    <n v="0.67100000000000004"/>
    <n v="1830"/>
    <n v="36"/>
    <n v="0.24099999999999999"/>
    <n v="0"/>
    <n v="0.99487000000000003"/>
    <n v="5.13E-3"/>
    <s v="28.42073285818263"/>
    <s v="11.911760981058574"/>
    <s v="139.3466734355961"/>
    <s v="10.43491093899205"/>
    <n v="709224033"/>
    <x v="1"/>
    <n v="0.99868020000000002"/>
    <x v="1"/>
  </r>
  <r>
    <n v="34"/>
    <n v="1"/>
    <n v="1"/>
    <n v="3"/>
    <n v="1"/>
    <n v="2"/>
    <n v="0"/>
    <n v="27"/>
    <n v="3"/>
    <n v="1"/>
    <n v="2"/>
    <n v="8063"/>
    <n v="2149"/>
    <n v="5914"/>
    <n v="0.72199999999999998"/>
    <n v="2042"/>
    <n v="49"/>
    <n v="0.69"/>
    <n v="0.26700000000000002"/>
    <s v="5.0256e-05"/>
    <n v="0.99995000000000001"/>
    <s v="36.85900007870583"/>
    <s v="3.643114274320769"/>
    <s v="84.78943915475553"/>
    <s v="8.275353726329428"/>
    <n v="737933883"/>
    <x v="0"/>
    <n v="1.0234923000000001E-3"/>
    <x v="0"/>
  </r>
  <r>
    <n v="51"/>
    <n v="1"/>
    <n v="1"/>
    <n v="2"/>
    <n v="2"/>
    <n v="2"/>
    <n v="0"/>
    <n v="43"/>
    <n v="5"/>
    <n v="2"/>
    <n v="4"/>
    <n v="9619"/>
    <n v="1731"/>
    <n v="7888"/>
    <n v="0.71199999999999997"/>
    <n v="3690"/>
    <n v="76"/>
    <n v="0.52"/>
    <n v="0.18"/>
    <n v="3.0653000000000001E-4"/>
    <n v="0.99968999999999997"/>
    <s v="21.867072295389512"/>
    <n v="8.3261520831041"/>
    <s v="102.01867404492032"/>
    <s v="5.053830052060427"/>
    <n v="712365483"/>
    <x v="0"/>
    <n v="3.2914013999999999E-4"/>
    <x v="0"/>
  </r>
  <r>
    <n v="51"/>
    <n v="0"/>
    <n v="2"/>
    <n v="2"/>
    <n v="2"/>
    <n v="1"/>
    <n v="0"/>
    <n v="36"/>
    <n v="1"/>
    <n v="1"/>
    <n v="1"/>
    <n v="3785"/>
    <n v="1329"/>
    <n v="2456"/>
    <n v="0.86399999999999999"/>
    <n v="15209"/>
    <n v="104"/>
    <n v="0.89100000000000001"/>
    <n v="0.35099999999999998"/>
    <s v="3.3214e-05"/>
    <n v="0.99997000000000003"/>
    <s v="21.95344413185452"/>
    <s v="82.57009357246214"/>
    <s v="159.27781586698922"/>
    <s v="13.57759729855854"/>
    <n v="721530633"/>
    <x v="0"/>
    <n v="3.4656386999999997E-4"/>
    <x v="0"/>
  </r>
  <r>
    <n v="40"/>
    <n v="0"/>
    <n v="5"/>
    <n v="3"/>
    <n v="2"/>
    <n v="4"/>
    <n v="0"/>
    <n v="22"/>
    <n v="3"/>
    <n v="1"/>
    <n v="2"/>
    <n v="1826"/>
    <n v="944"/>
    <n v="882"/>
    <n v="0.68600000000000005"/>
    <n v="4528"/>
    <n v="65"/>
    <n v="0.66700000000000004"/>
    <n v="0.51700000000000002"/>
    <s v="5.5277e-05"/>
    <n v="0.99994000000000005"/>
    <s v="23.10467716306817"/>
    <s v="81.51249880172296"/>
    <s v="15.020124888421243"/>
    <s v="2.2948617192651866"/>
    <n v="779114283"/>
    <x v="0"/>
    <n v="4.049433E-4"/>
    <x v="0"/>
  </r>
  <r>
    <n v="43"/>
    <n v="1"/>
    <n v="3"/>
    <n v="3"/>
    <n v="1"/>
    <n v="3"/>
    <n v="0"/>
    <n v="32"/>
    <n v="6"/>
    <n v="2"/>
    <n v="3"/>
    <n v="5851"/>
    <n v="1660"/>
    <n v="4191"/>
    <n v="0.78600000000000003"/>
    <n v="1572"/>
    <n v="38"/>
    <n v="0.52"/>
    <n v="0.28399999999999997"/>
    <n v="1.9311E-4"/>
    <n v="0.99980999999999998"/>
    <n v="24.7971295779138"/>
    <s v="77.64526067820101"/>
    <s v="22.26828372103606"/>
    <s v="17.305998729649406"/>
    <n v="779791008"/>
    <x v="0"/>
    <n v="1.1544054E-3"/>
    <x v="0"/>
  </r>
  <r>
    <n v="46"/>
    <n v="0"/>
    <n v="4"/>
    <n v="5"/>
    <n v="0"/>
    <n v="5"/>
    <n v="0"/>
    <n v="34"/>
    <n v="2"/>
    <n v="3"/>
    <n v="1"/>
    <n v="8110"/>
    <n v="1549"/>
    <n v="6561"/>
    <n v="0.80800000000000005"/>
    <n v="8033"/>
    <n v="94"/>
    <n v="0.64900000000000002"/>
    <n v="0.191"/>
    <n v="1.1697E-4"/>
    <n v="0.99987999999999999"/>
    <s v="74.80533896028332"/>
    <s v="57.55503927765859"/>
    <s v="30.13525505597493"/>
    <s v="11.112053166484312"/>
    <n v="709883883"/>
    <x v="0"/>
    <n v="3.7789578000000003E-4"/>
    <x v="0"/>
  </r>
  <r>
    <n v="42"/>
    <n v="0"/>
    <n v="3"/>
    <n v="5"/>
    <n v="1"/>
    <n v="5"/>
    <n v="0"/>
    <n v="30"/>
    <n v="3"/>
    <n v="2"/>
    <n v="1"/>
    <n v="3549"/>
    <n v="0"/>
    <n v="3549"/>
    <n v="0.58399999999999996"/>
    <n v="3921"/>
    <n v="63"/>
    <n v="0.8"/>
    <n v="0"/>
    <s v="7.3235e-05"/>
    <n v="0.99992999999999999"/>
    <s v="32.50222005547626"/>
    <s v="27.13966697833088"/>
    <s v="59.70504191315704"/>
    <s v="11.43033880148089"/>
    <n v="709045683"/>
    <x v="0"/>
    <n v="8.1245880000000001E-4"/>
    <x v="0"/>
  </r>
  <r>
    <n v="37"/>
    <n v="1"/>
    <n v="3"/>
    <n v="6"/>
    <n v="2"/>
    <n v="1"/>
    <n v="3"/>
    <n v="24"/>
    <n v="3"/>
    <n v="1"/>
    <n v="3"/>
    <n v="15133"/>
    <n v="1663"/>
    <n v="13470"/>
    <n v="0.64600000000000002"/>
    <n v="4392"/>
    <n v="68"/>
    <n v="0.51100000000000001"/>
    <n v="0.11"/>
    <s v="9.5471e-05"/>
    <n v="0.99990000000000001"/>
    <s v="3.699927728354114"/>
    <s v="13.600275352682642"/>
    <s v="16.008645544783622"/>
    <n v="0.84068070359348901"/>
    <n v="708403308"/>
    <x v="0"/>
    <n v="3.4439339999999999E-4"/>
    <x v="0"/>
  </r>
  <r>
    <n v="46"/>
    <n v="0"/>
    <n v="2"/>
    <n v="6"/>
    <n v="2"/>
    <n v="4"/>
    <n v="0"/>
    <n v="41"/>
    <n v="2"/>
    <n v="3"/>
    <n v="3"/>
    <n v="2665"/>
    <n v="2157"/>
    <n v="508"/>
    <n v="0.63700000000000001"/>
    <n v="4249"/>
    <n v="76"/>
    <n v="1.2350000000000001"/>
    <n v="0.80900000000000005"/>
    <n v="3.3251E-4"/>
    <n v="0.99966999999999995"/>
    <s v="33.64588989324931"/>
    <s v="62.49062206970528"/>
    <s v="8.036647337204236"/>
    <s v="6.734472392175141"/>
    <n v="808281483"/>
    <x v="0"/>
    <n v="3.2101269999999999E-4"/>
    <x v="0"/>
  </r>
  <r>
    <n v="49"/>
    <n v="1"/>
    <n v="2"/>
    <n v="4"/>
    <n v="3"/>
    <n v="2"/>
    <n v="0"/>
    <n v="36"/>
    <n v="4"/>
    <n v="2"/>
    <n v="5"/>
    <n v="18253"/>
    <n v="2517"/>
    <n v="15736"/>
    <n v="0.91"/>
    <n v="3737"/>
    <n v="73"/>
    <n v="0.58699999999999997"/>
    <n v="0.13800000000000001"/>
    <n v="6.6474000000000004E-4"/>
    <n v="0.99934000000000001"/>
    <s v="40.235470304127006"/>
    <s v="54.50388929796284"/>
    <s v="20.65986824783735"/>
    <s v="11.46629547335038"/>
    <n v="709215708"/>
    <x v="0"/>
    <n v="4.7434107000000002E-4"/>
    <x v="0"/>
  </r>
  <r>
    <n v="56"/>
    <n v="1"/>
    <n v="3"/>
    <n v="2"/>
    <n v="2"/>
    <n v="2"/>
    <n v="0"/>
    <n v="46"/>
    <n v="1"/>
    <n v="2"/>
    <n v="2"/>
    <n v="1891"/>
    <n v="1134"/>
    <n v="757"/>
    <n v="0.63600000000000001"/>
    <n v="5255"/>
    <n v="77"/>
    <n v="0.83299999999999996"/>
    <n v="0.6"/>
    <n v="1.1811000000000001E-4"/>
    <n v="0.99987999999999999"/>
    <n v="15.9752673899154"/>
    <s v="19.84175665251012"/>
    <s v="48.08217748283142"/>
    <s v="6.688689923915951"/>
    <n v="714979383"/>
    <x v="0"/>
    <n v="4.1460690000000002E-4"/>
    <x v="0"/>
  </r>
  <r>
    <n v="55"/>
    <n v="0"/>
    <n v="3"/>
    <n v="2"/>
    <n v="1"/>
    <n v="4"/>
    <n v="0"/>
    <n v="36"/>
    <n v="6"/>
    <n v="2"/>
    <n v="3"/>
    <n v="3035"/>
    <n v="2298"/>
    <n v="737"/>
    <n v="1.724"/>
    <n v="1877"/>
    <n v="37"/>
    <n v="1.1759999999999999"/>
    <n v="0.75700000000000001"/>
    <n v="1.9864000000000001E-4"/>
    <n v="0.99980000000000002"/>
    <s v="28.37885577037336"/>
    <s v="22.402739886068662"/>
    <s v="54.46136033991491"/>
    <s v="7.062721474637393"/>
    <n v="713962233"/>
    <x v="0"/>
    <n v="9.5900599999999999E-4"/>
    <x v="0"/>
  </r>
  <r>
    <n v="43"/>
    <n v="1"/>
    <n v="3"/>
    <n v="0"/>
    <n v="1"/>
    <n v="3"/>
    <n v="0"/>
    <n v="24"/>
    <n v="6"/>
    <n v="3"/>
    <n v="1"/>
    <n v="4726"/>
    <n v="1161"/>
    <n v="3565"/>
    <n v="0.69799999999999995"/>
    <n v="4683"/>
    <n v="91"/>
    <n v="0.89600000000000002"/>
    <n v="0.246"/>
    <n v="1.0944E-4"/>
    <n v="0.99988999999999995"/>
    <s v="19.283971902843145"/>
    <s v="49.889513752974736"/>
    <s v="58.58663699548424"/>
    <s v="19.70065630042741"/>
    <n v="788776008"/>
    <x v="0"/>
    <n v="3.2101269999999999E-4"/>
    <x v="0"/>
  </r>
  <r>
    <n v="59"/>
    <n v="0"/>
    <n v="0"/>
    <n v="6"/>
    <n v="2"/>
    <n v="4"/>
    <n v="0"/>
    <n v="52"/>
    <n v="3"/>
    <n v="3"/>
    <n v="3"/>
    <n v="2533"/>
    <n v="2076"/>
    <n v="457"/>
    <n v="0.73799999999999999"/>
    <n v="3816"/>
    <n v="75"/>
    <n v="0.82899999999999996"/>
    <n v="0.82"/>
    <n v="2.8535000000000002E-4"/>
    <n v="0.99970999999999999"/>
    <s v="39.50277048849806"/>
    <s v="34.83319680058155"/>
    <s v="45.05640461934012"/>
    <s v="4.071602516148815"/>
    <n v="713193408"/>
    <x v="0"/>
    <n v="3.2101269999999999E-4"/>
    <x v="0"/>
  </r>
  <r>
    <n v="45"/>
    <n v="1"/>
    <n v="4"/>
    <n v="2"/>
    <n v="1"/>
    <n v="2"/>
    <n v="0"/>
    <n v="34"/>
    <n v="6"/>
    <n v="2"/>
    <n v="3"/>
    <n v="2731"/>
    <n v="1868"/>
    <n v="863"/>
    <n v="0.53300000000000003"/>
    <n v="3915"/>
    <n v="66"/>
    <n v="0.65"/>
    <n v="0.68400000000000005"/>
    <n v="2.0076999999999999E-4"/>
    <n v="0.99980000000000002"/>
    <s v="2.8560954631895856"/>
    <s v="32.348597230368675"/>
    <s v="12.949293910740378"/>
    <s v="0.2192020543738593"/>
    <n v="771854808"/>
    <x v="0"/>
    <n v="3.2101269999999999E-4"/>
    <x v="0"/>
  </r>
  <r>
    <n v="39"/>
    <n v="0"/>
    <n v="3"/>
    <n v="3"/>
    <n v="2"/>
    <n v="5"/>
    <n v="0"/>
    <n v="36"/>
    <n v="3"/>
    <n v="3"/>
    <n v="3"/>
    <n v="2366"/>
    <n v="1927"/>
    <n v="439"/>
    <n v="0.63100000000000001"/>
    <n v="3659"/>
    <n v="66"/>
    <n v="0.83299999999999996"/>
    <n v="0.81399999999999995"/>
    <n v="3.0516000000000001E-4"/>
    <n v="0.99968999999999997"/>
    <s v="30.542312396027896"/>
    <s v="28.726553712119152"/>
    <s v="117.4841346111599"/>
    <s v="16.18952751956115"/>
    <n v="716414958"/>
    <x v="0"/>
    <n v="3.2101269999999999E-4"/>
    <x v="0"/>
  </r>
  <r>
    <n v="36"/>
    <n v="0"/>
    <n v="4"/>
    <n v="3"/>
    <n v="1"/>
    <n v="1"/>
    <n v="0"/>
    <n v="30"/>
    <n v="3"/>
    <n v="3"/>
    <n v="1"/>
    <n v="1438.3"/>
    <n v="0"/>
    <n v="1438.3"/>
    <n v="0.71"/>
    <n v="4591"/>
    <n v="74"/>
    <n v="0.64400000000000002"/>
    <n v="0"/>
    <n v="1.106E-4"/>
    <n v="0.99988999999999995"/>
    <s v="17.62231972338876"/>
    <s v="95.11510569734756"/>
    <s v="68.23138277813564"/>
    <s v="6.687824866156568"/>
    <n v="714818058"/>
    <x v="0"/>
    <n v="7.1276520000000004E-4"/>
    <x v="0"/>
  </r>
  <r>
    <n v="35"/>
    <n v="1"/>
    <n v="0"/>
    <n v="1"/>
    <n v="2"/>
    <n v="2"/>
    <n v="0"/>
    <n v="18"/>
    <n v="6"/>
    <n v="2"/>
    <n v="3"/>
    <n v="2598"/>
    <n v="1645"/>
    <n v="953"/>
    <n v="0.76500000000000001"/>
    <n v="2483"/>
    <n v="59"/>
    <n v="0.90300000000000002"/>
    <n v="0.63300000000000001"/>
    <n v="2.3771E-4"/>
    <n v="0.99975999999999998"/>
    <s v="42.02870580543731"/>
    <s v="13.056659701491125"/>
    <s v="83.98306523982131"/>
    <s v="3.5578280195540968"/>
    <n v="712060158"/>
    <x v="0"/>
    <n v="4.733537E-4"/>
    <x v="0"/>
  </r>
  <r>
    <n v="44"/>
    <n v="0"/>
    <n v="4"/>
    <n v="5"/>
    <n v="1"/>
    <n v="4"/>
    <n v="0"/>
    <n v="36"/>
    <n v="2"/>
    <n v="2"/>
    <n v="3"/>
    <n v="6769"/>
    <n v="1133"/>
    <n v="5636"/>
    <n v="0.74299999999999999"/>
    <n v="7986"/>
    <n v="88"/>
    <n v="0.6"/>
    <n v="0.16700000000000001"/>
    <n v="2.0642999999999999E-4"/>
    <n v="0.99978999999999996"/>
    <s v="27.22213013287844"/>
    <s v="53.926714049272114"/>
    <s v="5.788315492981343"/>
    <s v="9.154913580400304"/>
    <n v="716283108"/>
    <x v="0"/>
    <n v="3.7789578000000003E-4"/>
    <x v="0"/>
  </r>
  <r>
    <n v="48"/>
    <n v="1"/>
    <n v="4"/>
    <n v="6"/>
    <n v="2"/>
    <n v="2"/>
    <n v="0"/>
    <n v="30"/>
    <n v="4"/>
    <n v="3"/>
    <n v="3"/>
    <n v="7712"/>
    <n v="1387"/>
    <n v="6325"/>
    <n v="0.86099999999999999"/>
    <n v="1597"/>
    <n v="39"/>
    <n v="0.56000000000000005"/>
    <n v="0.18"/>
    <n v="3.4872000000000001E-4"/>
    <n v="0.99965000000000004"/>
    <s v="4.027563158099749"/>
    <s v="26.41722595431248"/>
    <s v="24.306593338241747"/>
    <s v="8.069336498918428"/>
    <n v="711622683"/>
    <x v="0"/>
    <n v="1.0598798E-3"/>
    <x v="0"/>
  </r>
  <r>
    <n v="61"/>
    <n v="0"/>
    <n v="0"/>
    <n v="6"/>
    <n v="1"/>
    <n v="4"/>
    <n v="0"/>
    <n v="55"/>
    <n v="4"/>
    <n v="2"/>
    <n v="3"/>
    <n v="2194"/>
    <n v="1512"/>
    <n v="682"/>
    <n v="0.72499999999999998"/>
    <n v="4069"/>
    <n v="80"/>
    <n v="0.77800000000000002"/>
    <n v="0.68899999999999995"/>
    <n v="1.8056999999999999E-4"/>
    <n v="0.99982000000000004"/>
    <s v="25.661094679316665"/>
    <s v="42.004851293638325"/>
    <s v="53.16953680900389"/>
    <s v="4.125375962212789"/>
    <n v="798996183"/>
    <x v="0"/>
    <n v="3.2101269999999999E-4"/>
    <x v="0"/>
  </r>
  <r>
    <n v="40"/>
    <n v="1"/>
    <n v="2"/>
    <n v="3"/>
    <n v="0"/>
    <n v="2"/>
    <n v="0"/>
    <n v="25"/>
    <n v="6"/>
    <n v="4"/>
    <n v="2"/>
    <n v="2978"/>
    <n v="0"/>
    <n v="2978"/>
    <n v="0.49"/>
    <n v="3879"/>
    <n v="95"/>
    <n v="0.58299999999999996"/>
    <n v="0"/>
    <n v="2.1132E-4"/>
    <n v="0.99978999999999996"/>
    <s v="10.59546509905264"/>
    <s v="48.491324620598505"/>
    <s v="9.941589258045184"/>
    <s v="10.759225425292623"/>
    <n v="720614658"/>
    <x v="0"/>
    <n v="7.387203E-4"/>
    <x v="0"/>
  </r>
  <r>
    <n v="62"/>
    <n v="1"/>
    <n v="0"/>
    <n v="2"/>
    <n v="1"/>
    <n v="2"/>
    <n v="0"/>
    <n v="36"/>
    <n v="6"/>
    <n v="3"/>
    <n v="3"/>
    <n v="3674"/>
    <n v="895"/>
    <n v="2779"/>
    <n v="0.65800000000000003"/>
    <n v="1703"/>
    <n v="48"/>
    <n v="0.371"/>
    <n v="0.24399999999999999"/>
    <n v="2.5960000000000002E-4"/>
    <n v="0.99973999999999996"/>
    <s v="44.37642406978903"/>
    <s v="14.581507137193343"/>
    <n v="65.028550063293693"/>
    <s v="18.87008187571148"/>
    <n v="716149383"/>
    <x v="0"/>
    <n v="1.6249438000000001E-3"/>
    <x v="0"/>
  </r>
  <r>
    <n v="51"/>
    <n v="0"/>
    <n v="1"/>
    <n v="3"/>
    <n v="2"/>
    <n v="5"/>
    <n v="0"/>
    <n v="39"/>
    <n v="4"/>
    <n v="3"/>
    <n v="2"/>
    <n v="5448"/>
    <n v="0"/>
    <n v="5448"/>
    <n v="1.0109999999999999"/>
    <n v="4443"/>
    <n v="75"/>
    <n v="1.083"/>
    <n v="0"/>
    <n v="1.6412999999999999E-4"/>
    <n v="0.99983999999999995"/>
    <s v="22.758921589242487"/>
    <s v="63.90475238564026"/>
    <s v="30.219458618755965"/>
    <s v="1.1199158372443174"/>
    <n v="771730758"/>
    <x v="0"/>
    <n v="7.4699510000000001E-4"/>
    <x v="0"/>
  </r>
  <r>
    <n v="49"/>
    <n v="0"/>
    <n v="3"/>
    <n v="5"/>
    <n v="1"/>
    <n v="5"/>
    <n v="0"/>
    <n v="36"/>
    <n v="5"/>
    <n v="3"/>
    <n v="3"/>
    <n v="1438.3"/>
    <n v="0"/>
    <n v="1438.3"/>
    <n v="0.80600000000000005"/>
    <n v="4869"/>
    <n v="73"/>
    <n v="0.82499999999999996"/>
    <n v="0"/>
    <n v="3.2275000000000001E-4"/>
    <n v="0.99968000000000001"/>
    <s v="25.423492131011265"/>
    <s v="32.82326097282494"/>
    <s v="47.50580577228692"/>
    <s v="12.599022110918831"/>
    <n v="712835433"/>
    <x v="0"/>
    <n v="6.9517245999999998E-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E8001-B7EE-4D12-9AD4-5D8A39AB8978}" name="PivotTable2" cacheId="19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7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6">
        <item x="0"/>
        <item m="1" x="2"/>
        <item m="1" x="4"/>
        <item m="1" x="3"/>
        <item x="1"/>
        <item t="default"/>
      </items>
    </pivotField>
  </pivotFields>
  <rowFields count="1">
    <field x="26"/>
  </rowFields>
  <rowItems count="3">
    <i>
      <x/>
    </i>
    <i>
      <x v="1"/>
    </i>
    <i t="grand">
      <x/>
    </i>
  </rowItems>
  <colFields count="1">
    <field x="28"/>
  </colFields>
  <colItems count="3">
    <i>
      <x/>
    </i>
    <i>
      <x v="4"/>
    </i>
    <i t="grand">
      <x/>
    </i>
  </colItems>
  <dataFields count="1">
    <dataField name="Count of app_id" fld="25" subtotal="count" baseField="2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7F1A-25A8-4478-B214-BFBFCD2C96F1}">
  <dimension ref="B2:Z26"/>
  <sheetViews>
    <sheetView showGridLines="0" tabSelected="1" zoomScale="80" zoomScaleNormal="80" workbookViewId="0"/>
  </sheetViews>
  <sheetFormatPr defaultRowHeight="14.45"/>
  <cols>
    <col min="1" max="1" width="5.7109375" customWidth="1"/>
    <col min="2" max="2" width="6.7109375" bestFit="1" customWidth="1"/>
    <col min="3" max="3" width="11" bestFit="1" customWidth="1"/>
    <col min="4" max="4" width="9.28515625" bestFit="1" customWidth="1"/>
    <col min="5" max="5" width="9.85546875" bestFit="1" customWidth="1"/>
    <col min="6" max="6" width="9.140625" bestFit="1" customWidth="1"/>
    <col min="7" max="7" width="9.42578125" bestFit="1" customWidth="1"/>
    <col min="8" max="8" width="8.85546875" bestFit="1" customWidth="1"/>
    <col min="9" max="9" width="11.85546875" bestFit="1" customWidth="1"/>
    <col min="10" max="10" width="13.140625" bestFit="1" customWidth="1"/>
    <col min="11" max="11" width="6.28515625" bestFit="1" customWidth="1"/>
    <col min="12" max="12" width="10.140625" bestFit="1" customWidth="1"/>
    <col min="13" max="13" width="9.28515625" bestFit="1" customWidth="1"/>
    <col min="14" max="14" width="9.85546875" bestFit="1" customWidth="1"/>
    <col min="15" max="15" width="9.140625" bestFit="1" customWidth="1"/>
    <col min="16" max="16" width="8.140625" bestFit="1" customWidth="1"/>
    <col min="17" max="18" width="8.85546875" bestFit="1" customWidth="1"/>
    <col min="19" max="19" width="11" bestFit="1" customWidth="1"/>
    <col min="20" max="20" width="10.140625" bestFit="1" customWidth="1"/>
    <col min="21" max="21" width="6.28515625" customWidth="1"/>
    <col min="22" max="22" width="8.140625" bestFit="1" customWidth="1"/>
    <col min="23" max="23" width="8.140625" customWidth="1"/>
    <col min="25" max="25" width="17" bestFit="1" customWidth="1"/>
  </cols>
  <sheetData>
    <row r="2" spans="2:26">
      <c r="C2" s="31" t="s">
        <v>0</v>
      </c>
      <c r="D2" s="31" t="s">
        <v>1</v>
      </c>
    </row>
    <row r="3" spans="2:26">
      <c r="B3" s="2"/>
      <c r="C3" s="2"/>
      <c r="D3" s="52" t="s">
        <v>2</v>
      </c>
      <c r="E3" s="53"/>
      <c r="F3" s="53"/>
      <c r="G3" s="53"/>
      <c r="H3" s="53"/>
      <c r="I3" s="53"/>
      <c r="J3" s="53"/>
      <c r="K3" s="53"/>
      <c r="L3" s="54"/>
      <c r="M3" s="51" t="s">
        <v>3</v>
      </c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2:26">
      <c r="B4" s="1" t="s">
        <v>4</v>
      </c>
      <c r="C4" s="1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5" t="s">
        <v>6</v>
      </c>
      <c r="N4" s="5" t="s">
        <v>7</v>
      </c>
      <c r="O4" s="5" t="s">
        <v>8</v>
      </c>
      <c r="P4" s="5" t="s">
        <v>9</v>
      </c>
      <c r="Q4" s="5" t="s">
        <v>10</v>
      </c>
      <c r="R4" s="5" t="s">
        <v>15</v>
      </c>
      <c r="S4" s="5" t="s">
        <v>16</v>
      </c>
      <c r="T4" s="5" t="s">
        <v>14</v>
      </c>
      <c r="U4" s="5" t="s">
        <v>13</v>
      </c>
      <c r="V4" s="5" t="s">
        <v>17</v>
      </c>
      <c r="W4" s="5" t="s">
        <v>18</v>
      </c>
    </row>
    <row r="5" spans="2:26">
      <c r="B5" s="2" t="s">
        <v>19</v>
      </c>
      <c r="C5" s="2" t="s">
        <v>20</v>
      </c>
      <c r="D5" s="12">
        <v>31255</v>
      </c>
      <c r="E5" s="7">
        <f>D5/D$13</f>
        <v>8.370761389779395E-2</v>
      </c>
      <c r="F5" s="12">
        <f>D5-G5</f>
        <v>28755</v>
      </c>
      <c r="G5" s="12">
        <v>2500</v>
      </c>
      <c r="H5" s="14">
        <f>G5/D5</f>
        <v>7.9987202047672373E-2</v>
      </c>
      <c r="I5" s="11">
        <f>SUM(G$5:G5)/$G$13</f>
        <v>0.21182850364345027</v>
      </c>
      <c r="J5" s="11">
        <f>SUM(F$5:F5)/$F$13</f>
        <v>7.9525749417143049E-2</v>
      </c>
      <c r="K5" s="16">
        <f>I5-J5</f>
        <v>0.13230275422630722</v>
      </c>
      <c r="L5" s="3">
        <f>RANK(H5,$H$5:$H$12)</f>
        <v>1</v>
      </c>
      <c r="M5" s="17">
        <v>36372</v>
      </c>
      <c r="N5" s="8">
        <f t="shared" ref="N5:N12" si="0">M5/M$13</f>
        <v>9.87095461021779E-2</v>
      </c>
      <c r="O5" s="19">
        <f>M5-P5</f>
        <v>32372</v>
      </c>
      <c r="P5" s="17">
        <v>4000</v>
      </c>
      <c r="Q5" s="10">
        <f>P5/M5</f>
        <v>0.10997470581766194</v>
      </c>
      <c r="R5" s="9">
        <f>P5/P13</f>
        <v>0.28101728256287761</v>
      </c>
      <c r="S5" s="9">
        <f>O5/O13</f>
        <v>9.1384114204736328E-2</v>
      </c>
      <c r="T5" s="17">
        <f>RANK(Q5,$Q$5:$Q$12)</f>
        <v>1</v>
      </c>
      <c r="U5" s="15">
        <f>R5-S5</f>
        <v>0.18963316835814129</v>
      </c>
      <c r="V5" s="18">
        <f>(N5-E5)*LN(N5/E5)</f>
        <v>2.4730943308753522E-3</v>
      </c>
      <c r="W5" s="19">
        <f>MAX(T5-L5,0)</f>
        <v>0</v>
      </c>
      <c r="Y5" s="2" t="s">
        <v>21</v>
      </c>
      <c r="Z5" s="6">
        <f>COUNTA(B5:B12)</f>
        <v>8</v>
      </c>
    </row>
    <row r="6" spans="2:26">
      <c r="B6" s="2" t="s">
        <v>22</v>
      </c>
      <c r="C6" s="2" t="s">
        <v>20</v>
      </c>
      <c r="D6" s="12">
        <v>4891</v>
      </c>
      <c r="E6" s="7">
        <f t="shared" ref="E6:E12" si="1">D6/D$13</f>
        <v>1.3099150202339153E-2</v>
      </c>
      <c r="F6" s="12">
        <f>D6-G6</f>
        <v>4573</v>
      </c>
      <c r="G6" s="12">
        <v>318</v>
      </c>
      <c r="H6" s="14">
        <f>G6/D6</f>
        <v>6.5017378859129019E-2</v>
      </c>
      <c r="I6" s="11">
        <f>SUM(G$5:G6)/$G$13</f>
        <v>0.23877308930689714</v>
      </c>
      <c r="J6" s="11">
        <f>SUM(F$5:F6)/$F$13</f>
        <v>9.217298475307055E-2</v>
      </c>
      <c r="K6" s="16">
        <f>I6-J6</f>
        <v>0.1466001045538266</v>
      </c>
      <c r="L6" s="3">
        <f>RANK(H6,$H$5:$H$12)</f>
        <v>2</v>
      </c>
      <c r="M6" s="17">
        <v>7130</v>
      </c>
      <c r="N6" s="8">
        <f t="shared" si="0"/>
        <v>1.9350023746522831E-2</v>
      </c>
      <c r="O6" s="19">
        <f t="shared" ref="O6:O12" si="2">M6-P6</f>
        <v>6774</v>
      </c>
      <c r="P6" s="17">
        <v>356</v>
      </c>
      <c r="Q6" s="10">
        <f>P6/M6</f>
        <v>4.9929873772791025E-2</v>
      </c>
      <c r="R6" s="9">
        <f>SUM(P$5:P6)/$P$13</f>
        <v>0.30602782071097373</v>
      </c>
      <c r="S6" s="9">
        <f>SUM(O$5:O6)/$O$13</f>
        <v>0.11050668894904882</v>
      </c>
      <c r="T6" s="17">
        <f t="shared" ref="T6:T12" si="3">RANK(Q6,$Q$5:$Q$12)</f>
        <v>2</v>
      </c>
      <c r="U6" s="15">
        <f t="shared" ref="U6:U12" si="4">R6-S6</f>
        <v>0.19552113176192493</v>
      </c>
      <c r="V6" s="18">
        <f t="shared" ref="V6:V12" si="5">(N6-E6)*LN(N6/E6)</f>
        <v>2.4387551139775517E-3</v>
      </c>
      <c r="W6" s="19">
        <f t="shared" ref="W6:W12" si="6">MAX(T6-L6,0)</f>
        <v>0</v>
      </c>
      <c r="Y6" s="2" t="s">
        <v>23</v>
      </c>
      <c r="Z6" s="2">
        <f>TRUNC(Z5/2)*ROUNDUP(Z5/2,0)</f>
        <v>16</v>
      </c>
    </row>
    <row r="7" spans="2:26">
      <c r="B7" s="2" t="s">
        <v>24</v>
      </c>
      <c r="C7" s="2" t="s">
        <v>20</v>
      </c>
      <c r="D7" s="12">
        <v>19283</v>
      </c>
      <c r="E7" s="7">
        <f t="shared" si="1"/>
        <v>5.1644022357739905E-2</v>
      </c>
      <c r="F7" s="12">
        <f>D7-G7</f>
        <v>18318</v>
      </c>
      <c r="G7" s="12">
        <v>965</v>
      </c>
      <c r="H7" s="14">
        <f>G7/D7</f>
        <v>5.0044080277965045E-2</v>
      </c>
      <c r="I7" s="11">
        <f>SUM(G$5:G7)/$G$13</f>
        <v>0.32053889171326894</v>
      </c>
      <c r="J7" s="11">
        <f>SUM(F$5:F7)/$F$13</f>
        <v>0.14283383252991722</v>
      </c>
      <c r="K7" s="16">
        <f>I7-J7</f>
        <v>0.17770505918335172</v>
      </c>
      <c r="L7" s="3">
        <f>RANK(H7,$H$5:$H$12)</f>
        <v>3</v>
      </c>
      <c r="M7" s="17">
        <v>21353</v>
      </c>
      <c r="N7" s="8">
        <f t="shared" si="0"/>
        <v>5.7949657371599156E-2</v>
      </c>
      <c r="O7" s="19">
        <f t="shared" si="2"/>
        <v>20603</v>
      </c>
      <c r="P7" s="17">
        <v>750</v>
      </c>
      <c r="Q7" s="10">
        <f>P7/M7</f>
        <v>3.5123870182175804E-2</v>
      </c>
      <c r="R7" s="9">
        <f>SUM(P$5:P7)/$P$13</f>
        <v>0.3587185611915133</v>
      </c>
      <c r="S7" s="9">
        <f>SUM(O$5:O7)/$O$13</f>
        <v>0.16866765845850706</v>
      </c>
      <c r="T7" s="17">
        <f t="shared" si="3"/>
        <v>6</v>
      </c>
      <c r="U7" s="15">
        <f t="shared" si="4"/>
        <v>0.19005090273300623</v>
      </c>
      <c r="V7" s="18">
        <f t="shared" si="5"/>
        <v>7.2641042766488032E-4</v>
      </c>
      <c r="W7" s="19">
        <f t="shared" si="6"/>
        <v>3</v>
      </c>
    </row>
    <row r="8" spans="2:26">
      <c r="B8" s="2" t="s">
        <v>25</v>
      </c>
      <c r="C8" s="2" t="s">
        <v>26</v>
      </c>
      <c r="D8" s="12">
        <v>63198</v>
      </c>
      <c r="E8" s="7">
        <f t="shared" si="1"/>
        <v>0.1692578398052402</v>
      </c>
      <c r="F8" s="12">
        <f>D8-G8</f>
        <v>60678</v>
      </c>
      <c r="G8" s="12">
        <v>2520</v>
      </c>
      <c r="H8" s="14">
        <f>G8/D8</f>
        <v>3.9874679578467673E-2</v>
      </c>
      <c r="I8" s="11">
        <f>SUM(G$5:G8)/$G$13</f>
        <v>0.53406202338586684</v>
      </c>
      <c r="J8" s="11">
        <f>SUM(F$5:F8)/$F$13</f>
        <v>0.31064685367870548</v>
      </c>
      <c r="K8" s="16">
        <f>I8-J8</f>
        <v>0.22341516970716135</v>
      </c>
      <c r="L8" s="3">
        <f>RANK(H8,$H$5:$H$12)</f>
        <v>4</v>
      </c>
      <c r="M8" s="17">
        <v>77146</v>
      </c>
      <c r="N8" s="8">
        <f t="shared" si="0"/>
        <v>0.20936562860438293</v>
      </c>
      <c r="O8" s="19">
        <f t="shared" si="2"/>
        <v>73779</v>
      </c>
      <c r="P8" s="17">
        <v>3367</v>
      </c>
      <c r="Q8" s="10">
        <f>P8/M8</f>
        <v>4.3644518186296111E-2</v>
      </c>
      <c r="R8" s="9">
        <f>SUM(P$5:P8)/$P$13</f>
        <v>0.59526485878881552</v>
      </c>
      <c r="S8" s="9">
        <f>SUM(O$5:O8)/$O$13</f>
        <v>0.37694112200451108</v>
      </c>
      <c r="T8" s="17">
        <f t="shared" si="3"/>
        <v>5</v>
      </c>
      <c r="U8" s="15">
        <f t="shared" si="4"/>
        <v>0.21832373678430445</v>
      </c>
      <c r="V8" s="18">
        <f t="shared" si="5"/>
        <v>8.5292786924713714E-3</v>
      </c>
      <c r="W8" s="19">
        <f t="shared" si="6"/>
        <v>1</v>
      </c>
    </row>
    <row r="9" spans="2:26">
      <c r="B9" s="2" t="s">
        <v>27</v>
      </c>
      <c r="C9" s="2" t="s">
        <v>26</v>
      </c>
      <c r="D9" s="12">
        <v>92208</v>
      </c>
      <c r="E9" s="7">
        <f t="shared" si="1"/>
        <v>0.24695286073549144</v>
      </c>
      <c r="F9" s="12">
        <f>D9-G9</f>
        <v>88708</v>
      </c>
      <c r="G9" s="12">
        <v>3500</v>
      </c>
      <c r="H9" s="14">
        <f>G9/D9</f>
        <v>3.7957660940482391E-2</v>
      </c>
      <c r="I9" s="11">
        <f>SUM(G$5:G9)/$G$13</f>
        <v>0.83062192848669714</v>
      </c>
      <c r="J9" s="11">
        <f>SUM(F$5:F9)/$F$13</f>
        <v>0.55598054101294037</v>
      </c>
      <c r="K9" s="16">
        <f>I9-J9</f>
        <v>0.27464138747375677</v>
      </c>
      <c r="L9" s="3">
        <f>RANK(H9,$H$5:$H$12)</f>
        <v>5</v>
      </c>
      <c r="M9" s="17">
        <v>45364</v>
      </c>
      <c r="N9" s="8">
        <f t="shared" si="0"/>
        <v>0.12311282990704933</v>
      </c>
      <c r="O9" s="19">
        <f t="shared" si="2"/>
        <v>43323</v>
      </c>
      <c r="P9" s="17">
        <v>2041</v>
      </c>
      <c r="Q9" s="10">
        <f>P9/M9</f>
        <v>4.4991623313640774E-2</v>
      </c>
      <c r="R9" s="9">
        <f>SUM(P$5:P9)/$P$13</f>
        <v>0.73865392721652379</v>
      </c>
      <c r="S9" s="9">
        <f>SUM(O$5:O9)/$O$13</f>
        <v>0.49923921849814107</v>
      </c>
      <c r="T9" s="17">
        <f t="shared" si="3"/>
        <v>3</v>
      </c>
      <c r="U9" s="15">
        <f t="shared" si="4"/>
        <v>0.23941470871838272</v>
      </c>
      <c r="V9" s="18">
        <f t="shared" si="5"/>
        <v>8.6204577341538191E-2</v>
      </c>
      <c r="W9" s="19">
        <f t="shared" si="6"/>
        <v>0</v>
      </c>
    </row>
    <row r="10" spans="2:26">
      <c r="B10" s="2" t="s">
        <v>28</v>
      </c>
      <c r="C10" s="2" t="s">
        <v>26</v>
      </c>
      <c r="D10" s="12">
        <v>5129</v>
      </c>
      <c r="E10" s="7">
        <f t="shared" si="1"/>
        <v>1.373656540335259E-2</v>
      </c>
      <c r="F10" s="12">
        <f>D10-G10</f>
        <v>4939</v>
      </c>
      <c r="G10" s="12">
        <v>190</v>
      </c>
      <c r="H10" s="14">
        <f>G10/D10</f>
        <v>3.7044258139988302E-2</v>
      </c>
      <c r="I10" s="11">
        <f>SUM(G$5:G10)/$G$13</f>
        <v>0.84672089476359935</v>
      </c>
      <c r="J10" s="11">
        <f>SUM(F$5:F10)/$F$13</f>
        <v>0.56963999767686913</v>
      </c>
      <c r="K10" s="16">
        <f>I10-J10</f>
        <v>0.27708089708673023</v>
      </c>
      <c r="L10" s="3">
        <f>RANK(H10,$H$5:$H$12)</f>
        <v>6</v>
      </c>
      <c r="M10" s="17">
        <v>40972</v>
      </c>
      <c r="N10" s="8">
        <f t="shared" si="0"/>
        <v>0.11119343239025714</v>
      </c>
      <c r="O10" s="19">
        <f t="shared" si="2"/>
        <v>39172</v>
      </c>
      <c r="P10" s="17">
        <v>1800</v>
      </c>
      <c r="Q10" s="10">
        <f>P10/M10</f>
        <v>4.3932441667480233E-2</v>
      </c>
      <c r="R10" s="9">
        <f>SUM(P$5:P10)/$P$13</f>
        <v>0.86511170436981877</v>
      </c>
      <c r="S10" s="9">
        <f>SUM(O$5:O10)/$O$13</f>
        <v>0.60981930380729499</v>
      </c>
      <c r="T10" s="17">
        <f t="shared" si="3"/>
        <v>4</v>
      </c>
      <c r="U10" s="15">
        <f t="shared" si="4"/>
        <v>0.25529240056252378</v>
      </c>
      <c r="V10" s="18">
        <f t="shared" si="5"/>
        <v>0.20380277811851172</v>
      </c>
      <c r="W10" s="19">
        <f t="shared" si="6"/>
        <v>0</v>
      </c>
    </row>
    <row r="11" spans="2:26">
      <c r="B11" s="2" t="s">
        <v>29</v>
      </c>
      <c r="C11" s="2" t="s">
        <v>26</v>
      </c>
      <c r="D11" s="12">
        <v>86730</v>
      </c>
      <c r="E11" s="7">
        <f t="shared" si="1"/>
        <v>0.23228159825166117</v>
      </c>
      <c r="F11" s="12">
        <f>D11-G11</f>
        <v>84996</v>
      </c>
      <c r="G11" s="12">
        <v>1734</v>
      </c>
      <c r="H11" s="14">
        <f>G11/D11</f>
        <v>1.9993081978554133E-2</v>
      </c>
      <c r="I11" s="11">
        <f>SUM(G$5:G11)/$G$13</f>
        <v>0.99364514489069644</v>
      </c>
      <c r="J11" s="11">
        <f>SUM(F$5:F11)/$F$13</f>
        <v>0.80470765886481865</v>
      </c>
      <c r="K11" s="16">
        <f>I11-J11</f>
        <v>0.18893748602587779</v>
      </c>
      <c r="L11" s="3">
        <f>RANK(H11,$H$5:$H$12)</f>
        <v>7</v>
      </c>
      <c r="M11" s="17">
        <v>72118</v>
      </c>
      <c r="N11" s="8">
        <f t="shared" si="0"/>
        <v>0.19572019811384761</v>
      </c>
      <c r="O11" s="19">
        <f t="shared" si="2"/>
        <v>71218</v>
      </c>
      <c r="P11" s="17">
        <v>900</v>
      </c>
      <c r="Q11" s="10">
        <f>P11/M11</f>
        <v>1.2479547408413989E-2</v>
      </c>
      <c r="R11" s="9">
        <f>SUM(P$5:P11)/$P$13</f>
        <v>0.9283405929464662</v>
      </c>
      <c r="S11" s="9">
        <f>SUM(O$5:O11)/$O$13</f>
        <v>0.81086322588294413</v>
      </c>
      <c r="T11" s="17">
        <f t="shared" si="3"/>
        <v>8</v>
      </c>
      <c r="U11" s="15">
        <f t="shared" si="4"/>
        <v>0.11747736706352208</v>
      </c>
      <c r="V11" s="18">
        <f t="shared" si="5"/>
        <v>6.2616641569539942E-3</v>
      </c>
      <c r="W11" s="19">
        <f t="shared" si="6"/>
        <v>1</v>
      </c>
    </row>
    <row r="12" spans="2:26">
      <c r="B12" s="2" t="s">
        <v>30</v>
      </c>
      <c r="C12" s="2" t="s">
        <v>26</v>
      </c>
      <c r="D12" s="12">
        <v>70689</v>
      </c>
      <c r="E12" s="7">
        <f t="shared" si="1"/>
        <v>0.18932034934638159</v>
      </c>
      <c r="F12" s="12">
        <f>D12-G12</f>
        <v>70614</v>
      </c>
      <c r="G12" s="12">
        <v>75</v>
      </c>
      <c r="H12" s="14">
        <f>G12/D12</f>
        <v>1.0609854432797182E-3</v>
      </c>
      <c r="I12" s="11">
        <f>SUM(G$5:G12)/$G$13</f>
        <v>1</v>
      </c>
      <c r="J12" s="11">
        <f>SUM(F$5:F12)/$F$13</f>
        <v>1</v>
      </c>
      <c r="K12" s="16">
        <f>I12-J12</f>
        <v>0</v>
      </c>
      <c r="L12" s="3">
        <f>RANK(H12,$H$5:$H$12)</f>
        <v>8</v>
      </c>
      <c r="M12" s="17">
        <v>68020</v>
      </c>
      <c r="N12" s="8">
        <f t="shared" si="0"/>
        <v>0.18459868376416311</v>
      </c>
      <c r="O12" s="19">
        <f t="shared" si="2"/>
        <v>67000</v>
      </c>
      <c r="P12" s="17">
        <v>1020</v>
      </c>
      <c r="Q12" s="10">
        <f>P12/M12</f>
        <v>1.4995589532490444E-2</v>
      </c>
      <c r="R12" s="9">
        <f>SUM(P$5:P12)/$P$13</f>
        <v>1</v>
      </c>
      <c r="S12" s="9">
        <f>SUM(O$5:O12)/$O$13</f>
        <v>1</v>
      </c>
      <c r="T12" s="17">
        <f t="shared" si="3"/>
        <v>7</v>
      </c>
      <c r="U12" s="15">
        <f t="shared" si="4"/>
        <v>0</v>
      </c>
      <c r="V12" s="18">
        <f t="shared" si="5"/>
        <v>1.1925207850707067E-4</v>
      </c>
      <c r="W12" s="19">
        <f t="shared" si="6"/>
        <v>0</v>
      </c>
    </row>
    <row r="13" spans="2:26">
      <c r="B13" s="49" t="s">
        <v>31</v>
      </c>
      <c r="C13" s="50"/>
      <c r="D13" s="22">
        <f>SUM(D5:D12)</f>
        <v>373383</v>
      </c>
      <c r="E13" s="23">
        <f>SUM(E5:E12)</f>
        <v>1</v>
      </c>
      <c r="F13" s="22">
        <f>SUM(F5:F12)</f>
        <v>361581</v>
      </c>
      <c r="G13" s="24">
        <f>SUM(G5:G12)</f>
        <v>11802</v>
      </c>
      <c r="H13" s="25">
        <f>G13/D13</f>
        <v>3.1608294967901594E-2</v>
      </c>
      <c r="I13" s="24"/>
      <c r="J13" s="24"/>
      <c r="K13" s="26">
        <f>MAX(K5:K12)</f>
        <v>0.27708089708673023</v>
      </c>
      <c r="L13" s="24"/>
      <c r="M13" s="22">
        <f>SUM(M5:M12)</f>
        <v>368475</v>
      </c>
      <c r="N13" s="23">
        <f>SUM(N5:N12)</f>
        <v>1</v>
      </c>
      <c r="O13" s="22">
        <f>SUM(O5:O12)</f>
        <v>354241</v>
      </c>
      <c r="P13" s="22">
        <f>SUM(P5:P12)</f>
        <v>14234</v>
      </c>
      <c r="Q13" s="30">
        <f>P13/M13</f>
        <v>3.8629486396634778E-2</v>
      </c>
      <c r="R13" s="24"/>
      <c r="S13" s="24"/>
      <c r="T13" s="24"/>
      <c r="U13" s="26">
        <f>MAX(U5:U12)</f>
        <v>0.25529240056252378</v>
      </c>
      <c r="V13" s="28">
        <f>SUM(V5:V12)</f>
        <v>0.31055581026050011</v>
      </c>
      <c r="W13" s="29">
        <f>SUM(W5:W12)/Z6</f>
        <v>0.3125</v>
      </c>
    </row>
    <row r="15" spans="2:26">
      <c r="C15" s="31" t="s">
        <v>32</v>
      </c>
      <c r="D15" s="31" t="s">
        <v>33</v>
      </c>
    </row>
    <row r="16" spans="2:26">
      <c r="B16" s="2"/>
      <c r="C16" s="2"/>
      <c r="D16" s="52" t="s">
        <v>2</v>
      </c>
      <c r="E16" s="53"/>
      <c r="F16" s="53"/>
      <c r="G16" s="53"/>
      <c r="H16" s="53"/>
      <c r="I16" s="53"/>
      <c r="J16" s="53"/>
      <c r="K16" s="53"/>
      <c r="L16" s="54"/>
      <c r="M16" s="51" t="s">
        <v>34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</row>
    <row r="17" spans="2:26">
      <c r="B17" s="1" t="s">
        <v>4</v>
      </c>
      <c r="C17" s="1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  <c r="K17" s="4" t="s">
        <v>13</v>
      </c>
      <c r="L17" s="4" t="s">
        <v>14</v>
      </c>
      <c r="M17" s="5" t="s">
        <v>6</v>
      </c>
      <c r="N17" s="5" t="s">
        <v>7</v>
      </c>
      <c r="O17" s="5" t="s">
        <v>8</v>
      </c>
      <c r="P17" s="5" t="s">
        <v>9</v>
      </c>
      <c r="Q17" s="5" t="s">
        <v>10</v>
      </c>
      <c r="R17" s="5" t="s">
        <v>15</v>
      </c>
      <c r="S17" s="5" t="s">
        <v>16</v>
      </c>
      <c r="T17" s="5" t="s">
        <v>14</v>
      </c>
      <c r="U17" s="5" t="s">
        <v>13</v>
      </c>
      <c r="V17" s="5" t="s">
        <v>17</v>
      </c>
      <c r="W17" s="5" t="s">
        <v>18</v>
      </c>
    </row>
    <row r="18" spans="2:26" ht="15">
      <c r="B18" s="2" t="s">
        <v>19</v>
      </c>
      <c r="C18" s="2" t="s">
        <v>20</v>
      </c>
      <c r="D18" s="12">
        <v>31255</v>
      </c>
      <c r="E18" s="7">
        <f>D18/D$13</f>
        <v>8.370761389779395E-2</v>
      </c>
      <c r="F18" s="12">
        <f>D18-G18</f>
        <v>28755</v>
      </c>
      <c r="G18" s="12">
        <v>2500</v>
      </c>
      <c r="H18" s="14">
        <f>G18/D18</f>
        <v>7.9987202047672373E-2</v>
      </c>
      <c r="I18" s="11">
        <f>SUM(G$5:G18)/$G$13</f>
        <v>2.2118285036434502</v>
      </c>
      <c r="J18" s="11">
        <f>SUM(F$5:F18)/$F$13</f>
        <v>2.0795257494171429</v>
      </c>
      <c r="K18" s="16">
        <f>I18-J18</f>
        <v>0.13230275422630733</v>
      </c>
      <c r="L18" s="3">
        <f>RANK(H18,$H$18:$H$25)</f>
        <v>1</v>
      </c>
      <c r="M18" s="17">
        <v>36372</v>
      </c>
      <c r="N18" s="8">
        <f>M18/M$13</f>
        <v>9.87095461021779E-2</v>
      </c>
      <c r="O18" s="19">
        <f>M18-P18</f>
        <v>32372</v>
      </c>
      <c r="P18" s="17">
        <v>4000</v>
      </c>
      <c r="Q18" s="10">
        <f>P18/M18</f>
        <v>0.10997470581766194</v>
      </c>
      <c r="R18" s="9">
        <f>P18/P26</f>
        <v>0.35533445855911877</v>
      </c>
      <c r="S18" s="9">
        <f>O18/O26</f>
        <v>0.10700391034307229</v>
      </c>
      <c r="T18" s="17">
        <f>RANK(Q18,$Q$18:$Q$25)</f>
        <v>1</v>
      </c>
      <c r="U18" s="15">
        <f>R18-S18</f>
        <v>0.2483305482160465</v>
      </c>
      <c r="V18" s="18">
        <f>(N18-E18)*LN(N18/E18)</f>
        <v>2.4730943308753522E-3</v>
      </c>
      <c r="W18" s="19">
        <f>MAX(T18-L18,0)</f>
        <v>0</v>
      </c>
      <c r="Y18" s="2" t="s">
        <v>21</v>
      </c>
      <c r="Z18" s="6">
        <f>COUNTA(B18:B25)</f>
        <v>8</v>
      </c>
    </row>
    <row r="19" spans="2:26" ht="15">
      <c r="B19" s="2" t="s">
        <v>22</v>
      </c>
      <c r="C19" s="2" t="s">
        <v>20</v>
      </c>
      <c r="D19" s="12">
        <v>4891</v>
      </c>
      <c r="E19" s="7">
        <f>D19/D$13</f>
        <v>1.3099150202339153E-2</v>
      </c>
      <c r="F19" s="12">
        <f>D19-G19</f>
        <v>4573</v>
      </c>
      <c r="G19" s="12">
        <v>318</v>
      </c>
      <c r="H19" s="14">
        <f>G19/D19</f>
        <v>6.5017378859129019E-2</v>
      </c>
      <c r="I19" s="11">
        <f>SUM(G$5:G19)/$G$13</f>
        <v>2.2387730893068971</v>
      </c>
      <c r="J19" s="11">
        <f>SUM(F$5:F19)/$F$13</f>
        <v>2.0921729847530703</v>
      </c>
      <c r="K19" s="16">
        <f>I19-J19</f>
        <v>0.14660010455382677</v>
      </c>
      <c r="L19" s="3">
        <f>RANK(H19,$H$18:$H$25)</f>
        <v>2</v>
      </c>
      <c r="M19" s="17">
        <v>3700</v>
      </c>
      <c r="N19" s="8">
        <f>M19/M$13</f>
        <v>1.0041386796933307E-2</v>
      </c>
      <c r="O19" s="19">
        <f>M19-P19</f>
        <v>3385</v>
      </c>
      <c r="P19" s="17">
        <v>315</v>
      </c>
      <c r="Q19" s="10">
        <f>P19/M19</f>
        <v>8.513513513513514E-2</v>
      </c>
      <c r="R19" s="9">
        <f>SUM(P$5:P19)/$P$13</f>
        <v>2.3031473935647044</v>
      </c>
      <c r="S19" s="9">
        <f>SUM(O$5:O19)/$O$13</f>
        <v>2.1009397557030383</v>
      </c>
      <c r="T19" s="17">
        <f>RANK(Q19,$Q$18:$Q$25)</f>
        <v>2</v>
      </c>
      <c r="U19" s="15">
        <f>R19-S19</f>
        <v>0.20220763786166618</v>
      </c>
      <c r="V19" s="18">
        <f>(N19-E19)*LN(N19/E19)</f>
        <v>8.1285174730133427E-4</v>
      </c>
      <c r="W19" s="19">
        <f>MAX(T19-L19,0)</f>
        <v>0</v>
      </c>
      <c r="Y19" s="2" t="s">
        <v>23</v>
      </c>
      <c r="Z19" s="2">
        <f>TRUNC(Z18/2)*ROUNDUP(Z18/2,0)</f>
        <v>16</v>
      </c>
    </row>
    <row r="20" spans="2:26" ht="15">
      <c r="B20" s="2" t="s">
        <v>24</v>
      </c>
      <c r="C20" s="2" t="s">
        <v>20</v>
      </c>
      <c r="D20" s="12">
        <v>19283</v>
      </c>
      <c r="E20" s="7">
        <f>D20/D$13</f>
        <v>5.1644022357739905E-2</v>
      </c>
      <c r="F20" s="12">
        <f>D20-G20</f>
        <v>18318</v>
      </c>
      <c r="G20" s="12">
        <v>965</v>
      </c>
      <c r="H20" s="14">
        <f>G20/D20</f>
        <v>5.0044080277965045E-2</v>
      </c>
      <c r="I20" s="11">
        <f>SUM(G$5:G20)/$G$13</f>
        <v>2.320538891713269</v>
      </c>
      <c r="J20" s="11">
        <f>SUM(F$5:F20)/$F$13</f>
        <v>2.1428338325299174</v>
      </c>
      <c r="K20" s="16">
        <f>I20-J20</f>
        <v>0.17770505918335155</v>
      </c>
      <c r="L20" s="3">
        <f>RANK(H20,$H$18:$H$25)</f>
        <v>3</v>
      </c>
      <c r="M20" s="17">
        <v>20000</v>
      </c>
      <c r="N20" s="8">
        <f>M20/M$13</f>
        <v>5.4277766469909762E-2</v>
      </c>
      <c r="O20" s="19">
        <f>M20-P20</f>
        <v>19000</v>
      </c>
      <c r="P20" s="17">
        <v>1000</v>
      </c>
      <c r="Q20" s="10">
        <f>P20/M20</f>
        <v>0.05</v>
      </c>
      <c r="R20" s="9">
        <f>SUM(P$5:P20)/$P$13</f>
        <v>2.3734017142054236</v>
      </c>
      <c r="S20" s="9">
        <f>SUM(O$5:O20)/$O$13</f>
        <v>2.154575557318323</v>
      </c>
      <c r="T20" s="17">
        <f>RANK(Q20,$Q$18:$Q$25)</f>
        <v>3</v>
      </c>
      <c r="U20" s="15">
        <f>R20-S20</f>
        <v>0.21882615688710061</v>
      </c>
      <c r="V20" s="18">
        <f>(N20-E20)*LN(N20/E20)</f>
        <v>1.3100303942949917E-4</v>
      </c>
      <c r="W20" s="19">
        <f>MAX(T20-L20,0)</f>
        <v>0</v>
      </c>
    </row>
    <row r="21" spans="2:26" ht="15">
      <c r="B21" s="2" t="s">
        <v>25</v>
      </c>
      <c r="C21" s="2" t="s">
        <v>26</v>
      </c>
      <c r="D21" s="12">
        <v>63198</v>
      </c>
      <c r="E21" s="7">
        <f>D21/D$13</f>
        <v>0.1692578398052402</v>
      </c>
      <c r="F21" s="12">
        <f>D21-G21</f>
        <v>60678</v>
      </c>
      <c r="G21" s="12">
        <v>2520</v>
      </c>
      <c r="H21" s="14">
        <f>G21/D21</f>
        <v>3.9874679578467673E-2</v>
      </c>
      <c r="I21" s="11">
        <f>SUM(G$5:G21)/$G$13</f>
        <v>2.5340620233858666</v>
      </c>
      <c r="J21" s="11">
        <f>SUM(F$5:F21)/$F$13</f>
        <v>2.3106468536787053</v>
      </c>
      <c r="K21" s="16">
        <f>I21-J21</f>
        <v>0.22341516970716135</v>
      </c>
      <c r="L21" s="3">
        <f>RANK(H21,$H$18:$H$25)</f>
        <v>4</v>
      </c>
      <c r="M21" s="17">
        <v>53492</v>
      </c>
      <c r="N21" s="8">
        <f>M21/M$13</f>
        <v>0.14517131420042065</v>
      </c>
      <c r="O21" s="19">
        <f>M21-P21</f>
        <v>51056</v>
      </c>
      <c r="P21" s="17">
        <v>2436</v>
      </c>
      <c r="Q21" s="10">
        <f>P21/M21</f>
        <v>4.5539519928213562E-2</v>
      </c>
      <c r="R21" s="9">
        <f>SUM(P$5:P21)/$P$13</f>
        <v>2.5445412392862159</v>
      </c>
      <c r="S21" s="9">
        <f>SUM(O$5:O21)/$O$13</f>
        <v>2.2987034250693736</v>
      </c>
      <c r="T21" s="17">
        <f>RANK(Q21,$Q$18:$Q$25)</f>
        <v>4</v>
      </c>
      <c r="U21" s="15">
        <f>R21-S21</f>
        <v>0.24583781421684225</v>
      </c>
      <c r="V21" s="18">
        <f>(N21-E21)*LN(N21/E21)</f>
        <v>3.69749145730708E-3</v>
      </c>
      <c r="W21" s="19">
        <f>MAX(T21-L21,0)</f>
        <v>0</v>
      </c>
    </row>
    <row r="22" spans="2:26" ht="15">
      <c r="B22" s="2" t="s">
        <v>27</v>
      </c>
      <c r="C22" s="2" t="s">
        <v>26</v>
      </c>
      <c r="D22" s="12">
        <v>92208</v>
      </c>
      <c r="E22" s="7">
        <f>D22/D$13</f>
        <v>0.24695286073549144</v>
      </c>
      <c r="F22" s="12">
        <f>D22-G22</f>
        <v>88708</v>
      </c>
      <c r="G22" s="12">
        <v>3500</v>
      </c>
      <c r="H22" s="14">
        <f>G22/D22</f>
        <v>3.7957660940482391E-2</v>
      </c>
      <c r="I22" s="11">
        <f>SUM(G$5:G22)/$G$13</f>
        <v>2.8306219284866971</v>
      </c>
      <c r="J22" s="11">
        <f>SUM(F$5:F22)/$F$13</f>
        <v>2.5559805410129406</v>
      </c>
      <c r="K22" s="16">
        <f>I22-J22</f>
        <v>0.27464138747375655</v>
      </c>
      <c r="L22" s="3">
        <f>RANK(H22,$H$18:$H$25)</f>
        <v>5</v>
      </c>
      <c r="M22" s="17">
        <v>45364</v>
      </c>
      <c r="N22" s="8">
        <f>M22/M$13</f>
        <v>0.12311282990704933</v>
      </c>
      <c r="O22" s="19">
        <f>M22-P22</f>
        <v>43323</v>
      </c>
      <c r="P22" s="17">
        <v>2041</v>
      </c>
      <c r="Q22" s="10">
        <f>P22/M22</f>
        <v>4.4991623313640774E-2</v>
      </c>
      <c r="R22" s="9">
        <f>SUM(P$5:P22)/$P$13</f>
        <v>2.6879303077139243</v>
      </c>
      <c r="S22" s="9">
        <f>SUM(O$5:O22)/$O$13</f>
        <v>2.4210015215630039</v>
      </c>
      <c r="T22" s="17">
        <f>RANK(Q22,$Q$18:$Q$25)</f>
        <v>5</v>
      </c>
      <c r="U22" s="15">
        <f>R22-S22</f>
        <v>0.26692878615092042</v>
      </c>
      <c r="V22" s="18">
        <f>(N22-E22)*LN(N22/E22)</f>
        <v>8.6204577341538191E-2</v>
      </c>
      <c r="W22" s="19">
        <f>MAX(T22-L22,0)</f>
        <v>0</v>
      </c>
    </row>
    <row r="23" spans="2:26" ht="15">
      <c r="B23" s="2" t="s">
        <v>28</v>
      </c>
      <c r="C23" s="2" t="s">
        <v>26</v>
      </c>
      <c r="D23" s="12">
        <v>5129</v>
      </c>
      <c r="E23" s="7">
        <f>D23/D$13</f>
        <v>1.373656540335259E-2</v>
      </c>
      <c r="F23" s="12">
        <f>D23-G23</f>
        <v>4939</v>
      </c>
      <c r="G23" s="12">
        <v>190</v>
      </c>
      <c r="H23" s="14">
        <f>G23/D23</f>
        <v>3.7044258139988302E-2</v>
      </c>
      <c r="I23" s="11">
        <f>SUM(G$5:G23)/$G$13</f>
        <v>2.8467208947635996</v>
      </c>
      <c r="J23" s="11">
        <f>SUM(F$5:F23)/$F$13</f>
        <v>2.5696399976768691</v>
      </c>
      <c r="K23" s="16">
        <f>I23-J23</f>
        <v>0.27708089708673045</v>
      </c>
      <c r="L23" s="3">
        <f>RANK(H23,$H$18:$H$25)</f>
        <v>6</v>
      </c>
      <c r="M23" s="17">
        <v>4097</v>
      </c>
      <c r="N23" s="8">
        <f>M23/M$13</f>
        <v>1.1118800461361015E-2</v>
      </c>
      <c r="O23" s="19">
        <f>M23-P23</f>
        <v>3927</v>
      </c>
      <c r="P23" s="17">
        <v>170</v>
      </c>
      <c r="Q23" s="10">
        <f>P23/M23</f>
        <v>4.1493775933609957E-2</v>
      </c>
      <c r="R23" s="9">
        <f>SUM(P$5:P23)/$P$13</f>
        <v>2.6998735422228468</v>
      </c>
      <c r="S23" s="9">
        <f>SUM(O$5:O23)/$O$13</f>
        <v>2.4320871948758049</v>
      </c>
      <c r="T23" s="17">
        <f>RANK(Q23,$Q$18:$Q$25)</f>
        <v>6</v>
      </c>
      <c r="U23" s="15">
        <f>R23-S23</f>
        <v>0.26778634734704188</v>
      </c>
      <c r="V23" s="18">
        <f>(N23-E23)*LN(N23/E23)</f>
        <v>5.534580054623948E-4</v>
      </c>
      <c r="W23" s="19">
        <f>MAX(T23-L23,0)</f>
        <v>0</v>
      </c>
    </row>
    <row r="24" spans="2:26" ht="15">
      <c r="B24" s="2" t="s">
        <v>29</v>
      </c>
      <c r="C24" s="2" t="s">
        <v>26</v>
      </c>
      <c r="D24" s="12">
        <v>86730</v>
      </c>
      <c r="E24" s="7">
        <f>D24/D$13</f>
        <v>0.23228159825166117</v>
      </c>
      <c r="F24" s="12">
        <f>D24-G24</f>
        <v>84996</v>
      </c>
      <c r="G24" s="12">
        <v>1734</v>
      </c>
      <c r="H24" s="14">
        <f>G24/D24</f>
        <v>1.9993081978554133E-2</v>
      </c>
      <c r="I24" s="11">
        <f>SUM(G$5:G24)/$G$13</f>
        <v>2.9936451448906967</v>
      </c>
      <c r="J24" s="11">
        <f>SUM(F$5:F24)/$F$13</f>
        <v>2.8047076588648188</v>
      </c>
      <c r="K24" s="16">
        <f>I24-J24</f>
        <v>0.1889374860258779</v>
      </c>
      <c r="L24" s="3">
        <f>RANK(H24,$H$18:$H$25)</f>
        <v>7</v>
      </c>
      <c r="M24" s="17">
        <v>82743</v>
      </c>
      <c r="N24" s="8">
        <f>M24/M$13</f>
        <v>0.22455526155098718</v>
      </c>
      <c r="O24" s="19">
        <f>M24-P24</f>
        <v>81545</v>
      </c>
      <c r="P24" s="17">
        <v>1198</v>
      </c>
      <c r="Q24" s="10">
        <f>P24/M24</f>
        <v>1.4478566162696542E-2</v>
      </c>
      <c r="R24" s="9">
        <f>SUM(P$5:P24)/$P$13</f>
        <v>2.7840382183504286</v>
      </c>
      <c r="S24" s="9">
        <f>SUM(O$5:O24)/$O$13</f>
        <v>2.6622835865978245</v>
      </c>
      <c r="T24" s="17">
        <f>RANK(Q24,$Q$18:$Q$25)</f>
        <v>7</v>
      </c>
      <c r="U24" s="15">
        <f>R24-S24</f>
        <v>0.12175463175260415</v>
      </c>
      <c r="V24" s="18">
        <f>(N24-E24)*LN(N24/E24)</f>
        <v>2.6137107952642065E-4</v>
      </c>
      <c r="W24" s="19">
        <f>MAX(T24-L24,0)</f>
        <v>0</v>
      </c>
    </row>
    <row r="25" spans="2:26" ht="15">
      <c r="B25" s="2" t="s">
        <v>30</v>
      </c>
      <c r="C25" s="2" t="s">
        <v>26</v>
      </c>
      <c r="D25" s="12">
        <v>70689</v>
      </c>
      <c r="E25" s="7">
        <f>D25/D$13</f>
        <v>0.18932034934638159</v>
      </c>
      <c r="F25" s="12">
        <f>D25-G25</f>
        <v>70614</v>
      </c>
      <c r="G25" s="12">
        <v>75</v>
      </c>
      <c r="H25" s="14">
        <f>G25/D25</f>
        <v>1.0609854432797182E-3</v>
      </c>
      <c r="I25" s="11">
        <f>SUM(G$5:G25)/$G$13</f>
        <v>3</v>
      </c>
      <c r="J25" s="11">
        <f>SUM(F$5:F25)/$F$13</f>
        <v>3</v>
      </c>
      <c r="K25" s="16">
        <f>I25-J25</f>
        <v>0</v>
      </c>
      <c r="L25" s="3">
        <f>RANK(H25,$H$18:$H$25)</f>
        <v>8</v>
      </c>
      <c r="M25" s="17">
        <v>68020</v>
      </c>
      <c r="N25" s="8">
        <f>M25/M$13</f>
        <v>0.18459868376416311</v>
      </c>
      <c r="O25" s="19">
        <f>M25-P25</f>
        <v>67923</v>
      </c>
      <c r="P25" s="17">
        <v>97</v>
      </c>
      <c r="Q25" s="10">
        <f>P25/M25</f>
        <v>1.4260511614231108E-3</v>
      </c>
      <c r="R25" s="9">
        <f>SUM(P$5:P25)/$P$13</f>
        <v>2.7908528874525782</v>
      </c>
      <c r="S25" s="9">
        <f>SUM(O$5:O25)/$O$13</f>
        <v>2.8540259314986125</v>
      </c>
      <c r="T25" s="17">
        <f>RANK(Q25,$Q$18:$Q$25)</f>
        <v>8</v>
      </c>
      <c r="U25" s="15">
        <f>R25-S25</f>
        <v>-6.3173044046034299E-2</v>
      </c>
      <c r="V25" s="18">
        <f>(N25-E25)*LN(N25/E25)</f>
        <v>1.1925207850707067E-4</v>
      </c>
      <c r="W25" s="19">
        <f>MAX(T25-L25,0)</f>
        <v>0</v>
      </c>
    </row>
    <row r="26" spans="2:26" ht="15" customHeight="1">
      <c r="B26" s="49" t="s">
        <v>31</v>
      </c>
      <c r="C26" s="50"/>
      <c r="D26" s="22">
        <f>SUM(D18:D25)</f>
        <v>373383</v>
      </c>
      <c r="E26" s="23">
        <f>SUM(E18:E25)</f>
        <v>1</v>
      </c>
      <c r="F26" s="22">
        <f>SUM(F18:F25)</f>
        <v>361581</v>
      </c>
      <c r="G26" s="24">
        <f>SUM(G18:G25)</f>
        <v>11802</v>
      </c>
      <c r="H26" s="25">
        <f>G26/D26</f>
        <v>3.1608294967901594E-2</v>
      </c>
      <c r="I26" s="24"/>
      <c r="J26" s="24"/>
      <c r="K26" s="26">
        <f>MAX(K18:K25)</f>
        <v>0.27708089708673045</v>
      </c>
      <c r="L26" s="24"/>
      <c r="M26" s="22">
        <f>SUM(M18:M25)</f>
        <v>313788</v>
      </c>
      <c r="N26" s="24"/>
      <c r="O26" s="22">
        <f>SUM(O18:O25)</f>
        <v>302531</v>
      </c>
      <c r="P26" s="22">
        <f>SUM(P18:P25)</f>
        <v>11257</v>
      </c>
      <c r="Q26" s="27">
        <f>P26/M26</f>
        <v>3.5874539498005023E-2</v>
      </c>
      <c r="R26" s="24"/>
      <c r="S26" s="24"/>
      <c r="T26" s="24"/>
      <c r="U26" s="26">
        <f>MAX(U18:U25)</f>
        <v>0.26778634734704188</v>
      </c>
      <c r="V26" s="28">
        <f>SUM(V18:V25)</f>
        <v>9.4253099079947361E-2</v>
      </c>
      <c r="W26" s="29">
        <f>SUM(W18:W25)/Z19</f>
        <v>0</v>
      </c>
    </row>
  </sheetData>
  <mergeCells count="6">
    <mergeCell ref="B26:C26"/>
    <mergeCell ref="M3:W3"/>
    <mergeCell ref="D3:L3"/>
    <mergeCell ref="D16:L16"/>
    <mergeCell ref="M16:W16"/>
    <mergeCell ref="B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E4F1-5D5B-48F5-BAE0-09609C7DAE5D}">
  <dimension ref="B2:H8"/>
  <sheetViews>
    <sheetView showGridLines="0" workbookViewId="0"/>
  </sheetViews>
  <sheetFormatPr defaultRowHeight="14.45"/>
  <cols>
    <col min="2" max="2" width="11.140625" bestFit="1" customWidth="1"/>
    <col min="4" max="4" width="8.5703125" bestFit="1" customWidth="1"/>
    <col min="5" max="6" width="11.140625" bestFit="1" customWidth="1"/>
    <col min="7" max="8" width="11.140625" customWidth="1"/>
  </cols>
  <sheetData>
    <row r="2" spans="2:8">
      <c r="B2" s="2"/>
      <c r="C2" s="2" t="s">
        <v>35</v>
      </c>
      <c r="D2" s="33" t="s">
        <v>36</v>
      </c>
      <c r="E2" s="33" t="s">
        <v>37</v>
      </c>
      <c r="F2" s="40" t="s">
        <v>38</v>
      </c>
      <c r="G2" s="33" t="s">
        <v>39</v>
      </c>
      <c r="H2" s="33" t="s">
        <v>40</v>
      </c>
    </row>
    <row r="3" spans="2:8">
      <c r="B3" s="2" t="s">
        <v>41</v>
      </c>
      <c r="C3" s="2"/>
      <c r="D3" s="13">
        <f>'NSM KPIs'!D13</f>
        <v>373383</v>
      </c>
      <c r="E3" s="34">
        <f>'NSM KPIs'!M13</f>
        <v>368475</v>
      </c>
      <c r="F3" s="41">
        <f>'NSM KPIs'!M26</f>
        <v>313788</v>
      </c>
      <c r="G3" s="34">
        <v>318495</v>
      </c>
      <c r="H3" s="34">
        <v>398734</v>
      </c>
    </row>
    <row r="4" spans="2:8">
      <c r="B4" s="2" t="s">
        <v>42</v>
      </c>
      <c r="C4" s="2"/>
      <c r="D4" s="35">
        <f>'NSM KPIs'!H13</f>
        <v>3.1608294967901594E-2</v>
      </c>
      <c r="E4" s="35">
        <f>'NSM KPIs'!Q13</f>
        <v>3.8629486396634778E-2</v>
      </c>
      <c r="F4" s="42">
        <f>'NSM KPIs'!Q26</f>
        <v>3.5874539498005023E-2</v>
      </c>
      <c r="G4" s="35">
        <v>3.6700000000000003E-2</v>
      </c>
      <c r="H4" s="35">
        <v>3.2300000000000002E-2</v>
      </c>
    </row>
    <row r="5" spans="2:8">
      <c r="B5" s="2" t="s">
        <v>13</v>
      </c>
      <c r="C5" s="2"/>
      <c r="D5" s="39">
        <f>'NSM KPIs'!K13</f>
        <v>0.27708089708673023</v>
      </c>
      <c r="E5" s="39">
        <f>'NSM KPIs'!U13</f>
        <v>0.25529240056252378</v>
      </c>
      <c r="F5" s="43">
        <f>'NSM KPIs'!U26</f>
        <v>0.26778634734704188</v>
      </c>
      <c r="G5" s="39">
        <v>0.32700000000000001</v>
      </c>
      <c r="H5" s="39">
        <v>0.34899999999999998</v>
      </c>
    </row>
    <row r="6" spans="2:8">
      <c r="B6" s="2" t="s">
        <v>43</v>
      </c>
      <c r="C6" s="2"/>
      <c r="D6" s="36" t="s">
        <v>44</v>
      </c>
      <c r="E6" s="39">
        <f>(E5-$D$5)/$D$5</f>
        <v>-7.8635866829124421E-2</v>
      </c>
      <c r="F6" s="43">
        <f>(F5-$D$5)/$D$5</f>
        <v>-3.3544534601311855E-2</v>
      </c>
      <c r="G6" s="39">
        <f>(G5-$D$5)/$D$5</f>
        <v>0.18016075246661412</v>
      </c>
      <c r="H6" s="38">
        <f>(H5-$D$5)/$D$5</f>
        <v>0.25955994682216599</v>
      </c>
    </row>
    <row r="7" spans="2:8">
      <c r="B7" s="2" t="s">
        <v>17</v>
      </c>
      <c r="C7" s="2"/>
      <c r="D7" s="36" t="s">
        <v>44</v>
      </c>
      <c r="E7" s="38">
        <f>'NSM KPIs'!V13</f>
        <v>0.31055581026050011</v>
      </c>
      <c r="F7" s="43">
        <f>'NSM KPIs'!V26</f>
        <v>9.4253099079947361E-2</v>
      </c>
      <c r="G7" s="39">
        <v>0.125</v>
      </c>
      <c r="H7" s="38">
        <v>0.26600000000000001</v>
      </c>
    </row>
    <row r="8" spans="2:8">
      <c r="B8" s="2" t="s">
        <v>18</v>
      </c>
      <c r="C8" s="2"/>
      <c r="D8" s="36" t="s">
        <v>44</v>
      </c>
      <c r="E8" s="38">
        <f>'NSM KPIs'!W13</f>
        <v>0.3125</v>
      </c>
      <c r="F8" s="43">
        <f>'NSM KPIs'!W26</f>
        <v>0</v>
      </c>
      <c r="G8" s="39">
        <v>0</v>
      </c>
      <c r="H8" s="38">
        <v>0.28000000000000003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6578-20BE-4868-B28E-76664B020AC7}">
  <dimension ref="A2:H18"/>
  <sheetViews>
    <sheetView showGridLines="0" workbookViewId="0">
      <selection activeCell="D4" sqref="D4"/>
    </sheetView>
  </sheetViews>
  <sheetFormatPr defaultRowHeight="14.45"/>
  <cols>
    <col min="1" max="1" width="6.5703125" bestFit="1" customWidth="1"/>
    <col min="2" max="2" width="15.28515625" bestFit="1" customWidth="1"/>
    <col min="3" max="3" width="24.42578125" bestFit="1" customWidth="1"/>
    <col min="4" max="4" width="22.85546875" bestFit="1" customWidth="1"/>
    <col min="5" max="5" width="11.28515625" bestFit="1" customWidth="1"/>
    <col min="6" max="6" width="4" bestFit="1" customWidth="1"/>
    <col min="7" max="7" width="5" bestFit="1" customWidth="1"/>
    <col min="8" max="8" width="65.140625" bestFit="1" customWidth="1"/>
  </cols>
  <sheetData>
    <row r="2" spans="1:8">
      <c r="B2" t="s">
        <v>45</v>
      </c>
    </row>
    <row r="3" spans="1:8">
      <c r="B3" t="s">
        <v>46</v>
      </c>
      <c r="C3" t="s">
        <v>47</v>
      </c>
    </row>
    <row r="4" spans="1:8">
      <c r="B4" t="s">
        <v>48</v>
      </c>
      <c r="C4">
        <v>0</v>
      </c>
      <c r="D4">
        <v>1</v>
      </c>
      <c r="E4" t="s">
        <v>49</v>
      </c>
    </row>
    <row r="5" spans="1:8">
      <c r="B5" s="37">
        <v>0</v>
      </c>
      <c r="C5">
        <v>5949</v>
      </c>
      <c r="E5">
        <v>5949</v>
      </c>
    </row>
    <row r="6" spans="1:8">
      <c r="B6" s="37">
        <v>1</v>
      </c>
      <c r="C6">
        <v>2</v>
      </c>
      <c r="D6">
        <v>1137</v>
      </c>
      <c r="E6">
        <v>1139</v>
      </c>
    </row>
    <row r="7" spans="1:8">
      <c r="B7" s="37" t="s">
        <v>49</v>
      </c>
      <c r="C7">
        <v>5951</v>
      </c>
      <c r="D7">
        <v>1137</v>
      </c>
      <c r="E7">
        <v>7088</v>
      </c>
    </row>
    <row r="9" spans="1:8">
      <c r="A9" s="32"/>
      <c r="B9" s="32"/>
      <c r="C9" s="55" t="s">
        <v>50</v>
      </c>
      <c r="D9" s="55"/>
      <c r="E9" s="45"/>
      <c r="H9" s="48" t="s">
        <v>51</v>
      </c>
    </row>
    <row r="10" spans="1:8">
      <c r="A10" s="32"/>
      <c r="B10" s="32"/>
      <c r="C10" s="33">
        <v>0</v>
      </c>
      <c r="D10" s="33">
        <v>1</v>
      </c>
      <c r="E10" s="20" t="s">
        <v>49</v>
      </c>
      <c r="H10" s="46" t="s">
        <v>52</v>
      </c>
    </row>
    <row r="11" spans="1:8">
      <c r="A11" s="56" t="s">
        <v>53</v>
      </c>
      <c r="B11" s="40">
        <v>0</v>
      </c>
      <c r="C11" s="33" t="s">
        <v>54</v>
      </c>
      <c r="D11" s="33" t="s">
        <v>55</v>
      </c>
      <c r="E11" s="20"/>
      <c r="H11" s="46" t="s">
        <v>56</v>
      </c>
    </row>
    <row r="12" spans="1:8">
      <c r="A12" s="56"/>
      <c r="B12" s="44">
        <v>1</v>
      </c>
      <c r="C12" s="33" t="s">
        <v>57</v>
      </c>
      <c r="D12" s="33" t="s">
        <v>58</v>
      </c>
      <c r="E12" s="20"/>
      <c r="H12" s="46" t="s">
        <v>59</v>
      </c>
    </row>
    <row r="13" spans="1:8">
      <c r="B13" s="20" t="s">
        <v>49</v>
      </c>
      <c r="C13" s="21"/>
      <c r="D13" s="20"/>
      <c r="E13" s="20"/>
      <c r="H13" s="46" t="s">
        <v>56</v>
      </c>
    </row>
    <row r="14" spans="1:8">
      <c r="H14" s="46" t="s">
        <v>60</v>
      </c>
    </row>
    <row r="15" spans="1:8">
      <c r="B15" s="24" t="s">
        <v>61</v>
      </c>
      <c r="C15" s="2" t="s">
        <v>62</v>
      </c>
      <c r="H15" s="46" t="s">
        <v>63</v>
      </c>
    </row>
    <row r="16" spans="1:8">
      <c r="B16" s="24" t="s">
        <v>64</v>
      </c>
      <c r="C16" s="2" t="s">
        <v>65</v>
      </c>
      <c r="H16" s="46" t="s">
        <v>66</v>
      </c>
    </row>
    <row r="17" spans="2:8">
      <c r="B17" s="24" t="s">
        <v>67</v>
      </c>
      <c r="C17" s="2" t="s">
        <v>68</v>
      </c>
      <c r="H17" s="46" t="s">
        <v>69</v>
      </c>
    </row>
    <row r="18" spans="2:8">
      <c r="B18" s="24" t="s">
        <v>70</v>
      </c>
      <c r="C18" s="2" t="s">
        <v>71</v>
      </c>
      <c r="H18" s="47" t="s">
        <v>72</v>
      </c>
    </row>
  </sheetData>
  <mergeCells count="2">
    <mergeCell ref="C9:D9"/>
    <mergeCell ref="A11:A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F0398645FE047BA00D43C6146DE0B" ma:contentTypeVersion="16" ma:contentTypeDescription="Create a new document." ma:contentTypeScope="" ma:versionID="149f28366c559116d559762a0cf324e8">
  <xsd:schema xmlns:xsd="http://www.w3.org/2001/XMLSchema" xmlns:xs="http://www.w3.org/2001/XMLSchema" xmlns:p="http://schemas.microsoft.com/office/2006/metadata/properties" xmlns:ns3="895ec3a9-304d-47c3-871c-09db0670474b" xmlns:ns4="c496520f-2389-4f3d-b64b-e786ca52a751" targetNamespace="http://schemas.microsoft.com/office/2006/metadata/properties" ma:root="true" ma:fieldsID="c1efac2632c80d9787cd751504bebd4e" ns3:_="" ns4:_="">
    <xsd:import namespace="895ec3a9-304d-47c3-871c-09db0670474b"/>
    <xsd:import namespace="c496520f-2389-4f3d-b64b-e786ca52a75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ec3a9-304d-47c3-871c-09db067047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6520f-2389-4f3d-b64b-e786ca52a7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96520f-2389-4f3d-b64b-e786ca52a751" xsi:nil="true"/>
  </documentManagement>
</p:properties>
</file>

<file path=customXml/itemProps1.xml><?xml version="1.0" encoding="utf-8"?>
<ds:datastoreItem xmlns:ds="http://schemas.openxmlformats.org/officeDocument/2006/customXml" ds:itemID="{E8C2C621-E852-4A9F-8610-A87F47C1AB40}"/>
</file>

<file path=customXml/itemProps2.xml><?xml version="1.0" encoding="utf-8"?>
<ds:datastoreItem xmlns:ds="http://schemas.openxmlformats.org/officeDocument/2006/customXml" ds:itemID="{D186307A-BC70-432A-83E9-7D439769A225}"/>
</file>

<file path=customXml/itemProps3.xml><?xml version="1.0" encoding="utf-8"?>
<ds:datastoreItem xmlns:ds="http://schemas.openxmlformats.org/officeDocument/2006/customXml" ds:itemID="{8D4E91D7-FFB9-4F65-A43D-739140E4C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Ramit Mittal</dc:creator>
  <cp:keywords/>
  <dc:description/>
  <cp:lastModifiedBy>Deepanshu Garg</cp:lastModifiedBy>
  <cp:revision/>
  <dcterms:created xsi:type="dcterms:W3CDTF">2026-03-02T06:26:50Z</dcterms:created>
  <dcterms:modified xsi:type="dcterms:W3CDTF">2026-03-03T12:29:45Z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0x0101005DEF0398645FE047BA00D43C6146DE0B</vt:lpwstr>
  </property>
</Properties>
</file>